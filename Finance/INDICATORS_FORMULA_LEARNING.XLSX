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7.xml" ContentType="application/vnd.openxmlformats-officedocument.spreadsheetml.chartsheet+xml"/>
  <Override PartName="/xl/worksheets/sheet8.xml" ContentType="application/vnd.openxmlformats-officedocument.spreadsheetml.worksheet+xml"/>
  <Override PartName="/xl/chartsheets/sheet8.xml" ContentType="application/vnd.openxmlformats-officedocument.spreadsheetml.chartsheet+xml"/>
  <Override PartName="/xl/worksheets/sheet9.xml" ContentType="application/vnd.openxmlformats-officedocument.spreadsheetml.work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chartsheets/sheet27.xml" ContentType="application/vnd.openxmlformats-officedocument.spreadsheetml.chartsheet+xml"/>
  <Override PartName="/xl/chartsheets/sheet28.xml" ContentType="application/vnd.openxmlformats-officedocument.spreadsheetml.chartsheet+xml"/>
  <Override PartName="/xl/chartsheets/sheet29.xml" ContentType="application/vnd.openxmlformats-officedocument.spreadsheetml.chartsheet+xml"/>
  <Override PartName="/xl/chartsheets/sheet30.xml" ContentType="application/vnd.openxmlformats-officedocument.spreadsheetml.chartsheet+xml"/>
  <Override PartName="/xl/chartsheets/sheet31.xml" ContentType="application/vnd.openxmlformats-officedocument.spreadsheetml.chartsheet+xml"/>
  <Override PartName="/xl/chartsheets/sheet32.xml" ContentType="application/vnd.openxmlformats-officedocument.spreadsheetml.chartsheet+xml"/>
  <Override PartName="/xl/chartsheets/sheet33.xml" ContentType="application/vnd.openxmlformats-officedocument.spreadsheetml.chartsheet+xml"/>
  <Override PartName="/xl/chartsheets/sheet34.xml" ContentType="application/vnd.openxmlformats-officedocument.spreadsheetml.chartsheet+xml"/>
  <Override PartName="/xl/chartsheets/sheet35.xml" ContentType="application/vnd.openxmlformats-officedocument.spreadsheetml.chartsheet+xml"/>
  <Override PartName="/xl/chartsheets/sheet36.xml" ContentType="application/vnd.openxmlformats-officedocument.spreadsheetml.chartsheet+xml"/>
  <Override PartName="/xl/chartsheets/sheet37.xml" ContentType="application/vnd.openxmlformats-officedocument.spreadsheetml.chartsheet+xml"/>
  <Override PartName="/xl/chartsheets/sheet38.xml" ContentType="application/vnd.openxmlformats-officedocument.spreadsheetml.chartsheet+xml"/>
  <Override PartName="/xl/chartsheets/sheet39.xml" ContentType="application/vnd.openxmlformats-officedocument.spreadsheetml.chartsheet+xml"/>
  <Override PartName="/xl/chartsheets/sheet40.xml" ContentType="application/vnd.openxmlformats-officedocument.spreadsheetml.chartsheet+xml"/>
  <Override PartName="/xl/chartsheets/sheet41.xml" ContentType="application/vnd.openxmlformats-officedocument.spreadsheetml.chartsheet+xml"/>
  <Override PartName="/xl/chartsheets/sheet42.xml" ContentType="application/vnd.openxmlformats-officedocument.spreadsheetml.chartsheet+xml"/>
  <Override PartName="/xl/chartsheets/sheet43.xml" ContentType="application/vnd.openxmlformats-officedocument.spreadsheetml.chartsheet+xml"/>
  <Override PartName="/xl/chartsheets/sheet4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7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8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9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40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4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42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43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44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3"/>
  <workbookPr filterPrivacy="1" codeName="ThisWorkbook" defaultThemeVersion="124226"/>
  <xr:revisionPtr revIDLastSave="0" documentId="13_ncr:1_{620FC4CB-08EA-49AB-A371-BA72DCDEB9DA}" xr6:coauthVersionLast="36" xr6:coauthVersionMax="36" xr10:uidLastSave="{00000000-0000-0000-0000-000000000000}"/>
  <bookViews>
    <workbookView xWindow="240" yWindow="105" windowWidth="14805" windowHeight="8010" tabRatio="757" firstSheet="4" activeTab="11" xr2:uid="{00000000-000D-0000-FFFF-FFFF00000000}"/>
  </bookViews>
  <sheets>
    <sheet name="DATA" sheetId="1" r:id="rId1"/>
    <sheet name="همبستگی و بتا" sheetId="34" r:id="rId2"/>
    <sheet name="نمودار همبستگی" sheetId="35" r:id="rId3"/>
    <sheet name="نمودار بتا" sheetId="36" r:id="rId4"/>
    <sheet name="نمودار آلفا" sheetId="61" r:id="rId5"/>
    <sheet name="نسبت بین شاخص ها" sheetId="39" r:id="rId6"/>
    <sheet name="بازدهی تجمعی نماد و شاخص ها" sheetId="76" r:id="rId7"/>
    <sheet name="یکه کردن نماد و شاخص ها" sheetId="40" r:id="rId8"/>
    <sheet name="حجم" sheetId="2" r:id="rId9"/>
    <sheet name="تعداد" sheetId="63" r:id="rId10"/>
    <sheet name="حجم هر نفر" sheetId="15" r:id="rId11"/>
    <sheet name="اندیکاتور ها" sheetId="16" r:id="rId12"/>
    <sheet name="حجم براساس قیمت" sheetId="28" r:id="rId13"/>
    <sheet name="نمودار حجم براساس قیمت" sheetId="29" r:id="rId14"/>
    <sheet name="تعداد براساس قیمت" sheetId="65" r:id="rId15"/>
    <sheet name="نمودار تعداد براساس قیمت حقوقی" sheetId="68" r:id="rId16"/>
    <sheet name="بازدهی قیمت و ریسک" sheetId="30" r:id="rId17"/>
    <sheet name="نسبت بازدهی سهام با شاخص ها" sheetId="62" r:id="rId18"/>
    <sheet name="بازدهی روزانه" sheetId="31" r:id="rId19"/>
    <sheet name="بازدهی هفتگی" sheetId="32" r:id="rId20"/>
    <sheet name="نسبت بازدهی" sheetId="57" r:id="rId21"/>
    <sheet name="بازدهی ماهانه" sheetId="33" r:id="rId22"/>
    <sheet name="ریسک" sheetId="74" r:id="rId23"/>
    <sheet name="کشش قیمتی تقاضا" sheetId="75" r:id="rId24"/>
    <sheet name="نرخ رشد قیمت" sheetId="71" r:id="rId25"/>
    <sheet name="نمودار تعداد براساس قیمت حقیقی" sheetId="64" r:id="rId26"/>
    <sheet name="حجم قیمت" sheetId="42" r:id="rId27"/>
    <sheet name="ارزش معاملات روزانه" sheetId="38" r:id="rId28"/>
    <sheet name="حجم حقیقی و حقوقی" sheetId="3" r:id="rId29"/>
    <sheet name="حجم حقیقی" sheetId="14" r:id="rId30"/>
    <sheet name="حجم حقوقی" sheetId="10" r:id="rId31"/>
    <sheet name="حجم هر نفر حقیقی" sheetId="4" r:id="rId32"/>
    <sheet name="حجم هر نفر حقوقی" sheetId="43" r:id="rId33"/>
    <sheet name="نسبت قدرت خریدار" sheetId="67" r:id="rId34"/>
    <sheet name="حجم تجمعی" sheetId="12" r:id="rId35"/>
    <sheet name="تعداد تجمعی" sheetId="66" r:id="rId36"/>
    <sheet name="حجم هر نفر تجمعی " sheetId="13" r:id="rId37"/>
    <sheet name="MOVING AVERAGE" sheetId="19" r:id="rId38"/>
    <sheet name="PRICE CHANNEL" sheetId="22" r:id="rId39"/>
    <sheet name="BOLLINGER BANDS" sheetId="17" r:id="rId40"/>
    <sheet name="ICHIMOKU CLOUDS" sheetId="60" r:id="rId41"/>
    <sheet name="RSI" sheetId="44" r:id="rId42"/>
    <sheet name="RVI" sheetId="56" r:id="rId43"/>
    <sheet name="TSI" sheetId="52" r:id="rId44"/>
    <sheet name="MFI" sheetId="49" r:id="rId45"/>
    <sheet name="CCI" sheetId="50" r:id="rId46"/>
    <sheet name="EFI" sheetId="53" r:id="rId47"/>
    <sheet name="MACD" sheetId="45" r:id="rId48"/>
    <sheet name="STOCHASTIC" sheetId="46" r:id="rId49"/>
    <sheet name="STOCH RSI" sheetId="58" r:id="rId50"/>
    <sheet name="PPO-PVO-PVAO" sheetId="48" r:id="rId51"/>
    <sheet name="CMO" sheetId="54" r:id="rId52"/>
    <sheet name="LRC" sheetId="55" r:id="rId53"/>
  </sheets>
  <definedNames>
    <definedName name="HAGH" localSheetId="14">'تعداد براساس قیمت'!$C$2:$C$61</definedName>
    <definedName name="HAGH">'حجم براساس قیمت'!$C$2:$C$61</definedName>
    <definedName name="HOGH" localSheetId="14">'تعداد براساس قیمت'!$D$2:$D$61</definedName>
    <definedName name="HOGH">'حجم براساس قیمت'!$D$2:$D$61</definedName>
    <definedName name="PRICE" localSheetId="14">'تعداد براساس قیمت'!$B$2:$B$61</definedName>
    <definedName name="PRICE">'حجم براساس قیمت'!$B$2:$B$61</definedName>
  </definedNames>
  <calcPr calcId="191029"/>
</workbook>
</file>

<file path=xl/calcChain.xml><?xml version="1.0" encoding="utf-8"?>
<calcChain xmlns="http://schemas.openxmlformats.org/spreadsheetml/2006/main">
  <c r="BB22" i="16" l="1"/>
  <c r="BA24" i="16" a="1"/>
  <c r="BA24" i="16" s="1"/>
  <c r="BA25" i="16" a="1"/>
  <c r="BA25" i="16"/>
  <c r="BA26" i="16" a="1"/>
  <c r="BA26" i="16" s="1"/>
  <c r="BA27" i="16" a="1"/>
  <c r="BA27" i="16"/>
  <c r="BA28" i="16" a="1"/>
  <c r="BA28" i="16" s="1"/>
  <c r="BA29" i="16" a="1"/>
  <c r="BA29" i="16"/>
  <c r="BA30" i="16" a="1"/>
  <c r="BA30" i="16" s="1"/>
  <c r="BA31" i="16" a="1"/>
  <c r="BA31" i="16"/>
  <c r="BA32" i="16" a="1"/>
  <c r="BA32" i="16" s="1"/>
  <c r="BA33" i="16" a="1"/>
  <c r="BA33" i="16"/>
  <c r="BA34" i="16" a="1"/>
  <c r="BA34" i="16" s="1"/>
  <c r="BA35" i="16" a="1"/>
  <c r="BA35" i="16"/>
  <c r="BA36" i="16" a="1"/>
  <c r="BA36" i="16" s="1"/>
  <c r="BA37" i="16" a="1"/>
  <c r="BA37" i="16"/>
  <c r="BA38" i="16" a="1"/>
  <c r="BA38" i="16" s="1"/>
  <c r="BA39" i="16" a="1"/>
  <c r="BA39" i="16"/>
  <c r="BA40" i="16" a="1"/>
  <c r="BA40" i="16" s="1"/>
  <c r="BA41" i="16" a="1"/>
  <c r="BA41" i="16"/>
  <c r="BA42" i="16" a="1"/>
  <c r="BA42" i="16" s="1"/>
  <c r="BA43" i="16" a="1"/>
  <c r="BA43" i="16"/>
  <c r="BA44" i="16" a="1"/>
  <c r="BA44" i="16" s="1"/>
  <c r="BA45" i="16" a="1"/>
  <c r="BA45" i="16"/>
  <c r="BA46" i="16" a="1"/>
  <c r="BA46" i="16" s="1"/>
  <c r="BA47" i="16" a="1"/>
  <c r="BA47" i="16"/>
  <c r="BA48" i="16" a="1"/>
  <c r="BA48" i="16" s="1"/>
  <c r="BA49" i="16" a="1"/>
  <c r="BA49" i="16"/>
  <c r="BA50" i="16" a="1"/>
  <c r="BA50" i="16" s="1"/>
  <c r="BA51" i="16" a="1"/>
  <c r="BA51" i="16"/>
  <c r="BA52" i="16" a="1"/>
  <c r="BA52" i="16" s="1"/>
  <c r="BA53" i="16" a="1"/>
  <c r="BA53" i="16"/>
  <c r="BA54" i="16" a="1"/>
  <c r="BA54" i="16" s="1"/>
  <c r="BA55" i="16" a="1"/>
  <c r="BA55" i="16"/>
  <c r="BA56" i="16" a="1"/>
  <c r="BA56" i="16" s="1"/>
  <c r="BA57" i="16" a="1"/>
  <c r="BA57" i="16"/>
  <c r="BA58" i="16" a="1"/>
  <c r="BA58" i="16" s="1"/>
  <c r="BA59" i="16" a="1"/>
  <c r="BA59" i="16"/>
  <c r="BA60" i="16" a="1"/>
  <c r="BA60" i="16" s="1"/>
  <c r="BA61" i="16" a="1"/>
  <c r="BA61" i="16" s="1"/>
  <c r="BA62" i="16" a="1"/>
  <c r="BA62" i="16" s="1"/>
  <c r="BA23" i="16" a="1"/>
  <c r="BA23" i="16"/>
  <c r="BA22" i="16" a="1"/>
  <c r="BA22" i="16" s="1"/>
  <c r="K60" i="15" l="1"/>
  <c r="K59" i="15"/>
  <c r="K58" i="15"/>
  <c r="K57" i="15"/>
  <c r="K56" i="15"/>
  <c r="K55" i="15"/>
  <c r="K54" i="15"/>
  <c r="K53" i="15"/>
  <c r="K52" i="15"/>
  <c r="K51" i="15"/>
  <c r="K50" i="15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K8" i="15"/>
  <c r="K7" i="15"/>
  <c r="K6" i="15"/>
  <c r="K5" i="15"/>
  <c r="K4" i="15"/>
  <c r="K3" i="15"/>
  <c r="K61" i="15"/>
  <c r="K2" i="15"/>
  <c r="D2" i="63"/>
  <c r="J61" i="30" l="1"/>
  <c r="J60" i="30"/>
  <c r="J59" i="30"/>
  <c r="J58" i="30"/>
  <c r="J57" i="30"/>
  <c r="J56" i="30"/>
  <c r="J55" i="30"/>
  <c r="J54" i="30"/>
  <c r="J53" i="30"/>
  <c r="J52" i="30"/>
  <c r="J51" i="30"/>
  <c r="J50" i="30"/>
  <c r="J49" i="30"/>
  <c r="J48" i="30"/>
  <c r="J47" i="30"/>
  <c r="J46" i="30"/>
  <c r="J45" i="30"/>
  <c r="J44" i="30"/>
  <c r="J43" i="30"/>
  <c r="J42" i="30"/>
  <c r="J41" i="30"/>
  <c r="J40" i="30"/>
  <c r="J39" i="30"/>
  <c r="J38" i="30"/>
  <c r="J37" i="30"/>
  <c r="J36" i="30"/>
  <c r="J35" i="30"/>
  <c r="J34" i="30"/>
  <c r="J33" i="30"/>
  <c r="J32" i="30"/>
  <c r="J31" i="30"/>
  <c r="J30" i="30"/>
  <c r="J29" i="30"/>
  <c r="J28" i="30"/>
  <c r="J27" i="30"/>
  <c r="J26" i="30"/>
  <c r="J25" i="30"/>
  <c r="J24" i="30"/>
  <c r="J23" i="30"/>
  <c r="J22" i="30"/>
  <c r="J21" i="30"/>
  <c r="J20" i="30"/>
  <c r="J19" i="30"/>
  <c r="J18" i="30"/>
  <c r="J17" i="30"/>
  <c r="J16" i="30"/>
  <c r="J15" i="30"/>
  <c r="J14" i="30"/>
  <c r="J13" i="30"/>
  <c r="J12" i="30"/>
  <c r="J11" i="30"/>
  <c r="J10" i="30"/>
  <c r="J9" i="30"/>
  <c r="J8" i="30"/>
  <c r="J7" i="30"/>
  <c r="J6" i="30"/>
  <c r="J5" i="30"/>
  <c r="J4" i="30"/>
  <c r="J3" i="30"/>
  <c r="J2" i="30"/>
  <c r="N6" i="30" l="1"/>
  <c r="N10" i="30"/>
  <c r="N14" i="30"/>
  <c r="N18" i="30"/>
  <c r="N22" i="30"/>
  <c r="N26" i="30"/>
  <c r="N30" i="30"/>
  <c r="N34" i="30"/>
  <c r="N38" i="30"/>
  <c r="N42" i="30"/>
  <c r="N46" i="30"/>
  <c r="N50" i="30"/>
  <c r="N54" i="30"/>
  <c r="N58" i="30"/>
  <c r="N3" i="30"/>
  <c r="N7" i="30"/>
  <c r="N11" i="30"/>
  <c r="N15" i="30"/>
  <c r="N19" i="30"/>
  <c r="N23" i="30"/>
  <c r="N27" i="30"/>
  <c r="N31" i="30"/>
  <c r="N35" i="30"/>
  <c r="N39" i="30"/>
  <c r="N43" i="30"/>
  <c r="N47" i="30"/>
  <c r="N51" i="30"/>
  <c r="N55" i="30"/>
  <c r="N59" i="30"/>
  <c r="N4" i="30"/>
  <c r="N8" i="30"/>
  <c r="N12" i="30"/>
  <c r="N16" i="30"/>
  <c r="N20" i="30"/>
  <c r="N24" i="30"/>
  <c r="N28" i="30"/>
  <c r="N32" i="30"/>
  <c r="N36" i="30"/>
  <c r="N40" i="30"/>
  <c r="N44" i="30"/>
  <c r="N48" i="30"/>
  <c r="N52" i="30"/>
  <c r="N56" i="30"/>
  <c r="N60" i="30"/>
  <c r="N5" i="30"/>
  <c r="N9" i="30"/>
  <c r="N13" i="30"/>
  <c r="N17" i="30"/>
  <c r="N21" i="30"/>
  <c r="N25" i="30"/>
  <c r="N29" i="30"/>
  <c r="N33" i="30"/>
  <c r="N37" i="30"/>
  <c r="N41" i="30"/>
  <c r="N45" i="30"/>
  <c r="N49" i="30"/>
  <c r="N53" i="30"/>
  <c r="N57" i="30"/>
  <c r="N61" i="30"/>
  <c r="S7" i="34"/>
  <c r="S8" i="34"/>
  <c r="S9" i="34"/>
  <c r="S10" i="34"/>
  <c r="S11" i="34"/>
  <c r="S12" i="34"/>
  <c r="S13" i="34"/>
  <c r="S14" i="34"/>
  <c r="S15" i="34"/>
  <c r="S16" i="34"/>
  <c r="S17" i="34"/>
  <c r="S18" i="34"/>
  <c r="S19" i="34"/>
  <c r="S20" i="34"/>
  <c r="S21" i="34"/>
  <c r="S22" i="34"/>
  <c r="S23" i="34"/>
  <c r="S24" i="34"/>
  <c r="S25" i="34"/>
  <c r="S26" i="34"/>
  <c r="S27" i="34"/>
  <c r="S28" i="34"/>
  <c r="S29" i="34"/>
  <c r="S30" i="34"/>
  <c r="S31" i="34"/>
  <c r="S32" i="34"/>
  <c r="S33" i="34"/>
  <c r="S34" i="34"/>
  <c r="S35" i="34"/>
  <c r="S36" i="34"/>
  <c r="S37" i="34"/>
  <c r="S38" i="34"/>
  <c r="S39" i="34"/>
  <c r="S40" i="34"/>
  <c r="S41" i="34"/>
  <c r="S42" i="34"/>
  <c r="S43" i="34"/>
  <c r="S44" i="34"/>
  <c r="S45" i="34"/>
  <c r="S46" i="34"/>
  <c r="S47" i="34"/>
  <c r="S48" i="34"/>
  <c r="S49" i="34"/>
  <c r="S50" i="34"/>
  <c r="S51" i="34"/>
  <c r="S52" i="34"/>
  <c r="S53" i="34"/>
  <c r="S54" i="34"/>
  <c r="S55" i="34"/>
  <c r="S56" i="34"/>
  <c r="S57" i="34"/>
  <c r="S58" i="34"/>
  <c r="S59" i="34"/>
  <c r="S60" i="34"/>
  <c r="S61" i="34"/>
  <c r="S6" i="34"/>
  <c r="T21" i="34"/>
  <c r="T22" i="34" l="1"/>
  <c r="T23" i="34"/>
  <c r="T24" i="34"/>
  <c r="T25" i="34"/>
  <c r="T26" i="34"/>
  <c r="T27" i="34"/>
  <c r="T28" i="34"/>
  <c r="T29" i="34"/>
  <c r="T30" i="34"/>
  <c r="T31" i="34"/>
  <c r="T32" i="34"/>
  <c r="T33" i="34"/>
  <c r="T34" i="34"/>
  <c r="T35" i="34"/>
  <c r="T36" i="34"/>
  <c r="T37" i="34"/>
  <c r="T38" i="34"/>
  <c r="T39" i="34"/>
  <c r="T40" i="34"/>
  <c r="T41" i="34"/>
  <c r="T42" i="34"/>
  <c r="T43" i="34"/>
  <c r="T44" i="34"/>
  <c r="T45" i="34"/>
  <c r="T46" i="34"/>
  <c r="T47" i="34"/>
  <c r="T48" i="34"/>
  <c r="T49" i="34"/>
  <c r="T50" i="34"/>
  <c r="T51" i="34"/>
  <c r="T52" i="34"/>
  <c r="T53" i="34"/>
  <c r="T54" i="34"/>
  <c r="T55" i="34"/>
  <c r="T56" i="34"/>
  <c r="T57" i="34"/>
  <c r="T58" i="34"/>
  <c r="T59" i="34"/>
  <c r="T60" i="34"/>
  <c r="T61" i="34"/>
  <c r="D42" i="65" l="1"/>
  <c r="C42" i="65"/>
  <c r="D44" i="65"/>
  <c r="C44" i="65"/>
  <c r="D45" i="65"/>
  <c r="C45" i="65"/>
  <c r="D50" i="65"/>
  <c r="C50" i="65"/>
  <c r="D54" i="65"/>
  <c r="C54" i="65"/>
  <c r="D58" i="65"/>
  <c r="C58" i="65"/>
  <c r="D61" i="65"/>
  <c r="C61" i="65"/>
  <c r="D57" i="65"/>
  <c r="C57" i="65"/>
  <c r="D53" i="65"/>
  <c r="C53" i="65"/>
  <c r="D51" i="65"/>
  <c r="C51" i="65"/>
  <c r="D55" i="65"/>
  <c r="C55" i="65"/>
  <c r="D60" i="65"/>
  <c r="C60" i="65"/>
  <c r="D59" i="65"/>
  <c r="C59" i="65"/>
  <c r="D56" i="65"/>
  <c r="C56" i="65"/>
  <c r="D52" i="65"/>
  <c r="C52" i="65"/>
  <c r="D49" i="65"/>
  <c r="C49" i="65"/>
  <c r="D47" i="65"/>
  <c r="C47" i="65"/>
  <c r="D48" i="65"/>
  <c r="C48" i="65"/>
  <c r="D46" i="65"/>
  <c r="C46" i="65"/>
  <c r="D43" i="65"/>
  <c r="C43" i="65"/>
  <c r="D41" i="65"/>
  <c r="C41" i="65"/>
  <c r="D33" i="65"/>
  <c r="C33" i="65"/>
  <c r="D30" i="65"/>
  <c r="C30" i="65"/>
  <c r="D36" i="65"/>
  <c r="C36" i="65"/>
  <c r="D28" i="65"/>
  <c r="C28" i="65"/>
  <c r="D26" i="65"/>
  <c r="C26" i="65"/>
  <c r="D31" i="65"/>
  <c r="C31" i="65"/>
  <c r="D23" i="65"/>
  <c r="C23" i="65"/>
  <c r="D24" i="65"/>
  <c r="C24" i="65"/>
  <c r="D29" i="65"/>
  <c r="C29" i="65"/>
  <c r="D27" i="65"/>
  <c r="C27" i="65"/>
  <c r="D34" i="65"/>
  <c r="C34" i="65"/>
  <c r="D25" i="65"/>
  <c r="C25" i="65"/>
  <c r="D35" i="65"/>
  <c r="C35" i="65"/>
  <c r="D37" i="65"/>
  <c r="C37" i="65"/>
  <c r="D38" i="65"/>
  <c r="C38" i="65"/>
  <c r="D39" i="65"/>
  <c r="C39" i="65"/>
  <c r="D40" i="65"/>
  <c r="C40" i="65"/>
  <c r="D32" i="65"/>
  <c r="C32" i="65"/>
  <c r="D22" i="65"/>
  <c r="C22" i="65"/>
  <c r="D21" i="65"/>
  <c r="C21" i="65"/>
  <c r="D19" i="65"/>
  <c r="C19" i="65"/>
  <c r="D14" i="65"/>
  <c r="C14" i="65"/>
  <c r="D7" i="65"/>
  <c r="C7" i="65"/>
  <c r="D13" i="65"/>
  <c r="C13" i="65"/>
  <c r="D17" i="65"/>
  <c r="C17" i="65"/>
  <c r="D18" i="65"/>
  <c r="C18" i="65"/>
  <c r="D20" i="65"/>
  <c r="C20" i="65"/>
  <c r="D16" i="65"/>
  <c r="C16" i="65"/>
  <c r="D15" i="65"/>
  <c r="C15" i="65"/>
  <c r="D8" i="65"/>
  <c r="C8" i="65"/>
  <c r="D12" i="65"/>
  <c r="C12" i="65"/>
  <c r="D6" i="65"/>
  <c r="C6" i="65"/>
  <c r="D11" i="65"/>
  <c r="C11" i="65"/>
  <c r="D10" i="65"/>
  <c r="C10" i="65"/>
  <c r="D9" i="65"/>
  <c r="C9" i="65"/>
  <c r="D5" i="65"/>
  <c r="C5" i="65"/>
  <c r="D2" i="65"/>
  <c r="C2" i="65"/>
  <c r="D4" i="65"/>
  <c r="C4" i="65"/>
  <c r="D3" i="65"/>
  <c r="C3" i="65"/>
  <c r="E2" i="65"/>
  <c r="J1" i="65"/>
  <c r="D61" i="63"/>
  <c r="C61" i="63"/>
  <c r="D60" i="63"/>
  <c r="C60" i="63"/>
  <c r="D59" i="63"/>
  <c r="C59" i="63"/>
  <c r="D58" i="63"/>
  <c r="C58" i="63"/>
  <c r="D57" i="63"/>
  <c r="C57" i="63"/>
  <c r="D56" i="63"/>
  <c r="C56" i="63"/>
  <c r="D55" i="63"/>
  <c r="C55" i="63"/>
  <c r="D54" i="63"/>
  <c r="C54" i="63"/>
  <c r="D53" i="63"/>
  <c r="C53" i="63"/>
  <c r="D52" i="63"/>
  <c r="C52" i="63"/>
  <c r="D51" i="63"/>
  <c r="C51" i="63"/>
  <c r="D50" i="63"/>
  <c r="C50" i="63"/>
  <c r="D49" i="63"/>
  <c r="C49" i="63"/>
  <c r="D48" i="63"/>
  <c r="C48" i="63"/>
  <c r="D47" i="63"/>
  <c r="C47" i="63"/>
  <c r="D46" i="63"/>
  <c r="C46" i="63"/>
  <c r="D45" i="63"/>
  <c r="C45" i="63"/>
  <c r="D44" i="63"/>
  <c r="C44" i="63"/>
  <c r="D43" i="63"/>
  <c r="C43" i="63"/>
  <c r="D42" i="63"/>
  <c r="C42" i="63"/>
  <c r="D41" i="63"/>
  <c r="C41" i="63"/>
  <c r="D40" i="63"/>
  <c r="C40" i="63"/>
  <c r="D39" i="63"/>
  <c r="C39" i="63"/>
  <c r="D38" i="63"/>
  <c r="C38" i="63"/>
  <c r="D37" i="63"/>
  <c r="C37" i="63"/>
  <c r="D36" i="63"/>
  <c r="C36" i="63"/>
  <c r="D35" i="63"/>
  <c r="C35" i="63"/>
  <c r="D34" i="63"/>
  <c r="C34" i="63"/>
  <c r="D33" i="63"/>
  <c r="C33" i="63"/>
  <c r="D32" i="63"/>
  <c r="C32" i="63"/>
  <c r="D31" i="63"/>
  <c r="C31" i="63"/>
  <c r="D30" i="63"/>
  <c r="C30" i="63"/>
  <c r="D29" i="63"/>
  <c r="C29" i="63"/>
  <c r="D28" i="63"/>
  <c r="C28" i="63"/>
  <c r="F2" i="65" l="1"/>
  <c r="E3" i="65" s="1"/>
  <c r="AQ58" i="65"/>
  <c r="K60" i="65"/>
  <c r="AQ53" i="65"/>
  <c r="K61" i="65"/>
  <c r="K55" i="65"/>
  <c r="K54" i="65"/>
  <c r="AQ49" i="65"/>
  <c r="K53" i="65"/>
  <c r="K49" i="65"/>
  <c r="K48" i="65"/>
  <c r="K44" i="65"/>
  <c r="K43" i="65"/>
  <c r="K40" i="65"/>
  <c r="K39" i="65"/>
  <c r="AQ43" i="65"/>
  <c r="AQ48" i="65"/>
  <c r="AQ40" i="65"/>
  <c r="AQ38" i="65"/>
  <c r="AQ35" i="65"/>
  <c r="AQ34" i="65"/>
  <c r="AQ33" i="65"/>
  <c r="AQ45" i="65"/>
  <c r="AQ41" i="65"/>
  <c r="AQ42" i="65"/>
  <c r="K31" i="65"/>
  <c r="AQ28" i="65"/>
  <c r="K26" i="65"/>
  <c r="K36" i="65"/>
  <c r="K32" i="65"/>
  <c r="K29" i="65"/>
  <c r="AQ23" i="65"/>
  <c r="K37" i="65"/>
  <c r="K28" i="65"/>
  <c r="K24" i="65"/>
  <c r="AQ22" i="65"/>
  <c r="K20" i="65"/>
  <c r="AQ14" i="65"/>
  <c r="K12" i="65"/>
  <c r="AQ10" i="65"/>
  <c r="K38" i="65"/>
  <c r="AQ21" i="65"/>
  <c r="AQ17" i="65"/>
  <c r="AQ13" i="65"/>
  <c r="AQ9" i="65"/>
  <c r="K7" i="65"/>
  <c r="K27" i="65"/>
  <c r="K22" i="65"/>
  <c r="AQ20" i="65"/>
  <c r="K14" i="65"/>
  <c r="AQ12" i="65"/>
  <c r="K10" i="65"/>
  <c r="K6" i="65"/>
  <c r="AQ4" i="65"/>
  <c r="G2" i="65"/>
  <c r="K13" i="65"/>
  <c r="AQ15" i="65"/>
  <c r="AQ2" i="65"/>
  <c r="K17" i="65"/>
  <c r="AQ19" i="65"/>
  <c r="K23" i="65"/>
  <c r="D27" i="63"/>
  <c r="C27" i="63"/>
  <c r="E45" i="63" s="1"/>
  <c r="D26" i="63"/>
  <c r="F44" i="63" s="1"/>
  <c r="C26" i="63"/>
  <c r="D25" i="63"/>
  <c r="C25" i="63"/>
  <c r="D24" i="63"/>
  <c r="F42" i="63" s="1"/>
  <c r="C24" i="63"/>
  <c r="D23" i="63"/>
  <c r="C23" i="63"/>
  <c r="D22" i="63"/>
  <c r="F41" i="63" s="1"/>
  <c r="C22" i="63"/>
  <c r="D21" i="63"/>
  <c r="C21" i="63"/>
  <c r="C20" i="63"/>
  <c r="E39" i="63" s="1"/>
  <c r="D20" i="63"/>
  <c r="D19" i="63"/>
  <c r="C19" i="63"/>
  <c r="D18" i="63"/>
  <c r="C18" i="63"/>
  <c r="D17" i="63"/>
  <c r="C17" i="63"/>
  <c r="D16" i="63"/>
  <c r="C16" i="63"/>
  <c r="D15" i="63"/>
  <c r="C15" i="63"/>
  <c r="D14" i="63"/>
  <c r="C14" i="63"/>
  <c r="D13" i="63"/>
  <c r="C13" i="63"/>
  <c r="D12" i="63"/>
  <c r="C12" i="63"/>
  <c r="D11" i="63"/>
  <c r="C11" i="63"/>
  <c r="D10" i="63"/>
  <c r="C10" i="63"/>
  <c r="D9" i="63"/>
  <c r="C9" i="63"/>
  <c r="D8" i="63"/>
  <c r="C8" i="63"/>
  <c r="D7" i="63"/>
  <c r="C7" i="63"/>
  <c r="D6" i="63"/>
  <c r="C6" i="63"/>
  <c r="D5" i="63"/>
  <c r="C5" i="63"/>
  <c r="D4" i="63"/>
  <c r="C4" i="63"/>
  <c r="D3" i="63"/>
  <c r="C3" i="63"/>
  <c r="B4" i="63"/>
  <c r="B5" i="63" s="1"/>
  <c r="B6" i="63" s="1"/>
  <c r="B7" i="63" s="1"/>
  <c r="B8" i="63" s="1"/>
  <c r="B9" i="63" s="1"/>
  <c r="B10" i="63" s="1"/>
  <c r="B11" i="63" s="1"/>
  <c r="B12" i="63" s="1"/>
  <c r="B13" i="63" s="1"/>
  <c r="B14" i="63" s="1"/>
  <c r="B15" i="63" s="1"/>
  <c r="B16" i="63" s="1"/>
  <c r="B17" i="63" s="1"/>
  <c r="B18" i="63" s="1"/>
  <c r="B19" i="63" s="1"/>
  <c r="B20" i="63" s="1"/>
  <c r="B21" i="63" s="1"/>
  <c r="B22" i="63" s="1"/>
  <c r="B23" i="63" s="1"/>
  <c r="B24" i="63" s="1"/>
  <c r="B25" i="63" s="1"/>
  <c r="B26" i="63" s="1"/>
  <c r="B27" i="63" s="1"/>
  <c r="B28" i="63" s="1"/>
  <c r="B29" i="63" s="1"/>
  <c r="B30" i="63" s="1"/>
  <c r="B31" i="63" s="1"/>
  <c r="B32" i="63" s="1"/>
  <c r="B33" i="63" s="1"/>
  <c r="B34" i="63" s="1"/>
  <c r="B35" i="63" s="1"/>
  <c r="B36" i="63" s="1"/>
  <c r="B37" i="63" s="1"/>
  <c r="B38" i="63" s="1"/>
  <c r="B39" i="63" s="1"/>
  <c r="B40" i="63" s="1"/>
  <c r="B41" i="63" s="1"/>
  <c r="B42" i="63" s="1"/>
  <c r="B43" i="63" s="1"/>
  <c r="B44" i="63" s="1"/>
  <c r="B45" i="63" s="1"/>
  <c r="B46" i="63" s="1"/>
  <c r="B47" i="63" s="1"/>
  <c r="B48" i="63" s="1"/>
  <c r="B49" i="63" s="1"/>
  <c r="B50" i="63" s="1"/>
  <c r="B51" i="63" s="1"/>
  <c r="B52" i="63" s="1"/>
  <c r="B53" i="63" s="1"/>
  <c r="B54" i="63" s="1"/>
  <c r="B55" i="63" s="1"/>
  <c r="B56" i="63" s="1"/>
  <c r="B57" i="63" s="1"/>
  <c r="B58" i="63" s="1"/>
  <c r="B59" i="63" s="1"/>
  <c r="B60" i="63" s="1"/>
  <c r="B61" i="63" s="1"/>
  <c r="B3" i="63"/>
  <c r="C2" i="63"/>
  <c r="G2" i="63" s="1"/>
  <c r="F61" i="63"/>
  <c r="E61" i="63"/>
  <c r="F60" i="63"/>
  <c r="F59" i="63"/>
  <c r="E59" i="63"/>
  <c r="F58" i="63"/>
  <c r="F57" i="63"/>
  <c r="E57" i="63"/>
  <c r="F56" i="63"/>
  <c r="F55" i="63"/>
  <c r="E55" i="63"/>
  <c r="F54" i="63"/>
  <c r="F53" i="63"/>
  <c r="E53" i="63"/>
  <c r="F52" i="63"/>
  <c r="F51" i="63"/>
  <c r="E51" i="63"/>
  <c r="F50" i="63"/>
  <c r="F49" i="63"/>
  <c r="E49" i="63"/>
  <c r="F48" i="63"/>
  <c r="E48" i="63"/>
  <c r="F47" i="63"/>
  <c r="E47" i="63"/>
  <c r="F46" i="63"/>
  <c r="F45" i="63"/>
  <c r="E43" i="63"/>
  <c r="E41" i="63"/>
  <c r="H2" i="63"/>
  <c r="H3" i="63" s="1"/>
  <c r="E35" i="63" l="1"/>
  <c r="E31" i="63"/>
  <c r="F43" i="63"/>
  <c r="G3" i="63"/>
  <c r="G4" i="63" s="1"/>
  <c r="G5" i="63" s="1"/>
  <c r="G6" i="63" s="1"/>
  <c r="G7" i="63" s="1"/>
  <c r="G8" i="63" s="1"/>
  <c r="G9" i="63" s="1"/>
  <c r="G10" i="63" s="1"/>
  <c r="G11" i="63" s="1"/>
  <c r="G12" i="63" s="1"/>
  <c r="G13" i="63" s="1"/>
  <c r="G14" i="63" s="1"/>
  <c r="G15" i="63" s="1"/>
  <c r="G16" i="63" s="1"/>
  <c r="G17" i="63" s="1"/>
  <c r="G18" i="63" s="1"/>
  <c r="G19" i="63" s="1"/>
  <c r="G20" i="63" s="1"/>
  <c r="G21" i="63" s="1"/>
  <c r="G22" i="63" s="1"/>
  <c r="G23" i="63" s="1"/>
  <c r="G24" i="63" s="1"/>
  <c r="G25" i="63" s="1"/>
  <c r="G26" i="63" s="1"/>
  <c r="G27" i="63" s="1"/>
  <c r="G28" i="63" s="1"/>
  <c r="G29" i="63" s="1"/>
  <c r="G30" i="63" s="1"/>
  <c r="G31" i="63" s="1"/>
  <c r="G32" i="63" s="1"/>
  <c r="G33" i="63" s="1"/>
  <c r="G34" i="63" s="1"/>
  <c r="G35" i="63" s="1"/>
  <c r="G36" i="63" s="1"/>
  <c r="G37" i="63" s="1"/>
  <c r="G38" i="63" s="1"/>
  <c r="G39" i="63" s="1"/>
  <c r="G40" i="63" s="1"/>
  <c r="G41" i="63" s="1"/>
  <c r="G42" i="63" s="1"/>
  <c r="G43" i="63" s="1"/>
  <c r="G44" i="63" s="1"/>
  <c r="G45" i="63" s="1"/>
  <c r="G46" i="63" s="1"/>
  <c r="G47" i="63" s="1"/>
  <c r="G48" i="63" s="1"/>
  <c r="G49" i="63" s="1"/>
  <c r="G50" i="63" s="1"/>
  <c r="G51" i="63" s="1"/>
  <c r="G52" i="63" s="1"/>
  <c r="G53" i="63" s="1"/>
  <c r="G54" i="63" s="1"/>
  <c r="G55" i="63" s="1"/>
  <c r="G56" i="63" s="1"/>
  <c r="G57" i="63" s="1"/>
  <c r="G58" i="63" s="1"/>
  <c r="G59" i="63" s="1"/>
  <c r="G60" i="63" s="1"/>
  <c r="G61" i="63" s="1"/>
  <c r="F37" i="63"/>
  <c r="H4" i="63"/>
  <c r="H5" i="63" s="1"/>
  <c r="H6" i="63" s="1"/>
  <c r="H7" i="63" s="1"/>
  <c r="H8" i="63" s="1"/>
  <c r="H9" i="63" s="1"/>
  <c r="K45" i="65"/>
  <c r="K51" i="65"/>
  <c r="AQ50" i="65"/>
  <c r="K56" i="65"/>
  <c r="AQ55" i="65"/>
  <c r="AQ59" i="65"/>
  <c r="K4" i="65"/>
  <c r="K3" i="65"/>
  <c r="AQ8" i="65"/>
  <c r="AQ16" i="65"/>
  <c r="AQ5" i="65"/>
  <c r="K15" i="65"/>
  <c r="AQ6" i="65"/>
  <c r="AQ18" i="65"/>
  <c r="AQ26" i="65"/>
  <c r="K25" i="65"/>
  <c r="AQ24" i="65"/>
  <c r="K35" i="65"/>
  <c r="AQ31" i="65"/>
  <c r="AQ37" i="65"/>
  <c r="AQ39" i="65"/>
  <c r="K41" i="65"/>
  <c r="K47" i="65"/>
  <c r="K52" i="65"/>
  <c r="AQ51" i="65"/>
  <c r="K58" i="65"/>
  <c r="AQ56" i="65"/>
  <c r="AQ60" i="65"/>
  <c r="K2" i="65"/>
  <c r="K18" i="65"/>
  <c r="AQ29" i="65"/>
  <c r="K11" i="65"/>
  <c r="K19" i="65"/>
  <c r="K8" i="65"/>
  <c r="K16" i="65"/>
  <c r="K34" i="65"/>
  <c r="K33" i="65"/>
  <c r="AQ27" i="65"/>
  <c r="AQ46" i="65"/>
  <c r="K30" i="65"/>
  <c r="AQ30" i="65"/>
  <c r="AQ32" i="65"/>
  <c r="AQ36" i="65"/>
  <c r="AQ44" i="65"/>
  <c r="AQ47" i="65"/>
  <c r="K42" i="65"/>
  <c r="K46" i="65"/>
  <c r="K50" i="65"/>
  <c r="K59" i="65"/>
  <c r="AQ52" i="65"/>
  <c r="K57" i="65"/>
  <c r="AQ54" i="65"/>
  <c r="AQ57" i="65"/>
  <c r="AQ61" i="65"/>
  <c r="AQ7" i="65"/>
  <c r="K9" i="65"/>
  <c r="K5" i="65"/>
  <c r="AR4" i="65"/>
  <c r="L3" i="65"/>
  <c r="F3" i="65"/>
  <c r="E4" i="65" s="1"/>
  <c r="L2" i="65"/>
  <c r="AR3" i="65"/>
  <c r="L4" i="65"/>
  <c r="AR2" i="65"/>
  <c r="AQ3" i="65"/>
  <c r="AQ11" i="65"/>
  <c r="K21" i="65"/>
  <c r="AQ25" i="65"/>
  <c r="E29" i="63"/>
  <c r="F28" i="63"/>
  <c r="F38" i="63"/>
  <c r="F40" i="63"/>
  <c r="F39" i="63"/>
  <c r="F32" i="63"/>
  <c r="F36" i="63"/>
  <c r="F35" i="63"/>
  <c r="E23" i="63"/>
  <c r="E27" i="63"/>
  <c r="F24" i="63"/>
  <c r="E25" i="63"/>
  <c r="E33" i="63"/>
  <c r="E56" i="63"/>
  <c r="E22" i="63"/>
  <c r="F23" i="63"/>
  <c r="E26" i="63"/>
  <c r="F27" i="63"/>
  <c r="E30" i="63"/>
  <c r="F31" i="63"/>
  <c r="E34" i="63"/>
  <c r="E36" i="63"/>
  <c r="E38" i="63"/>
  <c r="E42" i="63"/>
  <c r="E50" i="63"/>
  <c r="E58" i="63"/>
  <c r="F22" i="63"/>
  <c r="F26" i="63"/>
  <c r="F30" i="63"/>
  <c r="F34" i="63"/>
  <c r="E40" i="63"/>
  <c r="E44" i="63"/>
  <c r="E52" i="63"/>
  <c r="E37" i="63"/>
  <c r="E60" i="63"/>
  <c r="E21" i="63"/>
  <c r="F21" i="63"/>
  <c r="E24" i="63"/>
  <c r="F25" i="63"/>
  <c r="E28" i="63"/>
  <c r="F29" i="63"/>
  <c r="E32" i="63"/>
  <c r="F33" i="63"/>
  <c r="E46" i="63"/>
  <c r="E54" i="63"/>
  <c r="G42" i="30"/>
  <c r="H42" i="30"/>
  <c r="I42" i="30"/>
  <c r="G43" i="30"/>
  <c r="H43" i="30"/>
  <c r="I43" i="30"/>
  <c r="G44" i="30"/>
  <c r="H44" i="30"/>
  <c r="I44" i="30"/>
  <c r="G45" i="30"/>
  <c r="H45" i="30"/>
  <c r="I45" i="30"/>
  <c r="G46" i="30"/>
  <c r="H46" i="30"/>
  <c r="I46" i="30"/>
  <c r="G47" i="30"/>
  <c r="H47" i="30"/>
  <c r="I47" i="30"/>
  <c r="G48" i="30"/>
  <c r="H48" i="30"/>
  <c r="I48" i="30"/>
  <c r="G49" i="30"/>
  <c r="H49" i="30"/>
  <c r="I49" i="30"/>
  <c r="G50" i="30"/>
  <c r="H50" i="30"/>
  <c r="I50" i="30"/>
  <c r="G51" i="30"/>
  <c r="H51" i="30"/>
  <c r="I51" i="30"/>
  <c r="G52" i="30"/>
  <c r="H52" i="30"/>
  <c r="I52" i="30"/>
  <c r="G53" i="30"/>
  <c r="H53" i="30"/>
  <c r="I53" i="30"/>
  <c r="G54" i="30"/>
  <c r="H54" i="30"/>
  <c r="I54" i="30"/>
  <c r="G55" i="30"/>
  <c r="H55" i="30"/>
  <c r="I55" i="30"/>
  <c r="G56" i="30"/>
  <c r="H56" i="30"/>
  <c r="I56" i="30"/>
  <c r="G57" i="30"/>
  <c r="H57" i="30"/>
  <c r="I57" i="30"/>
  <c r="G58" i="30"/>
  <c r="H58" i="30"/>
  <c r="I58" i="30"/>
  <c r="G59" i="30"/>
  <c r="H59" i="30"/>
  <c r="I59" i="30"/>
  <c r="G60" i="30"/>
  <c r="H60" i="30"/>
  <c r="I60" i="30"/>
  <c r="G22" i="30"/>
  <c r="H22" i="30"/>
  <c r="I22" i="30"/>
  <c r="G23" i="30"/>
  <c r="H23" i="30"/>
  <c r="I23" i="30"/>
  <c r="G24" i="30"/>
  <c r="H24" i="30"/>
  <c r="I24" i="30"/>
  <c r="G25" i="30"/>
  <c r="H25" i="30"/>
  <c r="I25" i="30"/>
  <c r="G26" i="30"/>
  <c r="H26" i="30"/>
  <c r="I26" i="30"/>
  <c r="G27" i="30"/>
  <c r="H27" i="30"/>
  <c r="I27" i="30"/>
  <c r="G28" i="30"/>
  <c r="H28" i="30"/>
  <c r="I28" i="30"/>
  <c r="G29" i="30"/>
  <c r="H29" i="30"/>
  <c r="I29" i="30"/>
  <c r="G30" i="30"/>
  <c r="H30" i="30"/>
  <c r="I30" i="30"/>
  <c r="G31" i="30"/>
  <c r="H31" i="30"/>
  <c r="I31" i="30"/>
  <c r="G32" i="30"/>
  <c r="H32" i="30"/>
  <c r="I32" i="30"/>
  <c r="G33" i="30"/>
  <c r="H33" i="30"/>
  <c r="I33" i="30"/>
  <c r="G34" i="30"/>
  <c r="H34" i="30"/>
  <c r="I34" i="30"/>
  <c r="G35" i="30"/>
  <c r="H35" i="30"/>
  <c r="I35" i="30"/>
  <c r="G36" i="30"/>
  <c r="H36" i="30"/>
  <c r="I36" i="30"/>
  <c r="G37" i="30"/>
  <c r="H37" i="30"/>
  <c r="I37" i="30"/>
  <c r="G38" i="30"/>
  <c r="H38" i="30"/>
  <c r="I38" i="30"/>
  <c r="G39" i="30"/>
  <c r="H39" i="30"/>
  <c r="I39" i="30"/>
  <c r="G40" i="30"/>
  <c r="H40" i="30"/>
  <c r="I40" i="30"/>
  <c r="G41" i="30"/>
  <c r="H41" i="30"/>
  <c r="I41" i="30"/>
  <c r="I21" i="30"/>
  <c r="H21" i="30"/>
  <c r="G21" i="30"/>
  <c r="L25" i="65" l="1"/>
  <c r="K62" i="65"/>
  <c r="H2" i="65" s="1"/>
  <c r="L8" i="65"/>
  <c r="AR33" i="65"/>
  <c r="AR6" i="65"/>
  <c r="AR10" i="65"/>
  <c r="AR19" i="65"/>
  <c r="AR49" i="65"/>
  <c r="L20" i="65"/>
  <c r="AR60" i="65"/>
  <c r="L7" i="65"/>
  <c r="L51" i="65"/>
  <c r="L16" i="65"/>
  <c r="L15" i="65"/>
  <c r="L31" i="65"/>
  <c r="AR37" i="65"/>
  <c r="L41" i="65"/>
  <c r="AR55" i="65"/>
  <c r="AR24" i="65"/>
  <c r="L12" i="65"/>
  <c r="AR18" i="65"/>
  <c r="AR12" i="65"/>
  <c r="L23" i="65"/>
  <c r="L35" i="65"/>
  <c r="AR41" i="65"/>
  <c r="L45" i="65"/>
  <c r="L57" i="65"/>
  <c r="AR22" i="65"/>
  <c r="AR14" i="65"/>
  <c r="AR11" i="65"/>
  <c r="AR20" i="65"/>
  <c r="L24" i="65"/>
  <c r="AR50" i="65"/>
  <c r="AR45" i="65"/>
  <c r="AR51" i="65"/>
  <c r="L61" i="65"/>
  <c r="AQ62" i="65"/>
  <c r="I2" i="65" s="1"/>
  <c r="G3" i="65"/>
  <c r="L5" i="65"/>
  <c r="L13" i="65"/>
  <c r="L21" i="65"/>
  <c r="L6" i="65"/>
  <c r="L14" i="65"/>
  <c r="L22" i="65"/>
  <c r="AR9" i="65"/>
  <c r="AR17" i="65"/>
  <c r="AR25" i="65"/>
  <c r="AR26" i="65"/>
  <c r="AR27" i="65"/>
  <c r="L32" i="65"/>
  <c r="L36" i="65"/>
  <c r="AR30" i="65"/>
  <c r="AR34" i="65"/>
  <c r="AR38" i="65"/>
  <c r="AR42" i="65"/>
  <c r="AR46" i="65"/>
  <c r="AR52" i="65"/>
  <c r="L42" i="65"/>
  <c r="L46" i="65"/>
  <c r="AR53" i="65"/>
  <c r="L52" i="65"/>
  <c r="L54" i="65"/>
  <c r="L58" i="65"/>
  <c r="AR57" i="65"/>
  <c r="AR61" i="65"/>
  <c r="M5" i="65"/>
  <c r="F4" i="65"/>
  <c r="E5" i="65" s="1"/>
  <c r="M2" i="65"/>
  <c r="AS3" i="65"/>
  <c r="M3" i="65"/>
  <c r="AS23" i="65"/>
  <c r="AS4" i="65"/>
  <c r="M4" i="65"/>
  <c r="AS2" i="65"/>
  <c r="AS5" i="65"/>
  <c r="AR7" i="65"/>
  <c r="AR15" i="65"/>
  <c r="L26" i="65"/>
  <c r="AR8" i="65"/>
  <c r="AR16" i="65"/>
  <c r="L30" i="65"/>
  <c r="L11" i="65"/>
  <c r="L19" i="65"/>
  <c r="L27" i="65"/>
  <c r="L28" i="65"/>
  <c r="L29" i="65"/>
  <c r="L33" i="65"/>
  <c r="L37" i="65"/>
  <c r="AR31" i="65"/>
  <c r="AR35" i="65"/>
  <c r="AR39" i="65"/>
  <c r="AR43" i="65"/>
  <c r="AR47" i="65"/>
  <c r="L39" i="65"/>
  <c r="L43" i="65"/>
  <c r="L47" i="65"/>
  <c r="L49" i="65"/>
  <c r="L53" i="65"/>
  <c r="L55" i="65"/>
  <c r="L59" i="65"/>
  <c r="AR58" i="65"/>
  <c r="L9" i="65"/>
  <c r="L17" i="65"/>
  <c r="AR28" i="65"/>
  <c r="L10" i="65"/>
  <c r="L18" i="65"/>
  <c r="AR5" i="65"/>
  <c r="AR13" i="65"/>
  <c r="AR21" i="65"/>
  <c r="AR29" i="65"/>
  <c r="AR23" i="65"/>
  <c r="AR54" i="65"/>
  <c r="L34" i="65"/>
  <c r="L38" i="65"/>
  <c r="AR32" i="65"/>
  <c r="AR36" i="65"/>
  <c r="AR40" i="65"/>
  <c r="AR44" i="65"/>
  <c r="AR48" i="65"/>
  <c r="L40" i="65"/>
  <c r="L44" i="65"/>
  <c r="L48" i="65"/>
  <c r="L50" i="65"/>
  <c r="AR56" i="65"/>
  <c r="L56" i="65"/>
  <c r="L60" i="65"/>
  <c r="AR59" i="65"/>
  <c r="H10" i="63"/>
  <c r="AS16" i="65" l="1"/>
  <c r="AS57" i="65"/>
  <c r="AS32" i="65"/>
  <c r="AS21" i="65"/>
  <c r="AS6" i="65"/>
  <c r="M37" i="65"/>
  <c r="M19" i="65"/>
  <c r="M7" i="65"/>
  <c r="AS48" i="65"/>
  <c r="AS38" i="65"/>
  <c r="M11" i="65"/>
  <c r="AS14" i="65"/>
  <c r="AS11" i="65"/>
  <c r="AS24" i="65"/>
  <c r="AS26" i="65"/>
  <c r="M40" i="65"/>
  <c r="AS52" i="65"/>
  <c r="M56" i="65"/>
  <c r="AS22" i="65"/>
  <c r="AS19" i="65"/>
  <c r="AS30" i="65"/>
  <c r="M42" i="65"/>
  <c r="AS40" i="65"/>
  <c r="M52" i="65"/>
  <c r="M59" i="65"/>
  <c r="M47" i="65"/>
  <c r="AS8" i="65"/>
  <c r="M23" i="65"/>
  <c r="M33" i="65"/>
  <c r="AS44" i="65"/>
  <c r="AS54" i="65"/>
  <c r="L62" i="65"/>
  <c r="H3" i="65" s="1"/>
  <c r="AR62" i="65"/>
  <c r="I3" i="65" s="1"/>
  <c r="AT7" i="65"/>
  <c r="N5" i="65"/>
  <c r="N8" i="65"/>
  <c r="AT6" i="65"/>
  <c r="N7" i="65"/>
  <c r="AT5" i="65"/>
  <c r="F5" i="65"/>
  <c r="E6" i="65" s="1"/>
  <c r="AT3" i="65"/>
  <c r="N2" i="65"/>
  <c r="AT4" i="65"/>
  <c r="N4" i="65"/>
  <c r="AT2" i="65"/>
  <c r="AT8" i="65"/>
  <c r="N6" i="65"/>
  <c r="N3" i="65"/>
  <c r="M8" i="65"/>
  <c r="M16" i="65"/>
  <c r="M25" i="65"/>
  <c r="M13" i="65"/>
  <c r="M21" i="65"/>
  <c r="M10" i="65"/>
  <c r="M18" i="65"/>
  <c r="M26" i="65"/>
  <c r="AS33" i="65"/>
  <c r="AS25" i="65"/>
  <c r="AS36" i="65"/>
  <c r="M28" i="65"/>
  <c r="M46" i="65"/>
  <c r="M34" i="65"/>
  <c r="M38" i="65"/>
  <c r="M44" i="65"/>
  <c r="AS41" i="65"/>
  <c r="AS45" i="65"/>
  <c r="AS49" i="65"/>
  <c r="M49" i="65"/>
  <c r="M53" i="65"/>
  <c r="AS55" i="65"/>
  <c r="AS61" i="65"/>
  <c r="M57" i="65"/>
  <c r="M60" i="65"/>
  <c r="M15" i="65"/>
  <c r="AS10" i="65"/>
  <c r="AS18" i="65"/>
  <c r="AS27" i="65"/>
  <c r="AS7" i="65"/>
  <c r="AS15" i="65"/>
  <c r="M29" i="65"/>
  <c r="AS12" i="65"/>
  <c r="AS20" i="65"/>
  <c r="AS28" i="65"/>
  <c r="AS37" i="65"/>
  <c r="M27" i="65"/>
  <c r="M39" i="65"/>
  <c r="AS31" i="65"/>
  <c r="M31" i="65"/>
  <c r="M35" i="65"/>
  <c r="M41" i="65"/>
  <c r="M48" i="65"/>
  <c r="AS42" i="65"/>
  <c r="AS46" i="65"/>
  <c r="AS50" i="65"/>
  <c r="M50" i="65"/>
  <c r="AS59" i="65"/>
  <c r="AS56" i="65"/>
  <c r="M54" i="65"/>
  <c r="AS60" i="65"/>
  <c r="M61" i="65"/>
  <c r="AS9" i="65"/>
  <c r="G4" i="65"/>
  <c r="AS13" i="65"/>
  <c r="AS17" i="65"/>
  <c r="M12" i="65"/>
  <c r="M20" i="65"/>
  <c r="AS34" i="65"/>
  <c r="M9" i="65"/>
  <c r="M17" i="65"/>
  <c r="M6" i="65"/>
  <c r="M14" i="65"/>
  <c r="M22" i="65"/>
  <c r="M30" i="65"/>
  <c r="M43" i="65"/>
  <c r="AS29" i="65"/>
  <c r="M24" i="65"/>
  <c r="AS35" i="65"/>
  <c r="M32" i="65"/>
  <c r="M36" i="65"/>
  <c r="M45" i="65"/>
  <c r="AS39" i="65"/>
  <c r="AS43" i="65"/>
  <c r="AS47" i="65"/>
  <c r="AS51" i="65"/>
  <c r="M51" i="65"/>
  <c r="AS53" i="65"/>
  <c r="AS58" i="65"/>
  <c r="M55" i="65"/>
  <c r="M58" i="65"/>
  <c r="H11" i="63"/>
  <c r="AT9" i="65" l="1"/>
  <c r="AT10" i="65"/>
  <c r="N11" i="65"/>
  <c r="AT18" i="65"/>
  <c r="N18" i="65"/>
  <c r="N10" i="65"/>
  <c r="N27" i="65"/>
  <c r="N37" i="65"/>
  <c r="N55" i="65"/>
  <c r="AT46" i="65"/>
  <c r="AT52" i="65"/>
  <c r="AT58" i="65"/>
  <c r="AT12" i="65"/>
  <c r="N14" i="65"/>
  <c r="AT17" i="65"/>
  <c r="N20" i="65"/>
  <c r="AT15" i="65"/>
  <c r="AT24" i="65"/>
  <c r="AT29" i="65"/>
  <c r="AT38" i="65"/>
  <c r="N38" i="65"/>
  <c r="N45" i="65"/>
  <c r="AT39" i="65"/>
  <c r="AT47" i="65"/>
  <c r="N57" i="65"/>
  <c r="AT59" i="65"/>
  <c r="N29" i="65"/>
  <c r="AT16" i="65"/>
  <c r="N24" i="65"/>
  <c r="N21" i="65"/>
  <c r="N30" i="65"/>
  <c r="AT33" i="65"/>
  <c r="N33" i="65"/>
  <c r="N40" i="65"/>
  <c r="N48" i="65"/>
  <c r="AT42" i="65"/>
  <c r="N54" i="65"/>
  <c r="AT54" i="65"/>
  <c r="N58" i="65"/>
  <c r="N15" i="65"/>
  <c r="N13" i="65"/>
  <c r="AT37" i="65"/>
  <c r="N44" i="65"/>
  <c r="AT20" i="65"/>
  <c r="N22" i="65"/>
  <c r="G5" i="65"/>
  <c r="AT26" i="65"/>
  <c r="N12" i="65"/>
  <c r="AT23" i="65"/>
  <c r="AT30" i="65"/>
  <c r="AT34" i="65"/>
  <c r="N34" i="65"/>
  <c r="N41" i="65"/>
  <c r="N50" i="65"/>
  <c r="AT43" i="65"/>
  <c r="AT49" i="65"/>
  <c r="AT55" i="65"/>
  <c r="N59" i="65"/>
  <c r="M62" i="65"/>
  <c r="H4" i="65" s="1"/>
  <c r="AS62" i="65"/>
  <c r="I4" i="65" s="1"/>
  <c r="N19" i="65"/>
  <c r="AT14" i="65"/>
  <c r="AT22" i="65"/>
  <c r="N9" i="65"/>
  <c r="N17" i="65"/>
  <c r="N25" i="65"/>
  <c r="N26" i="65"/>
  <c r="N23" i="65"/>
  <c r="AT31" i="65"/>
  <c r="AT35" i="65"/>
  <c r="N31" i="65"/>
  <c r="N35" i="65"/>
  <c r="N51" i="65"/>
  <c r="N42" i="65"/>
  <c r="N46" i="65"/>
  <c r="N49" i="65"/>
  <c r="AT40" i="65"/>
  <c r="AT44" i="65"/>
  <c r="AT48" i="65"/>
  <c r="AT50" i="65"/>
  <c r="N56" i="65"/>
  <c r="AT56" i="65"/>
  <c r="AT60" i="65"/>
  <c r="N60" i="65"/>
  <c r="O12" i="65"/>
  <c r="AU10" i="65"/>
  <c r="O8" i="65"/>
  <c r="AU6" i="65"/>
  <c r="AU13" i="65"/>
  <c r="O11" i="65"/>
  <c r="AU9" i="65"/>
  <c r="O7" i="65"/>
  <c r="AU5" i="65"/>
  <c r="O14" i="65"/>
  <c r="O10" i="65"/>
  <c r="AU8" i="65"/>
  <c r="O6" i="65"/>
  <c r="F6" i="65"/>
  <c r="E7" i="65" s="1"/>
  <c r="AU4" i="65"/>
  <c r="O13" i="65"/>
  <c r="O4" i="65"/>
  <c r="AU2" i="65"/>
  <c r="AU3" i="65"/>
  <c r="AU11" i="65"/>
  <c r="O9" i="65"/>
  <c r="O3" i="65"/>
  <c r="AU7" i="65"/>
  <c r="O5" i="65"/>
  <c r="O2" i="65"/>
  <c r="AT13" i="65"/>
  <c r="AT21" i="65"/>
  <c r="N16" i="65"/>
  <c r="N28" i="65"/>
  <c r="AT11" i="65"/>
  <c r="AT19" i="65"/>
  <c r="AT27" i="65"/>
  <c r="AT28" i="65"/>
  <c r="AT25" i="65"/>
  <c r="AT32" i="65"/>
  <c r="AT36" i="65"/>
  <c r="N32" i="65"/>
  <c r="N36" i="65"/>
  <c r="N39" i="65"/>
  <c r="N43" i="65"/>
  <c r="N47" i="65"/>
  <c r="N53" i="65"/>
  <c r="AT41" i="65"/>
  <c r="AT45" i="65"/>
  <c r="N52" i="65"/>
  <c r="AT51" i="65"/>
  <c r="AT53" i="65"/>
  <c r="AT57" i="65"/>
  <c r="AT61" i="65"/>
  <c r="N61" i="65"/>
  <c r="H12" i="63"/>
  <c r="AU19" i="65" l="1"/>
  <c r="O21" i="65"/>
  <c r="AT62" i="65"/>
  <c r="I5" i="65" s="1"/>
  <c r="AU14" i="65"/>
  <c r="AU12" i="65"/>
  <c r="N62" i="65"/>
  <c r="H5" i="65" s="1"/>
  <c r="AU20" i="65"/>
  <c r="AU39" i="65"/>
  <c r="AU26" i="65"/>
  <c r="O33" i="65"/>
  <c r="O36" i="65"/>
  <c r="AU34" i="65"/>
  <c r="AU44" i="65"/>
  <c r="O45" i="65"/>
  <c r="O53" i="65"/>
  <c r="O56" i="65"/>
  <c r="O61" i="65"/>
  <c r="O31" i="65"/>
  <c r="G6" i="65"/>
  <c r="AU21" i="65"/>
  <c r="O28" i="65"/>
  <c r="O37" i="65"/>
  <c r="AU43" i="65"/>
  <c r="AU35" i="65"/>
  <c r="AU48" i="65"/>
  <c r="O46" i="65"/>
  <c r="O60" i="65"/>
  <c r="O57" i="65"/>
  <c r="AU57" i="65"/>
  <c r="AU15" i="65"/>
  <c r="AU16" i="65"/>
  <c r="O23" i="65"/>
  <c r="O15" i="65"/>
  <c r="O27" i="65"/>
  <c r="O16" i="65"/>
  <c r="AU22" i="65"/>
  <c r="O34" i="65"/>
  <c r="AU27" i="65"/>
  <c r="AU47" i="65"/>
  <c r="O30" i="65"/>
  <c r="AU30" i="65"/>
  <c r="AU32" i="65"/>
  <c r="AU36" i="65"/>
  <c r="AU45" i="65"/>
  <c r="O39" i="65"/>
  <c r="O43" i="65"/>
  <c r="O47" i="65"/>
  <c r="O51" i="65"/>
  <c r="AU49" i="65"/>
  <c r="O54" i="65"/>
  <c r="O59" i="65"/>
  <c r="AU55" i="65"/>
  <c r="AU58" i="65"/>
  <c r="AV13" i="65"/>
  <c r="P11" i="65"/>
  <c r="AV9" i="65"/>
  <c r="P7" i="65"/>
  <c r="AV5" i="65"/>
  <c r="AV12" i="65"/>
  <c r="P10" i="65"/>
  <c r="AV8" i="65"/>
  <c r="F7" i="65"/>
  <c r="E8" i="65" s="1"/>
  <c r="P6" i="65"/>
  <c r="AV4" i="65"/>
  <c r="AV15" i="65"/>
  <c r="P13" i="65"/>
  <c r="AV11" i="65"/>
  <c r="P9" i="65"/>
  <c r="AV7" i="65"/>
  <c r="P5" i="65"/>
  <c r="AV14" i="65"/>
  <c r="P12" i="65"/>
  <c r="P3" i="65"/>
  <c r="AV10" i="65"/>
  <c r="P8" i="65"/>
  <c r="P2" i="65"/>
  <c r="P4" i="65"/>
  <c r="AV2" i="65"/>
  <c r="AV6" i="65"/>
  <c r="AV3" i="65"/>
  <c r="O19" i="65"/>
  <c r="O20" i="65"/>
  <c r="AU23" i="65"/>
  <c r="O26" i="65"/>
  <c r="AU46" i="65"/>
  <c r="AU38" i="65"/>
  <c r="O41" i="65"/>
  <c r="O49" i="65"/>
  <c r="AU51" i="65"/>
  <c r="AU53" i="65"/>
  <c r="AU60" i="65"/>
  <c r="O17" i="65"/>
  <c r="O22" i="65"/>
  <c r="O35" i="65"/>
  <c r="O25" i="65"/>
  <c r="AU28" i="65"/>
  <c r="AU31" i="65"/>
  <c r="AU41" i="65"/>
  <c r="O42" i="65"/>
  <c r="O50" i="65"/>
  <c r="AU52" i="65"/>
  <c r="AU54" i="65"/>
  <c r="AU61" i="65"/>
  <c r="O18" i="65"/>
  <c r="AU25" i="65"/>
  <c r="AU17" i="65"/>
  <c r="AU29" i="65"/>
  <c r="AU18" i="65"/>
  <c r="O24" i="65"/>
  <c r="O38" i="65"/>
  <c r="O29" i="65"/>
  <c r="AU24" i="65"/>
  <c r="O32" i="65"/>
  <c r="AU42" i="65"/>
  <c r="AU33" i="65"/>
  <c r="AU37" i="65"/>
  <c r="AU40" i="65"/>
  <c r="O40" i="65"/>
  <c r="O44" i="65"/>
  <c r="O48" i="65"/>
  <c r="O52" i="65"/>
  <c r="AU50" i="65"/>
  <c r="O55" i="65"/>
  <c r="O58" i="65"/>
  <c r="AU56" i="65"/>
  <c r="AU59" i="65"/>
  <c r="H13" i="63"/>
  <c r="BU13" i="16"/>
  <c r="BU14" i="16"/>
  <c r="BU15" i="16"/>
  <c r="BU16" i="16"/>
  <c r="BU17" i="16"/>
  <c r="BU18" i="16"/>
  <c r="BU19" i="16"/>
  <c r="BU20" i="16"/>
  <c r="BU21" i="16"/>
  <c r="BU22" i="16"/>
  <c r="BU23" i="16"/>
  <c r="BU24" i="16"/>
  <c r="BU25" i="16"/>
  <c r="BU26" i="16"/>
  <c r="BU27" i="16"/>
  <c r="BU28" i="16"/>
  <c r="BU29" i="16"/>
  <c r="BU30" i="16"/>
  <c r="BU31" i="16"/>
  <c r="BU32" i="16"/>
  <c r="BU33" i="16"/>
  <c r="BU34" i="16"/>
  <c r="BU35" i="16"/>
  <c r="BU36" i="16"/>
  <c r="BU37" i="16"/>
  <c r="BU38" i="16"/>
  <c r="BU39" i="16"/>
  <c r="BU40" i="16"/>
  <c r="BU41" i="16"/>
  <c r="BU42" i="16"/>
  <c r="BU43" i="16"/>
  <c r="BU44" i="16"/>
  <c r="BU45" i="16"/>
  <c r="BU46" i="16"/>
  <c r="BU47" i="16"/>
  <c r="BU48" i="16"/>
  <c r="BU49" i="16"/>
  <c r="BU50" i="16"/>
  <c r="BU51" i="16"/>
  <c r="BU52" i="16"/>
  <c r="BU53" i="16"/>
  <c r="BU54" i="16"/>
  <c r="BU55" i="16"/>
  <c r="BU56" i="16"/>
  <c r="BU57" i="16"/>
  <c r="BU58" i="16"/>
  <c r="BU59" i="16"/>
  <c r="BU60" i="16"/>
  <c r="BU61" i="16"/>
  <c r="BU62" i="16"/>
  <c r="CB23" i="16"/>
  <c r="CB24" i="16"/>
  <c r="CB25" i="16"/>
  <c r="CB26" i="16"/>
  <c r="CB27" i="16"/>
  <c r="CB28" i="16"/>
  <c r="CB29" i="16"/>
  <c r="CB30" i="16"/>
  <c r="CB31" i="16"/>
  <c r="CB32" i="16"/>
  <c r="CB33" i="16"/>
  <c r="CB34" i="16"/>
  <c r="CB35" i="16"/>
  <c r="CB36" i="16"/>
  <c r="CB37" i="16"/>
  <c r="CB38" i="16"/>
  <c r="CB39" i="16"/>
  <c r="CB40" i="16"/>
  <c r="CB41" i="16"/>
  <c r="CB42" i="16"/>
  <c r="CB43" i="16"/>
  <c r="CB44" i="16"/>
  <c r="CB45" i="16"/>
  <c r="CB46" i="16"/>
  <c r="CB47" i="16"/>
  <c r="CB48" i="16"/>
  <c r="CB49" i="16"/>
  <c r="CB50" i="16"/>
  <c r="CB51" i="16"/>
  <c r="CB52" i="16"/>
  <c r="CB53" i="16"/>
  <c r="CB54" i="16"/>
  <c r="CB55" i="16"/>
  <c r="CB56" i="16"/>
  <c r="CB57" i="16"/>
  <c r="CB58" i="16"/>
  <c r="CB59" i="16"/>
  <c r="CB60" i="16"/>
  <c r="CB61" i="16"/>
  <c r="CB62" i="16"/>
  <c r="CI33" i="16"/>
  <c r="CI34" i="16"/>
  <c r="CI35" i="16"/>
  <c r="CI36" i="16"/>
  <c r="CI37" i="16"/>
  <c r="CI38" i="16"/>
  <c r="CI39" i="16"/>
  <c r="CI40" i="16"/>
  <c r="CI41" i="16"/>
  <c r="CI42" i="16"/>
  <c r="CI43" i="16"/>
  <c r="CI44" i="16"/>
  <c r="CI45" i="16"/>
  <c r="CI46" i="16"/>
  <c r="CI47" i="16"/>
  <c r="CI48" i="16"/>
  <c r="CI49" i="16"/>
  <c r="CI50" i="16"/>
  <c r="CI51" i="16"/>
  <c r="CI52" i="16"/>
  <c r="CI53" i="16"/>
  <c r="CI54" i="16"/>
  <c r="CI55" i="16"/>
  <c r="CI56" i="16"/>
  <c r="CI57" i="16"/>
  <c r="CI58" i="16"/>
  <c r="CI59" i="16"/>
  <c r="CI60" i="16"/>
  <c r="CI61" i="16"/>
  <c r="CI62" i="16"/>
  <c r="CJ33" i="16"/>
  <c r="CJ34" i="16"/>
  <c r="CJ35" i="16"/>
  <c r="CJ36" i="16"/>
  <c r="CJ37" i="16"/>
  <c r="CJ38" i="16"/>
  <c r="CJ39" i="16"/>
  <c r="CJ40" i="16"/>
  <c r="CJ41" i="16"/>
  <c r="CJ42" i="16"/>
  <c r="CJ43" i="16"/>
  <c r="CJ44" i="16"/>
  <c r="CJ45" i="16"/>
  <c r="CJ46" i="16"/>
  <c r="CJ47" i="16"/>
  <c r="CJ48" i="16"/>
  <c r="CJ49" i="16"/>
  <c r="CJ50" i="16"/>
  <c r="CJ51" i="16"/>
  <c r="CJ52" i="16"/>
  <c r="CJ53" i="16"/>
  <c r="CJ54" i="16"/>
  <c r="CJ55" i="16"/>
  <c r="CJ56" i="16"/>
  <c r="CJ57" i="16"/>
  <c r="CJ58" i="16"/>
  <c r="CJ59" i="16"/>
  <c r="CJ60" i="16"/>
  <c r="CJ61" i="16"/>
  <c r="CJ62" i="16"/>
  <c r="CJ32" i="16"/>
  <c r="CC22" i="16"/>
  <c r="CI32" i="16"/>
  <c r="CB22" i="16"/>
  <c r="CC23" i="16"/>
  <c r="CC24" i="16"/>
  <c r="CC25" i="16"/>
  <c r="CC26" i="16"/>
  <c r="CC27" i="16"/>
  <c r="CC28" i="16"/>
  <c r="CC29" i="16"/>
  <c r="CC30" i="16"/>
  <c r="CC31" i="16"/>
  <c r="CC32" i="16"/>
  <c r="CC33" i="16"/>
  <c r="CC34" i="16"/>
  <c r="CC35" i="16"/>
  <c r="CC36" i="16"/>
  <c r="CC37" i="16"/>
  <c r="CC38" i="16"/>
  <c r="CC39" i="16"/>
  <c r="CC40" i="16"/>
  <c r="CC41" i="16"/>
  <c r="CC42" i="16"/>
  <c r="CC43" i="16"/>
  <c r="CC44" i="16"/>
  <c r="CC45" i="16"/>
  <c r="CC46" i="16"/>
  <c r="CC47" i="16"/>
  <c r="CC48" i="16"/>
  <c r="CC49" i="16"/>
  <c r="CC50" i="16"/>
  <c r="CC51" i="16"/>
  <c r="CC52" i="16"/>
  <c r="CC53" i="16"/>
  <c r="CC54" i="16"/>
  <c r="CC55" i="16"/>
  <c r="CC56" i="16"/>
  <c r="CC57" i="16"/>
  <c r="CC58" i="16"/>
  <c r="CC59" i="16"/>
  <c r="CC60" i="16"/>
  <c r="CC61" i="16"/>
  <c r="CC62" i="16"/>
  <c r="BV12" i="16"/>
  <c r="BU12" i="16"/>
  <c r="BV13" i="16"/>
  <c r="BV14" i="16"/>
  <c r="BV15" i="16"/>
  <c r="BV16" i="16"/>
  <c r="BV17" i="16"/>
  <c r="BV18" i="16"/>
  <c r="BV19" i="16"/>
  <c r="BV20" i="16"/>
  <c r="BV21" i="16"/>
  <c r="BV22" i="16"/>
  <c r="BV23" i="16"/>
  <c r="BV24" i="16"/>
  <c r="BV25" i="16"/>
  <c r="BV26" i="16"/>
  <c r="BV27" i="16"/>
  <c r="BV28" i="16"/>
  <c r="BV29" i="16"/>
  <c r="BV30" i="16"/>
  <c r="BV31" i="16"/>
  <c r="BV32" i="16"/>
  <c r="BV33" i="16"/>
  <c r="BV34" i="16"/>
  <c r="BV35" i="16"/>
  <c r="BV36" i="16"/>
  <c r="BV37" i="16"/>
  <c r="BV38" i="16"/>
  <c r="BV39" i="16"/>
  <c r="BV40" i="16"/>
  <c r="BV41" i="16"/>
  <c r="BV42" i="16"/>
  <c r="BV43" i="16"/>
  <c r="BV44" i="16"/>
  <c r="BV45" i="16"/>
  <c r="BV46" i="16"/>
  <c r="BV47" i="16"/>
  <c r="BV48" i="16"/>
  <c r="BV49" i="16"/>
  <c r="BV50" i="16"/>
  <c r="BV51" i="16"/>
  <c r="BV52" i="16"/>
  <c r="BV53" i="16"/>
  <c r="BV54" i="16"/>
  <c r="BV55" i="16"/>
  <c r="BV56" i="16"/>
  <c r="BV57" i="16"/>
  <c r="BV58" i="16"/>
  <c r="BV59" i="16"/>
  <c r="BV60" i="16"/>
  <c r="BV61" i="16"/>
  <c r="BV62" i="16"/>
  <c r="P21" i="65" l="1"/>
  <c r="P18" i="65"/>
  <c r="AV48" i="65"/>
  <c r="P16" i="65"/>
  <c r="AV24" i="65"/>
  <c r="P35" i="65"/>
  <c r="P44" i="65"/>
  <c r="AV23" i="65"/>
  <c r="P20" i="65"/>
  <c r="P17" i="65"/>
  <c r="AV17" i="65"/>
  <c r="AV32" i="65"/>
  <c r="P50" i="65"/>
  <c r="AV59" i="65"/>
  <c r="AV18" i="65"/>
  <c r="AV19" i="65"/>
  <c r="P23" i="65"/>
  <c r="AV40" i="65"/>
  <c r="P56" i="65"/>
  <c r="AU62" i="65"/>
  <c r="I6" i="65" s="1"/>
  <c r="AV20" i="65"/>
  <c r="P15" i="65"/>
  <c r="AV29" i="65"/>
  <c r="P29" i="65"/>
  <c r="P38" i="65"/>
  <c r="AV35" i="65"/>
  <c r="AV43" i="65"/>
  <c r="P39" i="65"/>
  <c r="P47" i="65"/>
  <c r="AV53" i="65"/>
  <c r="P59" i="65"/>
  <c r="P14" i="65"/>
  <c r="P26" i="65"/>
  <c r="AV22" i="65"/>
  <c r="P31" i="65"/>
  <c r="AV51" i="65"/>
  <c r="AV36" i="65"/>
  <c r="AV44" i="65"/>
  <c r="P40" i="65"/>
  <c r="P48" i="65"/>
  <c r="AV56" i="65"/>
  <c r="P60" i="65"/>
  <c r="AV16" i="65"/>
  <c r="AV28" i="65"/>
  <c r="P30" i="65"/>
  <c r="P28" i="65"/>
  <c r="P34" i="65"/>
  <c r="AV31" i="65"/>
  <c r="AV39" i="65"/>
  <c r="AV47" i="65"/>
  <c r="P43" i="65"/>
  <c r="P49" i="65"/>
  <c r="P55" i="65"/>
  <c r="AV58" i="65"/>
  <c r="O62" i="65"/>
  <c r="H6" i="65" s="1"/>
  <c r="P19" i="65"/>
  <c r="AV25" i="65"/>
  <c r="P24" i="65"/>
  <c r="P25" i="65"/>
  <c r="P32" i="65"/>
  <c r="P36" i="65"/>
  <c r="AV55" i="65"/>
  <c r="AV33" i="65"/>
  <c r="AV37" i="65"/>
  <c r="AV41" i="65"/>
  <c r="AV45" i="65"/>
  <c r="AV50" i="65"/>
  <c r="P41" i="65"/>
  <c r="P45" i="65"/>
  <c r="AV52" i="65"/>
  <c r="P51" i="65"/>
  <c r="P53" i="65"/>
  <c r="P57" i="65"/>
  <c r="P61" i="65"/>
  <c r="AV60" i="65"/>
  <c r="Q18" i="65"/>
  <c r="AW16" i="65"/>
  <c r="Q14" i="65"/>
  <c r="AW12" i="65"/>
  <c r="Q10" i="65"/>
  <c r="AW8" i="65"/>
  <c r="F8" i="65"/>
  <c r="E9" i="65" s="1"/>
  <c r="Q6" i="65"/>
  <c r="Q17" i="65"/>
  <c r="AW15" i="65"/>
  <c r="Q13" i="65"/>
  <c r="AW11" i="65"/>
  <c r="Q9" i="65"/>
  <c r="AW7" i="65"/>
  <c r="Q5" i="65"/>
  <c r="AW18" i="65"/>
  <c r="Q16" i="65"/>
  <c r="AW14" i="65"/>
  <c r="Q12" i="65"/>
  <c r="AW10" i="65"/>
  <c r="Q8" i="65"/>
  <c r="AW6" i="65"/>
  <c r="AW13" i="65"/>
  <c r="Q11" i="65"/>
  <c r="AW4" i="65"/>
  <c r="Q2" i="65"/>
  <c r="Q3" i="65"/>
  <c r="AW9" i="65"/>
  <c r="Q7" i="65"/>
  <c r="AW3" i="65"/>
  <c r="AW17" i="65"/>
  <c r="Q15" i="65"/>
  <c r="AW5" i="65"/>
  <c r="Q4" i="65"/>
  <c r="AW2" i="65"/>
  <c r="P22" i="65"/>
  <c r="G7" i="65"/>
  <c r="AV21" i="65"/>
  <c r="P27" i="65"/>
  <c r="AV26" i="65"/>
  <c r="AV27" i="65"/>
  <c r="P33" i="65"/>
  <c r="P37" i="65"/>
  <c r="AV30" i="65"/>
  <c r="AV34" i="65"/>
  <c r="AV38" i="65"/>
  <c r="AV42" i="65"/>
  <c r="AV46" i="65"/>
  <c r="AV49" i="65"/>
  <c r="P42" i="65"/>
  <c r="P46" i="65"/>
  <c r="AV54" i="65"/>
  <c r="P52" i="65"/>
  <c r="P54" i="65"/>
  <c r="P58" i="65"/>
  <c r="AV57" i="65"/>
  <c r="AV61" i="65"/>
  <c r="H14" i="63"/>
  <c r="J1" i="28"/>
  <c r="G8" i="65" l="1"/>
  <c r="Q19" i="65"/>
  <c r="AW23" i="65"/>
  <c r="AW27" i="65"/>
  <c r="AV62" i="65"/>
  <c r="I7" i="65" s="1"/>
  <c r="P62" i="65"/>
  <c r="H7" i="65" s="1"/>
  <c r="Q26" i="65"/>
  <c r="Q27" i="65"/>
  <c r="AW30" i="65"/>
  <c r="Q33" i="65"/>
  <c r="Q41" i="65"/>
  <c r="AW45" i="65"/>
  <c r="Q53" i="65"/>
  <c r="AW55" i="65"/>
  <c r="AW57" i="65"/>
  <c r="AW35" i="65"/>
  <c r="AW31" i="65"/>
  <c r="AW28" i="65"/>
  <c r="AW29" i="65"/>
  <c r="AW32" i="65"/>
  <c r="Q34" i="65"/>
  <c r="Q38" i="65"/>
  <c r="AW42" i="65"/>
  <c r="AW50" i="65"/>
  <c r="AW60" i="65"/>
  <c r="Q55" i="65"/>
  <c r="Q61" i="65"/>
  <c r="Q21" i="65"/>
  <c r="Q48" i="65"/>
  <c r="Q29" i="65"/>
  <c r="Q30" i="65"/>
  <c r="Q23" i="65"/>
  <c r="AW33" i="65"/>
  <c r="AW26" i="65"/>
  <c r="AW36" i="65"/>
  <c r="Q31" i="65"/>
  <c r="Q35" i="65"/>
  <c r="Q42" i="65"/>
  <c r="AW39" i="65"/>
  <c r="AW43" i="65"/>
  <c r="AW47" i="65"/>
  <c r="AW51" i="65"/>
  <c r="Q50" i="65"/>
  <c r="AW53" i="65"/>
  <c r="AW59" i="65"/>
  <c r="Q56" i="65"/>
  <c r="Q58" i="65"/>
  <c r="AX19" i="65"/>
  <c r="R17" i="65"/>
  <c r="AX15" i="65"/>
  <c r="R13" i="65"/>
  <c r="AX11" i="65"/>
  <c r="R9" i="65"/>
  <c r="AX7" i="65"/>
  <c r="R5" i="65"/>
  <c r="R20" i="65"/>
  <c r="AX18" i="65"/>
  <c r="R16" i="65"/>
  <c r="AX14" i="65"/>
  <c r="R12" i="65"/>
  <c r="AX10" i="65"/>
  <c r="R8" i="65"/>
  <c r="AX6" i="65"/>
  <c r="R19" i="65"/>
  <c r="AX17" i="65"/>
  <c r="R15" i="65"/>
  <c r="AX13" i="65"/>
  <c r="R11" i="65"/>
  <c r="AX9" i="65"/>
  <c r="R7" i="65"/>
  <c r="AX5" i="65"/>
  <c r="AX12" i="65"/>
  <c r="R10" i="65"/>
  <c r="AX3" i="65"/>
  <c r="AX8" i="65"/>
  <c r="R6" i="65"/>
  <c r="R4" i="65"/>
  <c r="AX2" i="65"/>
  <c r="AX16" i="65"/>
  <c r="R14" i="65"/>
  <c r="AX20" i="65"/>
  <c r="R18" i="65"/>
  <c r="R3" i="65"/>
  <c r="F9" i="65"/>
  <c r="E10" i="65" s="1"/>
  <c r="AX4" i="65"/>
  <c r="R2" i="65"/>
  <c r="Q22" i="65"/>
  <c r="AW38" i="65"/>
  <c r="Q40" i="65"/>
  <c r="Q43" i="65"/>
  <c r="Q37" i="65"/>
  <c r="AW41" i="65"/>
  <c r="AW49" i="65"/>
  <c r="Q52" i="65"/>
  <c r="Q54" i="65"/>
  <c r="Q60" i="65"/>
  <c r="AW21" i="65"/>
  <c r="AW19" i="65"/>
  <c r="AW22" i="65"/>
  <c r="Q44" i="65"/>
  <c r="Q24" i="65"/>
  <c r="Q47" i="65"/>
  <c r="Q45" i="65"/>
  <c r="AW46" i="65"/>
  <c r="Q49" i="65"/>
  <c r="AW56" i="65"/>
  <c r="AW61" i="65"/>
  <c r="Q20" i="65"/>
  <c r="Q25" i="65"/>
  <c r="AW20" i="65"/>
  <c r="AW24" i="65"/>
  <c r="AW34" i="65"/>
  <c r="AW25" i="65"/>
  <c r="AW37" i="65"/>
  <c r="Q28" i="65"/>
  <c r="Q39" i="65"/>
  <c r="Q32" i="65"/>
  <c r="Q36" i="65"/>
  <c r="Q46" i="65"/>
  <c r="AW40" i="65"/>
  <c r="AW44" i="65"/>
  <c r="AW48" i="65"/>
  <c r="AW52" i="65"/>
  <c r="Q51" i="65"/>
  <c r="AW54" i="65"/>
  <c r="AW58" i="65"/>
  <c r="Q57" i="65"/>
  <c r="Q59" i="65"/>
  <c r="H15" i="63"/>
  <c r="U61" i="34"/>
  <c r="V61" i="34"/>
  <c r="W61" i="34"/>
  <c r="U3" i="34"/>
  <c r="U4" i="34"/>
  <c r="U5" i="34"/>
  <c r="U6" i="34"/>
  <c r="U7" i="34"/>
  <c r="U8" i="34"/>
  <c r="U9" i="34"/>
  <c r="U10" i="34"/>
  <c r="U11" i="34"/>
  <c r="U12" i="34"/>
  <c r="U13" i="34"/>
  <c r="U14" i="34"/>
  <c r="U15" i="34"/>
  <c r="U16" i="34"/>
  <c r="U17" i="34"/>
  <c r="U18" i="34"/>
  <c r="U19" i="34"/>
  <c r="U20" i="34"/>
  <c r="U21" i="34"/>
  <c r="U22" i="34"/>
  <c r="U23" i="34"/>
  <c r="U24" i="34"/>
  <c r="U25" i="34"/>
  <c r="U26" i="34"/>
  <c r="U27" i="34"/>
  <c r="U28" i="34"/>
  <c r="U29" i="34"/>
  <c r="U30" i="34"/>
  <c r="U31" i="34"/>
  <c r="U32" i="34"/>
  <c r="U33" i="34"/>
  <c r="U34" i="34"/>
  <c r="U35" i="34"/>
  <c r="U36" i="34"/>
  <c r="U37" i="34"/>
  <c r="U38" i="34"/>
  <c r="U39" i="34"/>
  <c r="U40" i="34"/>
  <c r="U41" i="34"/>
  <c r="U42" i="34"/>
  <c r="U43" i="34"/>
  <c r="U44" i="34"/>
  <c r="U45" i="34"/>
  <c r="U46" i="34"/>
  <c r="U47" i="34"/>
  <c r="U48" i="34"/>
  <c r="U49" i="34"/>
  <c r="U50" i="34"/>
  <c r="U51" i="34"/>
  <c r="U52" i="34"/>
  <c r="U53" i="34"/>
  <c r="U54" i="34"/>
  <c r="U55" i="34"/>
  <c r="U56" i="34"/>
  <c r="U57" i="34"/>
  <c r="U58" i="34"/>
  <c r="U59" i="34"/>
  <c r="U60" i="34"/>
  <c r="U2" i="34"/>
  <c r="AX36" i="65" l="1"/>
  <c r="AX57" i="65"/>
  <c r="R26" i="65"/>
  <c r="R32" i="65"/>
  <c r="R47" i="65"/>
  <c r="R55" i="65"/>
  <c r="AX61" i="65"/>
  <c r="R25" i="65"/>
  <c r="AX46" i="65"/>
  <c r="AX25" i="65"/>
  <c r="R36" i="65"/>
  <c r="R56" i="65"/>
  <c r="AX52" i="65"/>
  <c r="R61" i="65"/>
  <c r="AX22" i="65"/>
  <c r="R43" i="65"/>
  <c r="AW62" i="65"/>
  <c r="I8" i="65" s="1"/>
  <c r="R22" i="65"/>
  <c r="AX30" i="65"/>
  <c r="AX32" i="65"/>
  <c r="R39" i="65"/>
  <c r="AX42" i="65"/>
  <c r="AX53" i="65"/>
  <c r="Q62" i="65"/>
  <c r="H8" i="65" s="1"/>
  <c r="R21" i="65"/>
  <c r="AX28" i="65"/>
  <c r="AX33" i="65"/>
  <c r="R33" i="65"/>
  <c r="R40" i="65"/>
  <c r="R48" i="65"/>
  <c r="AX43" i="65"/>
  <c r="AX49" i="65"/>
  <c r="AX54" i="65"/>
  <c r="R58" i="65"/>
  <c r="S20" i="65"/>
  <c r="AY18" i="65"/>
  <c r="S16" i="65"/>
  <c r="AY14" i="65"/>
  <c r="S12" i="65"/>
  <c r="AY10" i="65"/>
  <c r="S8" i="65"/>
  <c r="AY6" i="65"/>
  <c r="S19" i="65"/>
  <c r="AY17" i="65"/>
  <c r="S15" i="65"/>
  <c r="AY13" i="65"/>
  <c r="S11" i="65"/>
  <c r="AY9" i="65"/>
  <c r="S7" i="65"/>
  <c r="AY5" i="65"/>
  <c r="AY20" i="65"/>
  <c r="S18" i="65"/>
  <c r="AY16" i="65"/>
  <c r="S14" i="65"/>
  <c r="AY12" i="65"/>
  <c r="S10" i="65"/>
  <c r="F10" i="65"/>
  <c r="E11" i="65" s="1"/>
  <c r="AY8" i="65"/>
  <c r="S6" i="65"/>
  <c r="AY4" i="65"/>
  <c r="S32" i="65"/>
  <c r="AY11" i="65"/>
  <c r="S9" i="65"/>
  <c r="S4" i="65"/>
  <c r="AY2" i="65"/>
  <c r="AY7" i="65"/>
  <c r="S5" i="65"/>
  <c r="S3" i="65"/>
  <c r="AY15" i="65"/>
  <c r="S13" i="65"/>
  <c r="AY3" i="65"/>
  <c r="AY19" i="65"/>
  <c r="S17" i="65"/>
  <c r="S2" i="65"/>
  <c r="AX21" i="65"/>
  <c r="AX27" i="65"/>
  <c r="R27" i="65"/>
  <c r="AX37" i="65"/>
  <c r="R37" i="65"/>
  <c r="R44" i="65"/>
  <c r="AX39" i="65"/>
  <c r="AX47" i="65"/>
  <c r="R54" i="65"/>
  <c r="AX58" i="65"/>
  <c r="G9" i="65"/>
  <c r="R24" i="65"/>
  <c r="R28" i="65"/>
  <c r="R29" i="65"/>
  <c r="R30" i="65"/>
  <c r="AX29" i="65"/>
  <c r="AX34" i="65"/>
  <c r="AX38" i="65"/>
  <c r="R34" i="65"/>
  <c r="R38" i="65"/>
  <c r="R41" i="65"/>
  <c r="R45" i="65"/>
  <c r="R51" i="65"/>
  <c r="AX40" i="65"/>
  <c r="AX44" i="65"/>
  <c r="AX48" i="65"/>
  <c r="AX50" i="65"/>
  <c r="R53" i="65"/>
  <c r="AX55" i="65"/>
  <c r="AX59" i="65"/>
  <c r="R59" i="65"/>
  <c r="AX26" i="65"/>
  <c r="AX23" i="65"/>
  <c r="AX24" i="65"/>
  <c r="R23" i="65"/>
  <c r="AX31" i="65"/>
  <c r="AX35" i="65"/>
  <c r="R31" i="65"/>
  <c r="R35" i="65"/>
  <c r="R52" i="65"/>
  <c r="R42" i="65"/>
  <c r="R46" i="65"/>
  <c r="R50" i="65"/>
  <c r="AX41" i="65"/>
  <c r="AX45" i="65"/>
  <c r="R49" i="65"/>
  <c r="AX51" i="65"/>
  <c r="R57" i="65"/>
  <c r="AX56" i="65"/>
  <c r="AX60" i="65"/>
  <c r="R60" i="65"/>
  <c r="H16" i="63"/>
  <c r="AB1" i="34"/>
  <c r="Y3" i="34" s="1"/>
  <c r="W3" i="34"/>
  <c r="W4" i="34"/>
  <c r="W5" i="34"/>
  <c r="W6" i="34"/>
  <c r="W7" i="34"/>
  <c r="W8" i="34"/>
  <c r="W9" i="34"/>
  <c r="W10" i="34"/>
  <c r="W11" i="34"/>
  <c r="W12" i="34"/>
  <c r="W13" i="34"/>
  <c r="W14" i="34"/>
  <c r="W15" i="34"/>
  <c r="W16" i="34"/>
  <c r="W17" i="34"/>
  <c r="W18" i="34"/>
  <c r="W19" i="34"/>
  <c r="W20" i="34"/>
  <c r="W21" i="34"/>
  <c r="W22" i="34"/>
  <c r="W23" i="34"/>
  <c r="W24" i="34"/>
  <c r="W25" i="34"/>
  <c r="W26" i="34"/>
  <c r="W27" i="34"/>
  <c r="W28" i="34"/>
  <c r="W29" i="34"/>
  <c r="W30" i="34"/>
  <c r="W31" i="34"/>
  <c r="W32" i="34"/>
  <c r="W33" i="34"/>
  <c r="W34" i="34"/>
  <c r="W35" i="34"/>
  <c r="W36" i="34"/>
  <c r="W37" i="34"/>
  <c r="W38" i="34"/>
  <c r="W39" i="34"/>
  <c r="W40" i="34"/>
  <c r="W41" i="34"/>
  <c r="W42" i="34"/>
  <c r="W43" i="34"/>
  <c r="W44" i="34"/>
  <c r="W45" i="34"/>
  <c r="W46" i="34"/>
  <c r="W47" i="34"/>
  <c r="W48" i="34"/>
  <c r="W49" i="34"/>
  <c r="W50" i="34"/>
  <c r="W51" i="34"/>
  <c r="W52" i="34"/>
  <c r="W53" i="34"/>
  <c r="W54" i="34"/>
  <c r="W55" i="34"/>
  <c r="W56" i="34"/>
  <c r="W57" i="34"/>
  <c r="W58" i="34"/>
  <c r="W59" i="34"/>
  <c r="W60" i="34"/>
  <c r="W2" i="34"/>
  <c r="V2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5" i="34"/>
  <c r="E36" i="34"/>
  <c r="E37" i="34"/>
  <c r="E38" i="34"/>
  <c r="E39" i="34"/>
  <c r="E40" i="34"/>
  <c r="E41" i="34"/>
  <c r="E42" i="34"/>
  <c r="E43" i="34"/>
  <c r="E44" i="34"/>
  <c r="E45" i="34"/>
  <c r="E46" i="34"/>
  <c r="E47" i="34"/>
  <c r="E48" i="34"/>
  <c r="E49" i="34"/>
  <c r="E50" i="34"/>
  <c r="E51" i="34"/>
  <c r="E52" i="34"/>
  <c r="E53" i="34"/>
  <c r="E54" i="34"/>
  <c r="E55" i="34"/>
  <c r="E56" i="34"/>
  <c r="E57" i="34"/>
  <c r="E58" i="34"/>
  <c r="E59" i="34"/>
  <c r="E60" i="34"/>
  <c r="E2" i="34"/>
  <c r="I3" i="34" s="1"/>
  <c r="D2" i="34"/>
  <c r="H3" i="34" s="1"/>
  <c r="S21" i="65" l="1"/>
  <c r="I4" i="34"/>
  <c r="I5" i="34"/>
  <c r="I6" i="34" s="1"/>
  <c r="I7" i="34" s="1"/>
  <c r="I8" i="34" s="1"/>
  <c r="I9" i="34" s="1"/>
  <c r="I10" i="34" s="1"/>
  <c r="I11" i="34" s="1"/>
  <c r="I12" i="34" s="1"/>
  <c r="I13" i="34" s="1"/>
  <c r="I14" i="34" s="1"/>
  <c r="I15" i="34" s="1"/>
  <c r="I16" i="34" s="1"/>
  <c r="I17" i="34" s="1"/>
  <c r="I18" i="34" s="1"/>
  <c r="I19" i="34" s="1"/>
  <c r="I20" i="34" s="1"/>
  <c r="I21" i="34" s="1"/>
  <c r="I22" i="34" s="1"/>
  <c r="I23" i="34" s="1"/>
  <c r="I24" i="34" s="1"/>
  <c r="I25" i="34" s="1"/>
  <c r="I26" i="34" s="1"/>
  <c r="I27" i="34" s="1"/>
  <c r="I28" i="34" s="1"/>
  <c r="I29" i="34" s="1"/>
  <c r="I30" i="34" s="1"/>
  <c r="I31" i="34" s="1"/>
  <c r="I32" i="34" s="1"/>
  <c r="I33" i="34" s="1"/>
  <c r="I34" i="34" s="1"/>
  <c r="I35" i="34" s="1"/>
  <c r="I36" i="34" s="1"/>
  <c r="I37" i="34" s="1"/>
  <c r="I38" i="34" s="1"/>
  <c r="I39" i="34" s="1"/>
  <c r="I40" i="34" s="1"/>
  <c r="I41" i="34" s="1"/>
  <c r="I42" i="34" s="1"/>
  <c r="I43" i="34" s="1"/>
  <c r="I44" i="34" s="1"/>
  <c r="I45" i="34" s="1"/>
  <c r="I46" i="34" s="1"/>
  <c r="I47" i="34" s="1"/>
  <c r="I48" i="34" s="1"/>
  <c r="I49" i="34" s="1"/>
  <c r="I50" i="34" s="1"/>
  <c r="I51" i="34" s="1"/>
  <c r="I52" i="34" s="1"/>
  <c r="I53" i="34" s="1"/>
  <c r="I54" i="34" s="1"/>
  <c r="I55" i="34" s="1"/>
  <c r="I56" i="34" s="1"/>
  <c r="I57" i="34" s="1"/>
  <c r="I58" i="34" s="1"/>
  <c r="I59" i="34" s="1"/>
  <c r="I60" i="34" s="1"/>
  <c r="I61" i="34" s="1"/>
  <c r="S46" i="65"/>
  <c r="AY54" i="65"/>
  <c r="AY40" i="65"/>
  <c r="AY44" i="65"/>
  <c r="S22" i="65"/>
  <c r="G10" i="65"/>
  <c r="S28" i="65"/>
  <c r="AY34" i="65"/>
  <c r="S50" i="65"/>
  <c r="AY57" i="65"/>
  <c r="S38" i="65"/>
  <c r="AY38" i="65"/>
  <c r="AY49" i="65"/>
  <c r="AY25" i="65"/>
  <c r="AY28" i="65"/>
  <c r="AY45" i="65"/>
  <c r="S57" i="65"/>
  <c r="S25" i="65"/>
  <c r="AY47" i="65"/>
  <c r="S42" i="65"/>
  <c r="S53" i="65"/>
  <c r="AY61" i="65"/>
  <c r="AX62" i="65"/>
  <c r="I9" i="65" s="1"/>
  <c r="R62" i="65"/>
  <c r="H9" i="65" s="1"/>
  <c r="AZ21" i="65"/>
  <c r="T19" i="65"/>
  <c r="AZ17" i="65"/>
  <c r="T15" i="65"/>
  <c r="AZ13" i="65"/>
  <c r="T11" i="65"/>
  <c r="AZ9" i="65"/>
  <c r="T7" i="65"/>
  <c r="AZ5" i="65"/>
  <c r="AZ20" i="65"/>
  <c r="T18" i="65"/>
  <c r="AZ16" i="65"/>
  <c r="T14" i="65"/>
  <c r="AZ12" i="65"/>
  <c r="F11" i="65"/>
  <c r="E12" i="65" s="1"/>
  <c r="T10" i="65"/>
  <c r="AZ8" i="65"/>
  <c r="T6" i="65"/>
  <c r="AZ4" i="65"/>
  <c r="T21" i="65"/>
  <c r="AZ19" i="65"/>
  <c r="T17" i="65"/>
  <c r="AZ15" i="65"/>
  <c r="T13" i="65"/>
  <c r="AZ11" i="65"/>
  <c r="T9" i="65"/>
  <c r="AZ7" i="65"/>
  <c r="T5" i="65"/>
  <c r="AZ10" i="65"/>
  <c r="T8" i="65"/>
  <c r="T3" i="65"/>
  <c r="AZ2" i="65"/>
  <c r="T20" i="65"/>
  <c r="AZ6" i="65"/>
  <c r="T2" i="65"/>
  <c r="AZ14" i="65"/>
  <c r="T12" i="65"/>
  <c r="AZ18" i="65"/>
  <c r="T16" i="65"/>
  <c r="AZ3" i="65"/>
  <c r="T4" i="65"/>
  <c r="S27" i="65"/>
  <c r="AY22" i="65"/>
  <c r="S31" i="65"/>
  <c r="AY27" i="65"/>
  <c r="AY48" i="65"/>
  <c r="S30" i="65"/>
  <c r="AY30" i="65"/>
  <c r="AY31" i="65"/>
  <c r="AY35" i="65"/>
  <c r="AY42" i="65"/>
  <c r="S39" i="65"/>
  <c r="S43" i="65"/>
  <c r="S47" i="65"/>
  <c r="S51" i="65"/>
  <c r="AY50" i="65"/>
  <c r="S54" i="65"/>
  <c r="S60" i="65"/>
  <c r="AY55" i="65"/>
  <c r="AY58" i="65"/>
  <c r="AY21" i="65"/>
  <c r="AY29" i="65"/>
  <c r="S24" i="65"/>
  <c r="S35" i="65"/>
  <c r="S29" i="65"/>
  <c r="AY24" i="65"/>
  <c r="S33" i="65"/>
  <c r="AY39" i="65"/>
  <c r="AY32" i="65"/>
  <c r="AY36" i="65"/>
  <c r="AY46" i="65"/>
  <c r="S40" i="65"/>
  <c r="S44" i="65"/>
  <c r="S48" i="65"/>
  <c r="S52" i="65"/>
  <c r="AY51" i="65"/>
  <c r="S55" i="65"/>
  <c r="S59" i="65"/>
  <c r="AY56" i="65"/>
  <c r="AY59" i="65"/>
  <c r="S23" i="65"/>
  <c r="S36" i="65"/>
  <c r="AY26" i="65"/>
  <c r="AY23" i="65"/>
  <c r="S34" i="65"/>
  <c r="S26" i="65"/>
  <c r="S37" i="65"/>
  <c r="AY43" i="65"/>
  <c r="AY33" i="65"/>
  <c r="AY37" i="65"/>
  <c r="AY41" i="65"/>
  <c r="S41" i="65"/>
  <c r="S45" i="65"/>
  <c r="S49" i="65"/>
  <c r="S61" i="65"/>
  <c r="AY52" i="65"/>
  <c r="S56" i="65"/>
  <c r="AY53" i="65"/>
  <c r="S58" i="65"/>
  <c r="AY60" i="65"/>
  <c r="H17" i="63"/>
  <c r="AA34" i="34"/>
  <c r="AA26" i="34"/>
  <c r="AA50" i="34"/>
  <c r="AA18" i="34"/>
  <c r="AA58" i="34"/>
  <c r="AA42" i="34"/>
  <c r="AA10" i="34"/>
  <c r="AA56" i="34"/>
  <c r="AA48" i="34"/>
  <c r="AA40" i="34"/>
  <c r="AA32" i="34"/>
  <c r="AA24" i="34"/>
  <c r="AA16" i="34"/>
  <c r="AA8" i="34"/>
  <c r="AA54" i="34"/>
  <c r="AA46" i="34"/>
  <c r="AA38" i="34"/>
  <c r="AA30" i="34"/>
  <c r="AA22" i="34"/>
  <c r="AA14" i="34"/>
  <c r="AA6" i="34"/>
  <c r="AA60" i="34"/>
  <c r="AA52" i="34"/>
  <c r="AA44" i="34"/>
  <c r="AA36" i="34"/>
  <c r="AA28" i="34"/>
  <c r="AA20" i="34"/>
  <c r="AA12" i="34"/>
  <c r="AA4" i="34"/>
  <c r="Z60" i="34"/>
  <c r="Z58" i="34"/>
  <c r="Z56" i="34"/>
  <c r="Z54" i="34"/>
  <c r="Z52" i="34"/>
  <c r="Z50" i="34"/>
  <c r="Z48" i="34"/>
  <c r="Z46" i="34"/>
  <c r="Z44" i="34"/>
  <c r="Z42" i="34"/>
  <c r="Z40" i="34"/>
  <c r="Z38" i="34"/>
  <c r="Z36" i="34"/>
  <c r="Z34" i="34"/>
  <c r="Z32" i="34"/>
  <c r="Z30" i="34"/>
  <c r="Z28" i="34"/>
  <c r="Z26" i="34"/>
  <c r="Z24" i="34"/>
  <c r="Z22" i="34"/>
  <c r="Z20" i="34"/>
  <c r="Z18" i="34"/>
  <c r="Z16" i="34"/>
  <c r="Z14" i="34"/>
  <c r="Z12" i="34"/>
  <c r="Z10" i="34"/>
  <c r="Z8" i="34"/>
  <c r="Z6" i="34"/>
  <c r="Z4" i="34"/>
  <c r="X2" i="34"/>
  <c r="AA59" i="34"/>
  <c r="AA57" i="34"/>
  <c r="AA55" i="34"/>
  <c r="AA53" i="34"/>
  <c r="AA51" i="34"/>
  <c r="AA49" i="34"/>
  <c r="AA47" i="34"/>
  <c r="AA45" i="34"/>
  <c r="AA43" i="34"/>
  <c r="AA41" i="34"/>
  <c r="AA39" i="34"/>
  <c r="AA37" i="34"/>
  <c r="AA35" i="34"/>
  <c r="AA33" i="34"/>
  <c r="AA31" i="34"/>
  <c r="AA29" i="34"/>
  <c r="AA27" i="34"/>
  <c r="AA25" i="34"/>
  <c r="AA23" i="34"/>
  <c r="AA21" i="34"/>
  <c r="AA19" i="34"/>
  <c r="AA17" i="34"/>
  <c r="AA15" i="34"/>
  <c r="AA13" i="34"/>
  <c r="AA11" i="34"/>
  <c r="AA9" i="34"/>
  <c r="AA7" i="34"/>
  <c r="AA5" i="34"/>
  <c r="AA3" i="34"/>
  <c r="Y2" i="34"/>
  <c r="Z59" i="34"/>
  <c r="Z57" i="34"/>
  <c r="Z55" i="34"/>
  <c r="Z53" i="34"/>
  <c r="Z51" i="34"/>
  <c r="Z49" i="34"/>
  <c r="Z47" i="34"/>
  <c r="Z45" i="34"/>
  <c r="Z43" i="34"/>
  <c r="Z41" i="34"/>
  <c r="Z39" i="34"/>
  <c r="Z37" i="34"/>
  <c r="Z35" i="34"/>
  <c r="Z33" i="34"/>
  <c r="Z31" i="34"/>
  <c r="Z29" i="34"/>
  <c r="Z27" i="34"/>
  <c r="Z25" i="34"/>
  <c r="Z23" i="34"/>
  <c r="Z21" i="34"/>
  <c r="Z19" i="34"/>
  <c r="Z17" i="34"/>
  <c r="Z15" i="34"/>
  <c r="Z13" i="34"/>
  <c r="Z11" i="34"/>
  <c r="Z9" i="34"/>
  <c r="Z7" i="34"/>
  <c r="Z5" i="34"/>
  <c r="Z3" i="34"/>
  <c r="Z2" i="34"/>
  <c r="Y60" i="34"/>
  <c r="Y59" i="34"/>
  <c r="Y58" i="34"/>
  <c r="Y57" i="34"/>
  <c r="Y56" i="34"/>
  <c r="Y55" i="34"/>
  <c r="Y54" i="34"/>
  <c r="Y53" i="34"/>
  <c r="Y52" i="34"/>
  <c r="Y51" i="34"/>
  <c r="Y50" i="34"/>
  <c r="Y49" i="34"/>
  <c r="Y48" i="34"/>
  <c r="Y47" i="34"/>
  <c r="Y46" i="34"/>
  <c r="Y45" i="34"/>
  <c r="Y44" i="34"/>
  <c r="Y43" i="34"/>
  <c r="Y42" i="34"/>
  <c r="Y41" i="34"/>
  <c r="Y40" i="34"/>
  <c r="Y39" i="34"/>
  <c r="Y38" i="34"/>
  <c r="Y37" i="34"/>
  <c r="Y36" i="34"/>
  <c r="Y35" i="34"/>
  <c r="Y34" i="34"/>
  <c r="Y33" i="34"/>
  <c r="Y32" i="34"/>
  <c r="Y31" i="34"/>
  <c r="Y30" i="34"/>
  <c r="Y29" i="34"/>
  <c r="Y28" i="34"/>
  <c r="Y27" i="34"/>
  <c r="Y26" i="34"/>
  <c r="Y25" i="34"/>
  <c r="Y24" i="34"/>
  <c r="Y23" i="34"/>
  <c r="Y22" i="34"/>
  <c r="Y21" i="34"/>
  <c r="Y20" i="34"/>
  <c r="Y19" i="34"/>
  <c r="Y18" i="34"/>
  <c r="Y17" i="34"/>
  <c r="Y16" i="34"/>
  <c r="Y15" i="34"/>
  <c r="Y14" i="34"/>
  <c r="Y13" i="34"/>
  <c r="Y12" i="34"/>
  <c r="Y11" i="34"/>
  <c r="Y10" i="34"/>
  <c r="Y9" i="34"/>
  <c r="Y8" i="34"/>
  <c r="Y7" i="34"/>
  <c r="Y6" i="34"/>
  <c r="Y5" i="34"/>
  <c r="Y4" i="34"/>
  <c r="X61" i="34"/>
  <c r="AA61" i="34"/>
  <c r="Y61" i="34"/>
  <c r="Z61" i="34"/>
  <c r="AA2" i="34"/>
  <c r="X60" i="34"/>
  <c r="X59" i="34"/>
  <c r="X58" i="34"/>
  <c r="X57" i="34"/>
  <c r="X56" i="34"/>
  <c r="X55" i="34"/>
  <c r="X54" i="34"/>
  <c r="X53" i="34"/>
  <c r="X52" i="34"/>
  <c r="X51" i="34"/>
  <c r="X50" i="34"/>
  <c r="X49" i="34"/>
  <c r="X48" i="34"/>
  <c r="X47" i="34"/>
  <c r="X46" i="34"/>
  <c r="X45" i="34"/>
  <c r="X44" i="34"/>
  <c r="X43" i="34"/>
  <c r="X42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X27" i="34"/>
  <c r="X26" i="34"/>
  <c r="X25" i="34"/>
  <c r="X24" i="34"/>
  <c r="X23" i="34"/>
  <c r="X22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X6" i="34"/>
  <c r="X5" i="34"/>
  <c r="X4" i="34"/>
  <c r="X3" i="34"/>
  <c r="AY62" i="65" l="1"/>
  <c r="I10" i="65" s="1"/>
  <c r="S62" i="65"/>
  <c r="H10" i="65" s="1"/>
  <c r="BA20" i="65"/>
  <c r="U18" i="65"/>
  <c r="BA16" i="65"/>
  <c r="U14" i="65"/>
  <c r="BA12" i="65"/>
  <c r="F12" i="65"/>
  <c r="E13" i="65" s="1"/>
  <c r="U10" i="65"/>
  <c r="BA8" i="65"/>
  <c r="U6" i="65"/>
  <c r="U21" i="65"/>
  <c r="BA19" i="65"/>
  <c r="U17" i="65"/>
  <c r="BA15" i="65"/>
  <c r="U13" i="65"/>
  <c r="BA11" i="65"/>
  <c r="U9" i="65"/>
  <c r="BA7" i="65"/>
  <c r="U5" i="65"/>
  <c r="U20" i="65"/>
  <c r="BA18" i="65"/>
  <c r="U16" i="65"/>
  <c r="BA14" i="65"/>
  <c r="U12" i="65"/>
  <c r="BA10" i="65"/>
  <c r="U8" i="65"/>
  <c r="BA6" i="65"/>
  <c r="BA9" i="65"/>
  <c r="U7" i="65"/>
  <c r="U2" i="65"/>
  <c r="BA21" i="65"/>
  <c r="U19" i="65"/>
  <c r="BA5" i="65"/>
  <c r="BA3" i="65"/>
  <c r="BA13" i="65"/>
  <c r="U11" i="65"/>
  <c r="BA17" i="65"/>
  <c r="U15" i="65"/>
  <c r="BA4" i="65"/>
  <c r="U4" i="65"/>
  <c r="BA2" i="65"/>
  <c r="U3" i="65"/>
  <c r="AZ22" i="65"/>
  <c r="T31" i="65"/>
  <c r="AZ32" i="65"/>
  <c r="AZ44" i="65"/>
  <c r="T40" i="65"/>
  <c r="T48" i="65"/>
  <c r="AZ53" i="65"/>
  <c r="AZ59" i="65"/>
  <c r="AZ25" i="65"/>
  <c r="T24" i="65"/>
  <c r="T25" i="65"/>
  <c r="T32" i="65"/>
  <c r="T36" i="65"/>
  <c r="AZ30" i="65"/>
  <c r="AZ33" i="65"/>
  <c r="AZ37" i="65"/>
  <c r="AZ41" i="65"/>
  <c r="AZ45" i="65"/>
  <c r="AZ51" i="65"/>
  <c r="T41" i="65"/>
  <c r="T45" i="65"/>
  <c r="AZ49" i="65"/>
  <c r="T51" i="65"/>
  <c r="T53" i="65"/>
  <c r="T57" i="65"/>
  <c r="T61" i="65"/>
  <c r="AZ60" i="65"/>
  <c r="AZ23" i="65"/>
  <c r="AZ52" i="65"/>
  <c r="AZ40" i="65"/>
  <c r="AZ48" i="65"/>
  <c r="T44" i="65"/>
  <c r="T50" i="65"/>
  <c r="T60" i="65"/>
  <c r="T22" i="65"/>
  <c r="T26" i="65"/>
  <c r="T27" i="65"/>
  <c r="AZ26" i="65"/>
  <c r="AZ27" i="65"/>
  <c r="T33" i="65"/>
  <c r="T37" i="65"/>
  <c r="AZ56" i="65"/>
  <c r="AZ34" i="65"/>
  <c r="AZ38" i="65"/>
  <c r="AZ42" i="65"/>
  <c r="AZ46" i="65"/>
  <c r="AZ50" i="65"/>
  <c r="T42" i="65"/>
  <c r="T46" i="65"/>
  <c r="AZ55" i="65"/>
  <c r="T52" i="65"/>
  <c r="T54" i="65"/>
  <c r="T58" i="65"/>
  <c r="AZ57" i="65"/>
  <c r="AZ61" i="65"/>
  <c r="T23" i="65"/>
  <c r="T35" i="65"/>
  <c r="AZ36" i="65"/>
  <c r="T56" i="65"/>
  <c r="T30" i="65"/>
  <c r="AZ24" i="65"/>
  <c r="G11" i="65"/>
  <c r="AZ28" i="65"/>
  <c r="AZ29" i="65"/>
  <c r="T28" i="65"/>
  <c r="T29" i="65"/>
  <c r="T34" i="65"/>
  <c r="T38" i="65"/>
  <c r="AZ31" i="65"/>
  <c r="AZ35" i="65"/>
  <c r="AZ39" i="65"/>
  <c r="AZ43" i="65"/>
  <c r="AZ47" i="65"/>
  <c r="T39" i="65"/>
  <c r="T43" i="65"/>
  <c r="T47" i="65"/>
  <c r="T49" i="65"/>
  <c r="AZ54" i="65"/>
  <c r="T55" i="65"/>
  <c r="T59" i="65"/>
  <c r="AZ58" i="65"/>
  <c r="H18" i="63"/>
  <c r="V3" i="34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3" i="34"/>
  <c r="V34" i="34"/>
  <c r="V35" i="34"/>
  <c r="V36" i="34"/>
  <c r="V37" i="34"/>
  <c r="V38" i="34"/>
  <c r="V39" i="34"/>
  <c r="V40" i="34"/>
  <c r="V41" i="34"/>
  <c r="V42" i="34"/>
  <c r="V43" i="34"/>
  <c r="V44" i="34"/>
  <c r="V45" i="34"/>
  <c r="V46" i="34"/>
  <c r="V47" i="34"/>
  <c r="V48" i="34"/>
  <c r="V49" i="34"/>
  <c r="V50" i="34"/>
  <c r="V51" i="34"/>
  <c r="V52" i="34"/>
  <c r="V53" i="34"/>
  <c r="V54" i="34"/>
  <c r="V55" i="34"/>
  <c r="V56" i="34"/>
  <c r="V57" i="34"/>
  <c r="V58" i="34"/>
  <c r="V59" i="34"/>
  <c r="V60" i="34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D2" i="2"/>
  <c r="C2" i="2"/>
  <c r="J23" i="2" l="1"/>
  <c r="J27" i="2"/>
  <c r="J31" i="2"/>
  <c r="J35" i="2"/>
  <c r="J39" i="2"/>
  <c r="J43" i="2"/>
  <c r="J47" i="2"/>
  <c r="J51" i="2"/>
  <c r="J55" i="2"/>
  <c r="J59" i="2"/>
  <c r="BA32" i="65"/>
  <c r="U29" i="65"/>
  <c r="G12" i="65"/>
  <c r="BA22" i="65"/>
  <c r="BA44" i="65"/>
  <c r="BA36" i="65"/>
  <c r="BA59" i="65"/>
  <c r="U22" i="65"/>
  <c r="BA23" i="65"/>
  <c r="BA33" i="65"/>
  <c r="U26" i="65"/>
  <c r="U34" i="65"/>
  <c r="BA48" i="65"/>
  <c r="U56" i="65"/>
  <c r="U27" i="65"/>
  <c r="U38" i="65"/>
  <c r="BA51" i="65"/>
  <c r="U41" i="65"/>
  <c r="BA30" i="65"/>
  <c r="BA54" i="65"/>
  <c r="BA35" i="65"/>
  <c r="U48" i="65"/>
  <c r="BA40" i="65"/>
  <c r="U51" i="65"/>
  <c r="U59" i="65"/>
  <c r="AZ62" i="65"/>
  <c r="I11" i="65" s="1"/>
  <c r="T62" i="65"/>
  <c r="H11" i="65" s="1"/>
  <c r="U25" i="65"/>
  <c r="BA28" i="65"/>
  <c r="U45" i="65"/>
  <c r="BA29" i="65"/>
  <c r="U24" i="65"/>
  <c r="BA37" i="65"/>
  <c r="U31" i="65"/>
  <c r="U35" i="65"/>
  <c r="U39" i="65"/>
  <c r="U42" i="65"/>
  <c r="BA41" i="65"/>
  <c r="BA45" i="65"/>
  <c r="BA57" i="65"/>
  <c r="BA52" i="65"/>
  <c r="U52" i="65"/>
  <c r="BA55" i="65"/>
  <c r="U53" i="65"/>
  <c r="U57" i="65"/>
  <c r="U60" i="65"/>
  <c r="BB23" i="65"/>
  <c r="V21" i="65"/>
  <c r="BB19" i="65"/>
  <c r="V17" i="65"/>
  <c r="BB15" i="65"/>
  <c r="V13" i="65"/>
  <c r="BB11" i="65"/>
  <c r="V9" i="65"/>
  <c r="BB7" i="65"/>
  <c r="V5" i="65"/>
  <c r="BB22" i="65"/>
  <c r="V20" i="65"/>
  <c r="BB18" i="65"/>
  <c r="V16" i="65"/>
  <c r="BB14" i="65"/>
  <c r="V12" i="65"/>
  <c r="BB10" i="65"/>
  <c r="V8" i="65"/>
  <c r="BB6" i="65"/>
  <c r="BB21" i="65"/>
  <c r="V19" i="65"/>
  <c r="BB17" i="65"/>
  <c r="V15" i="65"/>
  <c r="BB13" i="65"/>
  <c r="V11" i="65"/>
  <c r="BB9" i="65"/>
  <c r="V7" i="65"/>
  <c r="BB5" i="65"/>
  <c r="V22" i="65"/>
  <c r="BB8" i="65"/>
  <c r="V6" i="65"/>
  <c r="BB3" i="65"/>
  <c r="BB20" i="65"/>
  <c r="V18" i="65"/>
  <c r="BB4" i="65"/>
  <c r="V4" i="65"/>
  <c r="BB2" i="65"/>
  <c r="BB12" i="65"/>
  <c r="V10" i="65"/>
  <c r="V2" i="65"/>
  <c r="BB16" i="65"/>
  <c r="V14" i="65"/>
  <c r="F13" i="65"/>
  <c r="E14" i="65" s="1"/>
  <c r="V3" i="65"/>
  <c r="BA27" i="65"/>
  <c r="U30" i="65"/>
  <c r="U23" i="65"/>
  <c r="BA34" i="65"/>
  <c r="BA26" i="65"/>
  <c r="U40" i="65"/>
  <c r="U32" i="65"/>
  <c r="U36" i="65"/>
  <c r="U43" i="65"/>
  <c r="U46" i="65"/>
  <c r="BA42" i="65"/>
  <c r="BA46" i="65"/>
  <c r="BA49" i="65"/>
  <c r="U49" i="65"/>
  <c r="BA61" i="65"/>
  <c r="BA56" i="65"/>
  <c r="U54" i="65"/>
  <c r="BA58" i="65"/>
  <c r="U61" i="65"/>
  <c r="BA24" i="65"/>
  <c r="BA31" i="65"/>
  <c r="BA25" i="65"/>
  <c r="BA38" i="65"/>
  <c r="U28" i="65"/>
  <c r="U44" i="65"/>
  <c r="U33" i="65"/>
  <c r="U37" i="65"/>
  <c r="U47" i="65"/>
  <c r="BA39" i="65"/>
  <c r="BA43" i="65"/>
  <c r="BA47" i="65"/>
  <c r="BA50" i="65"/>
  <c r="U50" i="65"/>
  <c r="BA53" i="65"/>
  <c r="BA60" i="65"/>
  <c r="U55" i="65"/>
  <c r="U58" i="65"/>
  <c r="H19" i="63"/>
  <c r="J60" i="2"/>
  <c r="J24" i="2"/>
  <c r="J32" i="2"/>
  <c r="J40" i="2"/>
  <c r="J48" i="2"/>
  <c r="J52" i="2"/>
  <c r="J21" i="2"/>
  <c r="J25" i="2"/>
  <c r="J29" i="2"/>
  <c r="J33" i="2"/>
  <c r="J37" i="2"/>
  <c r="J41" i="2"/>
  <c r="J45" i="2"/>
  <c r="J49" i="2"/>
  <c r="J53" i="2"/>
  <c r="J57" i="2"/>
  <c r="J61" i="2"/>
  <c r="J28" i="2"/>
  <c r="J36" i="2"/>
  <c r="J44" i="2"/>
  <c r="J56" i="2"/>
  <c r="J22" i="2"/>
  <c r="J26" i="2"/>
  <c r="J30" i="2"/>
  <c r="J34" i="2"/>
  <c r="J38" i="2"/>
  <c r="J42" i="2"/>
  <c r="J46" i="2"/>
  <c r="J50" i="2"/>
  <c r="J54" i="2"/>
  <c r="J58" i="2"/>
  <c r="C3" i="34"/>
  <c r="D3" i="34"/>
  <c r="H4" i="34" s="1"/>
  <c r="C4" i="34"/>
  <c r="D4" i="34"/>
  <c r="C5" i="34"/>
  <c r="D5" i="34"/>
  <c r="C6" i="34"/>
  <c r="D6" i="34"/>
  <c r="C7" i="34"/>
  <c r="D7" i="34"/>
  <c r="C8" i="34"/>
  <c r="D8" i="34"/>
  <c r="C9" i="34"/>
  <c r="D9" i="34"/>
  <c r="C10" i="34"/>
  <c r="D10" i="34"/>
  <c r="C11" i="34"/>
  <c r="D11" i="34"/>
  <c r="C12" i="34"/>
  <c r="D12" i="34"/>
  <c r="C13" i="34"/>
  <c r="D13" i="34"/>
  <c r="C14" i="34"/>
  <c r="D14" i="34"/>
  <c r="C15" i="34"/>
  <c r="D15" i="34"/>
  <c r="C16" i="34"/>
  <c r="D16" i="34"/>
  <c r="C17" i="34"/>
  <c r="D17" i="34"/>
  <c r="C18" i="34"/>
  <c r="D18" i="34"/>
  <c r="C19" i="34"/>
  <c r="D19" i="34"/>
  <c r="C20" i="34"/>
  <c r="D20" i="34"/>
  <c r="C21" i="34"/>
  <c r="D21" i="34"/>
  <c r="C22" i="34"/>
  <c r="D22" i="34"/>
  <c r="C23" i="34"/>
  <c r="D23" i="34"/>
  <c r="C24" i="34"/>
  <c r="D24" i="34"/>
  <c r="C25" i="34"/>
  <c r="D25" i="34"/>
  <c r="C26" i="34"/>
  <c r="D26" i="34"/>
  <c r="C27" i="34"/>
  <c r="D27" i="34"/>
  <c r="C28" i="34"/>
  <c r="D28" i="34"/>
  <c r="C29" i="34"/>
  <c r="D29" i="34"/>
  <c r="C30" i="34"/>
  <c r="D30" i="34"/>
  <c r="C31" i="34"/>
  <c r="D31" i="34"/>
  <c r="C32" i="34"/>
  <c r="D32" i="34"/>
  <c r="C33" i="34"/>
  <c r="D33" i="34"/>
  <c r="C34" i="34"/>
  <c r="D34" i="34"/>
  <c r="C35" i="34"/>
  <c r="D35" i="34"/>
  <c r="C36" i="34"/>
  <c r="D36" i="34"/>
  <c r="C37" i="34"/>
  <c r="D37" i="34"/>
  <c r="C38" i="34"/>
  <c r="D38" i="34"/>
  <c r="C39" i="34"/>
  <c r="D39" i="34"/>
  <c r="C40" i="34"/>
  <c r="D40" i="34"/>
  <c r="C41" i="34"/>
  <c r="D41" i="34"/>
  <c r="C42" i="34"/>
  <c r="D42" i="34"/>
  <c r="C43" i="34"/>
  <c r="D43" i="34"/>
  <c r="C44" i="34"/>
  <c r="D44" i="34"/>
  <c r="C45" i="34"/>
  <c r="D45" i="34"/>
  <c r="C46" i="34"/>
  <c r="D46" i="34"/>
  <c r="C47" i="34"/>
  <c r="D47" i="34"/>
  <c r="C48" i="34"/>
  <c r="D48" i="34"/>
  <c r="C49" i="34"/>
  <c r="D49" i="34"/>
  <c r="C50" i="34"/>
  <c r="D50" i="34"/>
  <c r="C51" i="34"/>
  <c r="D51" i="34"/>
  <c r="C52" i="34"/>
  <c r="D52" i="34"/>
  <c r="C53" i="34"/>
  <c r="D53" i="34"/>
  <c r="C54" i="34"/>
  <c r="D54" i="34"/>
  <c r="C55" i="34"/>
  <c r="D55" i="34"/>
  <c r="C56" i="34"/>
  <c r="D56" i="34"/>
  <c r="C57" i="34"/>
  <c r="D57" i="34"/>
  <c r="C58" i="34"/>
  <c r="D58" i="34"/>
  <c r="C59" i="34"/>
  <c r="D59" i="34"/>
  <c r="C60" i="34"/>
  <c r="D60" i="34"/>
  <c r="C2" i="34"/>
  <c r="G3" i="34" s="1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B4" i="34"/>
  <c r="B3" i="34"/>
  <c r="F4" i="34" s="1"/>
  <c r="B2" i="34"/>
  <c r="F3" i="34" s="1"/>
  <c r="F5" i="34" l="1"/>
  <c r="F6" i="34"/>
  <c r="F7" i="34" s="1"/>
  <c r="F8" i="34" s="1"/>
  <c r="F9" i="34" s="1"/>
  <c r="F10" i="34" s="1"/>
  <c r="F11" i="34" s="1"/>
  <c r="F12" i="34" s="1"/>
  <c r="F13" i="34" s="1"/>
  <c r="F14" i="34" s="1"/>
  <c r="F15" i="34" s="1"/>
  <c r="F16" i="34" s="1"/>
  <c r="F17" i="34" s="1"/>
  <c r="F18" i="34" s="1"/>
  <c r="F19" i="34" s="1"/>
  <c r="F20" i="34" s="1"/>
  <c r="F21" i="34" s="1"/>
  <c r="F22" i="34" s="1"/>
  <c r="F23" i="34" s="1"/>
  <c r="F24" i="34" s="1"/>
  <c r="F25" i="34" s="1"/>
  <c r="F26" i="34" s="1"/>
  <c r="F27" i="34" s="1"/>
  <c r="F28" i="34" s="1"/>
  <c r="F29" i="34" s="1"/>
  <c r="F30" i="34" s="1"/>
  <c r="F31" i="34" s="1"/>
  <c r="F32" i="34" s="1"/>
  <c r="F33" i="34" s="1"/>
  <c r="F34" i="34" s="1"/>
  <c r="F35" i="34" s="1"/>
  <c r="F36" i="34" s="1"/>
  <c r="F37" i="34" s="1"/>
  <c r="F38" i="34" s="1"/>
  <c r="F39" i="34" s="1"/>
  <c r="F40" i="34" s="1"/>
  <c r="F41" i="34" s="1"/>
  <c r="F42" i="34" s="1"/>
  <c r="F43" i="34" s="1"/>
  <c r="F44" i="34" s="1"/>
  <c r="F45" i="34" s="1"/>
  <c r="F46" i="34" s="1"/>
  <c r="F47" i="34" s="1"/>
  <c r="F48" i="34" s="1"/>
  <c r="F49" i="34" s="1"/>
  <c r="F50" i="34" s="1"/>
  <c r="F51" i="34" s="1"/>
  <c r="F52" i="34" s="1"/>
  <c r="F53" i="34" s="1"/>
  <c r="F54" i="34" s="1"/>
  <c r="F55" i="34" s="1"/>
  <c r="F56" i="34" s="1"/>
  <c r="F57" i="34" s="1"/>
  <c r="F58" i="34" s="1"/>
  <c r="F59" i="34" s="1"/>
  <c r="F60" i="34" s="1"/>
  <c r="F61" i="34" s="1"/>
  <c r="H5" i="34"/>
  <c r="H6" i="34" s="1"/>
  <c r="H7" i="34" s="1"/>
  <c r="H8" i="34" s="1"/>
  <c r="H9" i="34" s="1"/>
  <c r="H10" i="34" s="1"/>
  <c r="H11" i="34" s="1"/>
  <c r="H12" i="34" s="1"/>
  <c r="H13" i="34" s="1"/>
  <c r="H14" i="34" s="1"/>
  <c r="H15" i="34" s="1"/>
  <c r="H16" i="34" s="1"/>
  <c r="H17" i="34" s="1"/>
  <c r="H18" i="34" s="1"/>
  <c r="H19" i="34" s="1"/>
  <c r="H20" i="34" s="1"/>
  <c r="H21" i="34" s="1"/>
  <c r="H22" i="34" s="1"/>
  <c r="H23" i="34" s="1"/>
  <c r="H24" i="34" s="1"/>
  <c r="H25" i="34" s="1"/>
  <c r="H26" i="34" s="1"/>
  <c r="H27" i="34" s="1"/>
  <c r="H28" i="34" s="1"/>
  <c r="H29" i="34" s="1"/>
  <c r="H30" i="34" s="1"/>
  <c r="H31" i="34" s="1"/>
  <c r="H32" i="34" s="1"/>
  <c r="H33" i="34" s="1"/>
  <c r="H34" i="34" s="1"/>
  <c r="H35" i="34" s="1"/>
  <c r="H36" i="34" s="1"/>
  <c r="H37" i="34" s="1"/>
  <c r="H38" i="34" s="1"/>
  <c r="H39" i="34" s="1"/>
  <c r="H40" i="34" s="1"/>
  <c r="H41" i="34" s="1"/>
  <c r="H42" i="34" s="1"/>
  <c r="H43" i="34" s="1"/>
  <c r="H44" i="34" s="1"/>
  <c r="H45" i="34" s="1"/>
  <c r="H46" i="34" s="1"/>
  <c r="H47" i="34" s="1"/>
  <c r="H48" i="34" s="1"/>
  <c r="H49" i="34" s="1"/>
  <c r="H50" i="34" s="1"/>
  <c r="H51" i="34" s="1"/>
  <c r="H52" i="34" s="1"/>
  <c r="H53" i="34" s="1"/>
  <c r="H54" i="34" s="1"/>
  <c r="H55" i="34" s="1"/>
  <c r="H56" i="34" s="1"/>
  <c r="H57" i="34" s="1"/>
  <c r="H58" i="34" s="1"/>
  <c r="H59" i="34" s="1"/>
  <c r="H60" i="34" s="1"/>
  <c r="H61" i="34" s="1"/>
  <c r="G4" i="34"/>
  <c r="L38" i="34"/>
  <c r="G5" i="34"/>
  <c r="G6" i="34" s="1"/>
  <c r="G7" i="34" s="1"/>
  <c r="G8" i="34" s="1"/>
  <c r="G9" i="34" s="1"/>
  <c r="G10" i="34" s="1"/>
  <c r="G11" i="34" s="1"/>
  <c r="G12" i="34" s="1"/>
  <c r="G13" i="34" s="1"/>
  <c r="G14" i="34" s="1"/>
  <c r="G15" i="34" s="1"/>
  <c r="G16" i="34" s="1"/>
  <c r="G17" i="34" s="1"/>
  <c r="G18" i="34" s="1"/>
  <c r="G19" i="34" s="1"/>
  <c r="G20" i="34" s="1"/>
  <c r="G21" i="34" s="1"/>
  <c r="G22" i="34" s="1"/>
  <c r="G23" i="34" s="1"/>
  <c r="G24" i="34" s="1"/>
  <c r="G25" i="34" s="1"/>
  <c r="G26" i="34" s="1"/>
  <c r="G27" i="34" s="1"/>
  <c r="G28" i="34" s="1"/>
  <c r="G29" i="34" s="1"/>
  <c r="G30" i="34" s="1"/>
  <c r="G31" i="34" s="1"/>
  <c r="G32" i="34" s="1"/>
  <c r="G33" i="34" s="1"/>
  <c r="G34" i="34" s="1"/>
  <c r="G35" i="34" s="1"/>
  <c r="G36" i="34" s="1"/>
  <c r="G37" i="34" s="1"/>
  <c r="G38" i="34" s="1"/>
  <c r="G39" i="34" s="1"/>
  <c r="G40" i="34" s="1"/>
  <c r="G41" i="34" s="1"/>
  <c r="G42" i="34" s="1"/>
  <c r="G43" i="34" s="1"/>
  <c r="G44" i="34" s="1"/>
  <c r="G45" i="34" s="1"/>
  <c r="G46" i="34" s="1"/>
  <c r="G47" i="34" s="1"/>
  <c r="G48" i="34" s="1"/>
  <c r="G49" i="34" s="1"/>
  <c r="G50" i="34" s="1"/>
  <c r="G51" i="34" s="1"/>
  <c r="G52" i="34" s="1"/>
  <c r="G53" i="34" s="1"/>
  <c r="G54" i="34" s="1"/>
  <c r="G55" i="34" s="1"/>
  <c r="G56" i="34" s="1"/>
  <c r="G57" i="34" s="1"/>
  <c r="G58" i="34" s="1"/>
  <c r="G59" i="34" s="1"/>
  <c r="G60" i="34" s="1"/>
  <c r="G61" i="34" s="1"/>
  <c r="M21" i="34"/>
  <c r="M33" i="34"/>
  <c r="P33" i="34" s="1"/>
  <c r="V23" i="65"/>
  <c r="U62" i="65"/>
  <c r="H12" i="65" s="1"/>
  <c r="BA62" i="65"/>
  <c r="I12" i="65" s="1"/>
  <c r="BC22" i="65"/>
  <c r="W20" i="65"/>
  <c r="BC18" i="65"/>
  <c r="W16" i="65"/>
  <c r="BC14" i="65"/>
  <c r="W12" i="65"/>
  <c r="BC10" i="65"/>
  <c r="W8" i="65"/>
  <c r="BC6" i="65"/>
  <c r="BC21" i="65"/>
  <c r="W19" i="65"/>
  <c r="BC17" i="65"/>
  <c r="W15" i="65"/>
  <c r="BC13" i="65"/>
  <c r="W11" i="65"/>
  <c r="BC9" i="65"/>
  <c r="W7" i="65"/>
  <c r="BC5" i="65"/>
  <c r="W22" i="65"/>
  <c r="BC20" i="65"/>
  <c r="W18" i="65"/>
  <c r="BC16" i="65"/>
  <c r="W14" i="65"/>
  <c r="F14" i="65"/>
  <c r="E15" i="65" s="1"/>
  <c r="BC12" i="65"/>
  <c r="W10" i="65"/>
  <c r="BC8" i="65"/>
  <c r="W6" i="65"/>
  <c r="BC4" i="65"/>
  <c r="W21" i="65"/>
  <c r="BC7" i="65"/>
  <c r="W5" i="65"/>
  <c r="W4" i="65"/>
  <c r="BC2" i="65"/>
  <c r="BC19" i="65"/>
  <c r="W17" i="65"/>
  <c r="W3" i="65"/>
  <c r="BC11" i="65"/>
  <c r="W9" i="65"/>
  <c r="BC15" i="65"/>
  <c r="W13" i="65"/>
  <c r="W2" i="65"/>
  <c r="BC3" i="65"/>
  <c r="BB27" i="65"/>
  <c r="BB31" i="65"/>
  <c r="V31" i="65"/>
  <c r="V43" i="65"/>
  <c r="BB46" i="65"/>
  <c r="BB51" i="65"/>
  <c r="BB57" i="65"/>
  <c r="BB26" i="65"/>
  <c r="V29" i="65"/>
  <c r="BB28" i="65"/>
  <c r="V27" i="65"/>
  <c r="BB32" i="65"/>
  <c r="BB36" i="65"/>
  <c r="V32" i="65"/>
  <c r="V36" i="65"/>
  <c r="V40" i="65"/>
  <c r="V44" i="65"/>
  <c r="V48" i="65"/>
  <c r="BB39" i="65"/>
  <c r="BB43" i="65"/>
  <c r="BB47" i="65"/>
  <c r="V56" i="65"/>
  <c r="BB52" i="65"/>
  <c r="BB54" i="65"/>
  <c r="BB58" i="65"/>
  <c r="V58" i="65"/>
  <c r="V26" i="65"/>
  <c r="BB35" i="65"/>
  <c r="V39" i="65"/>
  <c r="V47" i="65"/>
  <c r="BB42" i="65"/>
  <c r="BB53" i="65"/>
  <c r="BB61" i="65"/>
  <c r="V61" i="65"/>
  <c r="V28" i="65"/>
  <c r="BB30" i="65"/>
  <c r="V30" i="65"/>
  <c r="BB29" i="65"/>
  <c r="BB33" i="65"/>
  <c r="BB37" i="65"/>
  <c r="V33" i="65"/>
  <c r="V37" i="65"/>
  <c r="V41" i="65"/>
  <c r="V45" i="65"/>
  <c r="V52" i="65"/>
  <c r="BB40" i="65"/>
  <c r="BB44" i="65"/>
  <c r="BB48" i="65"/>
  <c r="BB49" i="65"/>
  <c r="V55" i="65"/>
  <c r="BB55" i="65"/>
  <c r="BB59" i="65"/>
  <c r="V59" i="65"/>
  <c r="G13" i="65"/>
  <c r="V24" i="65"/>
  <c r="BB25" i="65"/>
  <c r="V35" i="65"/>
  <c r="V57" i="65"/>
  <c r="V53" i="65"/>
  <c r="V25" i="65"/>
  <c r="BB24" i="65"/>
  <c r="V49" i="65"/>
  <c r="BB34" i="65"/>
  <c r="BB38" i="65"/>
  <c r="V34" i="65"/>
  <c r="V38" i="65"/>
  <c r="V42" i="65"/>
  <c r="V46" i="65"/>
  <c r="V51" i="65"/>
  <c r="BB41" i="65"/>
  <c r="BB45" i="65"/>
  <c r="V50" i="65"/>
  <c r="BB50" i="65"/>
  <c r="V54" i="65"/>
  <c r="BB56" i="65"/>
  <c r="BB60" i="65"/>
  <c r="V60" i="65"/>
  <c r="H20" i="63"/>
  <c r="O24" i="34"/>
  <c r="R24" i="34" s="1"/>
  <c r="L24" i="34"/>
  <c r="N24" i="34"/>
  <c r="Q24" i="34" s="1"/>
  <c r="M24" i="34"/>
  <c r="P24" i="34" s="1"/>
  <c r="O36" i="34"/>
  <c r="R36" i="34" s="1"/>
  <c r="L36" i="34"/>
  <c r="N36" i="34"/>
  <c r="Q36" i="34" s="1"/>
  <c r="M36" i="34"/>
  <c r="P36" i="34" s="1"/>
  <c r="O48" i="34"/>
  <c r="R48" i="34" s="1"/>
  <c r="L48" i="34"/>
  <c r="N48" i="34"/>
  <c r="Q48" i="34" s="1"/>
  <c r="M48" i="34"/>
  <c r="P48" i="34" s="1"/>
  <c r="O56" i="34"/>
  <c r="R56" i="34" s="1"/>
  <c r="L56" i="34"/>
  <c r="N56" i="34"/>
  <c r="Q56" i="34" s="1"/>
  <c r="M56" i="34"/>
  <c r="P56" i="34" s="1"/>
  <c r="N21" i="34"/>
  <c r="Q21" i="34" s="1"/>
  <c r="P21" i="34"/>
  <c r="K21" i="34"/>
  <c r="O21" i="34"/>
  <c r="R21" i="34" s="1"/>
  <c r="L21" i="34"/>
  <c r="N25" i="34"/>
  <c r="Q25" i="34" s="1"/>
  <c r="O25" i="34"/>
  <c r="R25" i="34" s="1"/>
  <c r="L25" i="34"/>
  <c r="M25" i="34"/>
  <c r="P25" i="34" s="1"/>
  <c r="M29" i="34"/>
  <c r="P29" i="34" s="1"/>
  <c r="O29" i="34"/>
  <c r="R29" i="34" s="1"/>
  <c r="L29" i="34"/>
  <c r="N29" i="34"/>
  <c r="Q29" i="34" s="1"/>
  <c r="N33" i="34"/>
  <c r="Q33" i="34" s="1"/>
  <c r="O33" i="34"/>
  <c r="R33" i="34" s="1"/>
  <c r="L33" i="34"/>
  <c r="O37" i="34"/>
  <c r="R37" i="34" s="1"/>
  <c r="N37" i="34"/>
  <c r="Q37" i="34" s="1"/>
  <c r="L37" i="34"/>
  <c r="M37" i="34"/>
  <c r="P37" i="34" s="1"/>
  <c r="M41" i="34"/>
  <c r="P41" i="34" s="1"/>
  <c r="O41" i="34"/>
  <c r="R41" i="34" s="1"/>
  <c r="L41" i="34"/>
  <c r="N41" i="34"/>
  <c r="Q41" i="34" s="1"/>
  <c r="N45" i="34"/>
  <c r="Q45" i="34" s="1"/>
  <c r="O45" i="34"/>
  <c r="R45" i="34" s="1"/>
  <c r="M45" i="34"/>
  <c r="P45" i="34" s="1"/>
  <c r="L45" i="34"/>
  <c r="O49" i="34"/>
  <c r="R49" i="34" s="1"/>
  <c r="N49" i="34"/>
  <c r="Q49" i="34" s="1"/>
  <c r="L49" i="34"/>
  <c r="M49" i="34"/>
  <c r="P49" i="34" s="1"/>
  <c r="M53" i="34"/>
  <c r="P53" i="34" s="1"/>
  <c r="O53" i="34"/>
  <c r="R53" i="34" s="1"/>
  <c r="L53" i="34"/>
  <c r="N53" i="34"/>
  <c r="Q53" i="34" s="1"/>
  <c r="N57" i="34"/>
  <c r="Q57" i="34" s="1"/>
  <c r="O57" i="34"/>
  <c r="R57" i="34" s="1"/>
  <c r="M57" i="34"/>
  <c r="P57" i="34" s="1"/>
  <c r="L57" i="34"/>
  <c r="O32" i="34"/>
  <c r="R32" i="34" s="1"/>
  <c r="L32" i="34"/>
  <c r="N32" i="34"/>
  <c r="Q32" i="34" s="1"/>
  <c r="M32" i="34"/>
  <c r="P32" i="34" s="1"/>
  <c r="O44" i="34"/>
  <c r="R44" i="34" s="1"/>
  <c r="L44" i="34"/>
  <c r="N44" i="34"/>
  <c r="Q44" i="34" s="1"/>
  <c r="M44" i="34"/>
  <c r="P44" i="34" s="1"/>
  <c r="O52" i="34"/>
  <c r="R52" i="34" s="1"/>
  <c r="L52" i="34"/>
  <c r="N52" i="34"/>
  <c r="Q52" i="34" s="1"/>
  <c r="M52" i="34"/>
  <c r="P52" i="34" s="1"/>
  <c r="O22" i="34"/>
  <c r="R22" i="34" s="1"/>
  <c r="N22" i="34"/>
  <c r="Q22" i="34" s="1"/>
  <c r="L22" i="34"/>
  <c r="M22" i="34"/>
  <c r="P22" i="34" s="1"/>
  <c r="N30" i="34"/>
  <c r="Q30" i="34" s="1"/>
  <c r="M30" i="34"/>
  <c r="P30" i="34" s="1"/>
  <c r="L30" i="34"/>
  <c r="O30" i="34"/>
  <c r="R30" i="34" s="1"/>
  <c r="N34" i="34"/>
  <c r="Q34" i="34" s="1"/>
  <c r="M34" i="34"/>
  <c r="P34" i="34" s="1"/>
  <c r="L34" i="34"/>
  <c r="O34" i="34"/>
  <c r="R34" i="34" s="1"/>
  <c r="N38" i="34"/>
  <c r="Q38" i="34" s="1"/>
  <c r="M38" i="34"/>
  <c r="P38" i="34" s="1"/>
  <c r="O38" i="34"/>
  <c r="R38" i="34" s="1"/>
  <c r="N42" i="34"/>
  <c r="Q42" i="34" s="1"/>
  <c r="M42" i="34"/>
  <c r="P42" i="34" s="1"/>
  <c r="L42" i="34"/>
  <c r="O42" i="34"/>
  <c r="R42" i="34" s="1"/>
  <c r="N46" i="34"/>
  <c r="Q46" i="34" s="1"/>
  <c r="M46" i="34"/>
  <c r="P46" i="34" s="1"/>
  <c r="L46" i="34"/>
  <c r="O46" i="34"/>
  <c r="R46" i="34" s="1"/>
  <c r="N50" i="34"/>
  <c r="Q50" i="34" s="1"/>
  <c r="M50" i="34"/>
  <c r="P50" i="34" s="1"/>
  <c r="O50" i="34"/>
  <c r="R50" i="34" s="1"/>
  <c r="L50" i="34"/>
  <c r="N54" i="34"/>
  <c r="Q54" i="34" s="1"/>
  <c r="M54" i="34"/>
  <c r="P54" i="34" s="1"/>
  <c r="L54" i="34"/>
  <c r="O54" i="34"/>
  <c r="R54" i="34" s="1"/>
  <c r="N58" i="34"/>
  <c r="Q58" i="34" s="1"/>
  <c r="M58" i="34"/>
  <c r="P58" i="34" s="1"/>
  <c r="L58" i="34"/>
  <c r="O58" i="34"/>
  <c r="R58" i="34" s="1"/>
  <c r="O28" i="34"/>
  <c r="R28" i="34" s="1"/>
  <c r="L28" i="34"/>
  <c r="N28" i="34"/>
  <c r="Q28" i="34" s="1"/>
  <c r="M28" i="34"/>
  <c r="P28" i="34" s="1"/>
  <c r="O40" i="34"/>
  <c r="R40" i="34" s="1"/>
  <c r="L40" i="34"/>
  <c r="N40" i="34"/>
  <c r="Q40" i="34" s="1"/>
  <c r="M40" i="34"/>
  <c r="P40" i="34" s="1"/>
  <c r="O60" i="34"/>
  <c r="R60" i="34" s="1"/>
  <c r="L60" i="34"/>
  <c r="N60" i="34"/>
  <c r="Q60" i="34" s="1"/>
  <c r="M60" i="34"/>
  <c r="P60" i="34" s="1"/>
  <c r="N26" i="34"/>
  <c r="Q26" i="34" s="1"/>
  <c r="M26" i="34"/>
  <c r="P26" i="34" s="1"/>
  <c r="L26" i="34"/>
  <c r="O26" i="34"/>
  <c r="R26" i="34" s="1"/>
  <c r="L23" i="34"/>
  <c r="N23" i="34"/>
  <c r="Q23" i="34" s="1"/>
  <c r="M23" i="34"/>
  <c r="P23" i="34" s="1"/>
  <c r="O23" i="34"/>
  <c r="R23" i="34" s="1"/>
  <c r="L27" i="34"/>
  <c r="N27" i="34"/>
  <c r="Q27" i="34" s="1"/>
  <c r="M27" i="34"/>
  <c r="P27" i="34" s="1"/>
  <c r="O27" i="34"/>
  <c r="R27" i="34" s="1"/>
  <c r="L31" i="34"/>
  <c r="N31" i="34"/>
  <c r="Q31" i="34" s="1"/>
  <c r="M31" i="34"/>
  <c r="P31" i="34" s="1"/>
  <c r="O31" i="34"/>
  <c r="R31" i="34" s="1"/>
  <c r="L35" i="34"/>
  <c r="N35" i="34"/>
  <c r="Q35" i="34" s="1"/>
  <c r="M35" i="34"/>
  <c r="P35" i="34" s="1"/>
  <c r="O35" i="34"/>
  <c r="R35" i="34" s="1"/>
  <c r="L39" i="34"/>
  <c r="N39" i="34"/>
  <c r="Q39" i="34" s="1"/>
  <c r="M39" i="34"/>
  <c r="P39" i="34" s="1"/>
  <c r="O39" i="34"/>
  <c r="R39" i="34" s="1"/>
  <c r="L43" i="34"/>
  <c r="N43" i="34"/>
  <c r="Q43" i="34" s="1"/>
  <c r="M43" i="34"/>
  <c r="P43" i="34" s="1"/>
  <c r="O43" i="34"/>
  <c r="R43" i="34" s="1"/>
  <c r="L47" i="34"/>
  <c r="N47" i="34"/>
  <c r="Q47" i="34" s="1"/>
  <c r="M47" i="34"/>
  <c r="P47" i="34" s="1"/>
  <c r="O47" i="34"/>
  <c r="R47" i="34" s="1"/>
  <c r="L51" i="34"/>
  <c r="O51" i="34"/>
  <c r="R51" i="34" s="1"/>
  <c r="N51" i="34"/>
  <c r="Q51" i="34" s="1"/>
  <c r="M51" i="34"/>
  <c r="P51" i="34" s="1"/>
  <c r="L55" i="34"/>
  <c r="N55" i="34"/>
  <c r="Q55" i="34" s="1"/>
  <c r="M55" i="34"/>
  <c r="P55" i="34" s="1"/>
  <c r="O55" i="34"/>
  <c r="R55" i="34" s="1"/>
  <c r="L59" i="34"/>
  <c r="N59" i="34"/>
  <c r="Q59" i="34" s="1"/>
  <c r="M59" i="34"/>
  <c r="P59" i="34" s="1"/>
  <c r="O59" i="34"/>
  <c r="R59" i="34" s="1"/>
  <c r="J21" i="34"/>
  <c r="J25" i="34"/>
  <c r="K25" i="34"/>
  <c r="J29" i="34"/>
  <c r="K29" i="34"/>
  <c r="J33" i="34"/>
  <c r="K33" i="34"/>
  <c r="J37" i="34"/>
  <c r="K37" i="34"/>
  <c r="J41" i="34"/>
  <c r="K41" i="34"/>
  <c r="J45" i="34"/>
  <c r="K45" i="34"/>
  <c r="J49" i="34"/>
  <c r="K49" i="34"/>
  <c r="J53" i="34"/>
  <c r="K53" i="34"/>
  <c r="J57" i="34"/>
  <c r="K57" i="34"/>
  <c r="K28" i="34"/>
  <c r="J28" i="34"/>
  <c r="K40" i="34"/>
  <c r="J40" i="34"/>
  <c r="K48" i="34"/>
  <c r="J48" i="34"/>
  <c r="K56" i="34"/>
  <c r="J56" i="34"/>
  <c r="J38" i="34"/>
  <c r="K38" i="34"/>
  <c r="K42" i="34"/>
  <c r="J42" i="34"/>
  <c r="J46" i="34"/>
  <c r="K46" i="34"/>
  <c r="J50" i="34"/>
  <c r="K50" i="34"/>
  <c r="K54" i="34"/>
  <c r="J54" i="34"/>
  <c r="J58" i="34"/>
  <c r="K58" i="34"/>
  <c r="J24" i="34"/>
  <c r="K24" i="34"/>
  <c r="K32" i="34"/>
  <c r="J32" i="34"/>
  <c r="J36" i="34"/>
  <c r="K36" i="34"/>
  <c r="K44" i="34"/>
  <c r="J44" i="34"/>
  <c r="J52" i="34"/>
  <c r="K52" i="34"/>
  <c r="K60" i="34"/>
  <c r="J60" i="34"/>
  <c r="J22" i="34"/>
  <c r="K22" i="34"/>
  <c r="J26" i="34"/>
  <c r="K26" i="34"/>
  <c r="J30" i="34"/>
  <c r="K30" i="34"/>
  <c r="J34" i="34"/>
  <c r="K34" i="34"/>
  <c r="K23" i="34"/>
  <c r="J23" i="34"/>
  <c r="K27" i="34"/>
  <c r="J27" i="34"/>
  <c r="K31" i="34"/>
  <c r="J31" i="34"/>
  <c r="K35" i="34"/>
  <c r="J35" i="34"/>
  <c r="K39" i="34"/>
  <c r="J39" i="34"/>
  <c r="K43" i="34"/>
  <c r="J43" i="34"/>
  <c r="K47" i="34"/>
  <c r="J47" i="34"/>
  <c r="K51" i="34"/>
  <c r="J51" i="34"/>
  <c r="K55" i="34"/>
  <c r="J55" i="34"/>
  <c r="K59" i="34"/>
  <c r="J59" i="34"/>
  <c r="D4" i="30"/>
  <c r="D3" i="30"/>
  <c r="D2" i="30"/>
  <c r="BC36" i="65" l="1"/>
  <c r="W33" i="65"/>
  <c r="BC29" i="65"/>
  <c r="W34" i="65"/>
  <c r="BC58" i="65"/>
  <c r="BC41" i="65"/>
  <c r="BC25" i="65"/>
  <c r="W32" i="65"/>
  <c r="BC24" i="65"/>
  <c r="BC32" i="65"/>
  <c r="W43" i="65"/>
  <c r="W54" i="65"/>
  <c r="BC26" i="65"/>
  <c r="BC40" i="65"/>
  <c r="W39" i="65"/>
  <c r="W27" i="65"/>
  <c r="BC23" i="65"/>
  <c r="W26" i="65"/>
  <c r="W47" i="65"/>
  <c r="W61" i="65"/>
  <c r="W23" i="65"/>
  <c r="BC27" i="65"/>
  <c r="BC50" i="65"/>
  <c r="G14" i="65"/>
  <c r="W24" i="65"/>
  <c r="W25" i="65"/>
  <c r="BC43" i="65"/>
  <c r="W51" i="65"/>
  <c r="BC55" i="65"/>
  <c r="BB62" i="65"/>
  <c r="I13" i="65" s="1"/>
  <c r="V62" i="65"/>
  <c r="H13" i="65" s="1"/>
  <c r="BD35" i="65"/>
  <c r="BD34" i="65"/>
  <c r="BD33" i="65"/>
  <c r="BD32" i="65"/>
  <c r="BD31" i="65"/>
  <c r="BD30" i="65"/>
  <c r="X35" i="65"/>
  <c r="X34" i="65"/>
  <c r="X33" i="65"/>
  <c r="X32" i="65"/>
  <c r="X31" i="65"/>
  <c r="X29" i="65"/>
  <c r="BD23" i="65"/>
  <c r="X28" i="65"/>
  <c r="BD22" i="65"/>
  <c r="BD29" i="65"/>
  <c r="X23" i="65"/>
  <c r="BD24" i="65"/>
  <c r="BD21" i="65"/>
  <c r="X19" i="65"/>
  <c r="BD17" i="65"/>
  <c r="X15" i="65"/>
  <c r="BD13" i="65"/>
  <c r="X11" i="65"/>
  <c r="BD9" i="65"/>
  <c r="X7" i="65"/>
  <c r="BD5" i="65"/>
  <c r="X22" i="65"/>
  <c r="BD20" i="65"/>
  <c r="X18" i="65"/>
  <c r="BD16" i="65"/>
  <c r="F15" i="65"/>
  <c r="E16" i="65" s="1"/>
  <c r="X14" i="65"/>
  <c r="BD12" i="65"/>
  <c r="X10" i="65"/>
  <c r="BD8" i="65"/>
  <c r="X6" i="65"/>
  <c r="BD4" i="65"/>
  <c r="X30" i="65"/>
  <c r="X21" i="65"/>
  <c r="BD19" i="65"/>
  <c r="X17" i="65"/>
  <c r="BD15" i="65"/>
  <c r="X13" i="65"/>
  <c r="BD11" i="65"/>
  <c r="X9" i="65"/>
  <c r="BD7" i="65"/>
  <c r="X5" i="65"/>
  <c r="X20" i="65"/>
  <c r="BD6" i="65"/>
  <c r="X3" i="65"/>
  <c r="BD28" i="65"/>
  <c r="BD18" i="65"/>
  <c r="X16" i="65"/>
  <c r="X2" i="65"/>
  <c r="X26" i="65"/>
  <c r="BD10" i="65"/>
  <c r="X8" i="65"/>
  <c r="X4" i="65"/>
  <c r="BD14" i="65"/>
  <c r="X12" i="65"/>
  <c r="BD3" i="65"/>
  <c r="BD2" i="65"/>
  <c r="W36" i="65"/>
  <c r="W29" i="65"/>
  <c r="W38" i="65"/>
  <c r="BC44" i="65"/>
  <c r="BC33" i="65"/>
  <c r="BC37" i="65"/>
  <c r="BC47" i="65"/>
  <c r="W40" i="65"/>
  <c r="W44" i="65"/>
  <c r="W48" i="65"/>
  <c r="W52" i="65"/>
  <c r="BC51" i="65"/>
  <c r="W55" i="65"/>
  <c r="W60" i="65"/>
  <c r="BC56" i="65"/>
  <c r="BC59" i="65"/>
  <c r="W31" i="65"/>
  <c r="BC28" i="65"/>
  <c r="BC45" i="65"/>
  <c r="BC48" i="65"/>
  <c r="BC34" i="65"/>
  <c r="BC38" i="65"/>
  <c r="BC42" i="65"/>
  <c r="W41" i="65"/>
  <c r="W45" i="65"/>
  <c r="W49" i="65"/>
  <c r="W58" i="65"/>
  <c r="BC52" i="65"/>
  <c r="W56" i="65"/>
  <c r="BC53" i="65"/>
  <c r="W59" i="65"/>
  <c r="BC60" i="65"/>
  <c r="W37" i="65"/>
  <c r="W28" i="65"/>
  <c r="W35" i="65"/>
  <c r="W30" i="65"/>
  <c r="BC30" i="65"/>
  <c r="BC31" i="65"/>
  <c r="BC35" i="65"/>
  <c r="BC39" i="65"/>
  <c r="BC46" i="65"/>
  <c r="W42" i="65"/>
  <c r="W46" i="65"/>
  <c r="W50" i="65"/>
  <c r="BC49" i="65"/>
  <c r="W53" i="65"/>
  <c r="W57" i="65"/>
  <c r="BC54" i="65"/>
  <c r="BC57" i="65"/>
  <c r="BC61" i="65"/>
  <c r="H21" i="63"/>
  <c r="C2" i="30"/>
  <c r="C3" i="30"/>
  <c r="C13" i="30"/>
  <c r="C12" i="30"/>
  <c r="C11" i="30"/>
  <c r="C10" i="30"/>
  <c r="C9" i="30"/>
  <c r="C8" i="30"/>
  <c r="C7" i="30"/>
  <c r="C6" i="30"/>
  <c r="C5" i="30"/>
  <c r="C4" i="30"/>
  <c r="B2" i="30"/>
  <c r="O3" i="30" s="1"/>
  <c r="B3" i="30"/>
  <c r="O4" i="30" s="1"/>
  <c r="B4" i="30"/>
  <c r="O5" i="30" s="1"/>
  <c r="B5" i="30"/>
  <c r="O6" i="30" s="1"/>
  <c r="B6" i="30"/>
  <c r="O7" i="30" s="1"/>
  <c r="B7" i="30"/>
  <c r="O8" i="30" s="1"/>
  <c r="B8" i="30"/>
  <c r="O9" i="30" s="1"/>
  <c r="B9" i="30"/>
  <c r="O10" i="30" s="1"/>
  <c r="B10" i="30"/>
  <c r="O11" i="30" s="1"/>
  <c r="B11" i="30"/>
  <c r="O12" i="30" s="1"/>
  <c r="B12" i="30"/>
  <c r="O13" i="30" s="1"/>
  <c r="B13" i="30"/>
  <c r="O14" i="30" s="1"/>
  <c r="B14" i="30"/>
  <c r="O15" i="30" s="1"/>
  <c r="B15" i="30"/>
  <c r="O16" i="30" s="1"/>
  <c r="B16" i="30"/>
  <c r="O17" i="30" s="1"/>
  <c r="B17" i="30"/>
  <c r="O18" i="30" s="1"/>
  <c r="B18" i="30"/>
  <c r="O19" i="30" s="1"/>
  <c r="B19" i="30"/>
  <c r="O20" i="30" s="1"/>
  <c r="B20" i="30"/>
  <c r="O21" i="30" s="1"/>
  <c r="B21" i="30"/>
  <c r="O22" i="30" s="1"/>
  <c r="B22" i="30"/>
  <c r="O23" i="30" s="1"/>
  <c r="B23" i="30"/>
  <c r="O24" i="30" s="1"/>
  <c r="B24" i="30"/>
  <c r="O25" i="30" s="1"/>
  <c r="B25" i="30"/>
  <c r="O26" i="30" s="1"/>
  <c r="B26" i="30"/>
  <c r="O27" i="30" s="1"/>
  <c r="B27" i="30"/>
  <c r="O28" i="30" s="1"/>
  <c r="B28" i="30"/>
  <c r="O29" i="30" s="1"/>
  <c r="B29" i="30"/>
  <c r="O30" i="30" s="1"/>
  <c r="B30" i="30"/>
  <c r="O31" i="30" s="1"/>
  <c r="B31" i="30"/>
  <c r="O32" i="30" s="1"/>
  <c r="B32" i="30"/>
  <c r="O33" i="30" s="1"/>
  <c r="B33" i="30"/>
  <c r="O34" i="30" s="1"/>
  <c r="B34" i="30"/>
  <c r="O35" i="30" s="1"/>
  <c r="B35" i="30"/>
  <c r="O36" i="30" s="1"/>
  <c r="B36" i="30"/>
  <c r="O37" i="30" s="1"/>
  <c r="B37" i="30"/>
  <c r="O38" i="30" s="1"/>
  <c r="B38" i="30"/>
  <c r="O39" i="30" s="1"/>
  <c r="B39" i="30"/>
  <c r="O40" i="30" s="1"/>
  <c r="B40" i="30"/>
  <c r="O41" i="30" s="1"/>
  <c r="B41" i="30"/>
  <c r="O42" i="30" s="1"/>
  <c r="B42" i="30"/>
  <c r="O43" i="30" s="1"/>
  <c r="B43" i="30"/>
  <c r="O44" i="30" s="1"/>
  <c r="B44" i="30"/>
  <c r="O45" i="30" s="1"/>
  <c r="B45" i="30"/>
  <c r="O46" i="30" s="1"/>
  <c r="B46" i="30"/>
  <c r="O47" i="30" s="1"/>
  <c r="B47" i="30"/>
  <c r="O48" i="30" s="1"/>
  <c r="B48" i="30"/>
  <c r="O49" i="30" s="1"/>
  <c r="B49" i="30"/>
  <c r="O50" i="30" s="1"/>
  <c r="B50" i="30"/>
  <c r="O51" i="30" s="1"/>
  <c r="B51" i="30"/>
  <c r="O52" i="30" s="1"/>
  <c r="B52" i="30"/>
  <c r="O53" i="30" s="1"/>
  <c r="B53" i="30"/>
  <c r="O54" i="30" s="1"/>
  <c r="B54" i="30"/>
  <c r="O55" i="30" s="1"/>
  <c r="B55" i="30"/>
  <c r="O56" i="30" s="1"/>
  <c r="B56" i="30"/>
  <c r="O57" i="30" s="1"/>
  <c r="B57" i="30"/>
  <c r="O58" i="30" s="1"/>
  <c r="B58" i="30"/>
  <c r="O59" i="30" s="1"/>
  <c r="B59" i="30"/>
  <c r="O60" i="30" s="1"/>
  <c r="B60" i="30"/>
  <c r="O61" i="30" s="1"/>
  <c r="P60" i="30" l="1"/>
  <c r="P56" i="30"/>
  <c r="Q52" i="30"/>
  <c r="P52" i="30"/>
  <c r="P48" i="30"/>
  <c r="P44" i="30"/>
  <c r="P40" i="30"/>
  <c r="P36" i="30"/>
  <c r="R36" i="30" s="1"/>
  <c r="P32" i="30"/>
  <c r="P28" i="30"/>
  <c r="P24" i="30"/>
  <c r="R44" i="30"/>
  <c r="P59" i="30"/>
  <c r="P55" i="30"/>
  <c r="P51" i="30"/>
  <c r="P47" i="30"/>
  <c r="P43" i="30"/>
  <c r="P39" i="30"/>
  <c r="P35" i="30"/>
  <c r="P31" i="30"/>
  <c r="P27" i="30"/>
  <c r="P23" i="30"/>
  <c r="P58" i="30"/>
  <c r="P54" i="30"/>
  <c r="P50" i="30"/>
  <c r="P46" i="30"/>
  <c r="P42" i="30"/>
  <c r="P38" i="30"/>
  <c r="P34" i="30"/>
  <c r="P30" i="30"/>
  <c r="P26" i="30"/>
  <c r="P22" i="30"/>
  <c r="P61" i="30"/>
  <c r="P57" i="30"/>
  <c r="P53" i="30"/>
  <c r="R53" i="30" s="1"/>
  <c r="P49" i="30"/>
  <c r="P45" i="30"/>
  <c r="P41" i="30"/>
  <c r="P37" i="30"/>
  <c r="R37" i="30" s="1"/>
  <c r="P33" i="30"/>
  <c r="P29" i="30"/>
  <c r="P25" i="30"/>
  <c r="Q59" i="30"/>
  <c r="R59" i="30" s="1"/>
  <c r="Q56" i="30"/>
  <c r="R56" i="30" s="1"/>
  <c r="Q44" i="30"/>
  <c r="Q36" i="30"/>
  <c r="Q28" i="30"/>
  <c r="R28" i="30" s="1"/>
  <c r="Q39" i="30"/>
  <c r="Q31" i="30"/>
  <c r="R31" i="30" s="1"/>
  <c r="Q23" i="30"/>
  <c r="R23" i="30" s="1"/>
  <c r="Q58" i="30"/>
  <c r="R58" i="30" s="1"/>
  <c r="Q54" i="30"/>
  <c r="R54" i="30" s="1"/>
  <c r="Q50" i="30"/>
  <c r="R50" i="30" s="1"/>
  <c r="Q46" i="30"/>
  <c r="R46" i="30" s="1"/>
  <c r="Q42" i="30"/>
  <c r="R42" i="30" s="1"/>
  <c r="Q38" i="30"/>
  <c r="R38" i="30" s="1"/>
  <c r="Q34" i="30"/>
  <c r="Q30" i="30"/>
  <c r="R30" i="30" s="1"/>
  <c r="Q26" i="30"/>
  <c r="Q22" i="30"/>
  <c r="R22" i="30" s="1"/>
  <c r="Q60" i="30"/>
  <c r="R60" i="30" s="1"/>
  <c r="Q48" i="30"/>
  <c r="Q40" i="30"/>
  <c r="R40" i="30" s="1"/>
  <c r="Q32" i="30"/>
  <c r="R32" i="30" s="1"/>
  <c r="Q24" i="30"/>
  <c r="R24" i="30" s="1"/>
  <c r="Q55" i="30"/>
  <c r="R55" i="30" s="1"/>
  <c r="Q51" i="30"/>
  <c r="R51" i="30" s="1"/>
  <c r="Q47" i="30"/>
  <c r="R47" i="30" s="1"/>
  <c r="Q43" i="30"/>
  <c r="R43" i="30" s="1"/>
  <c r="Q35" i="30"/>
  <c r="Q27" i="30"/>
  <c r="R27" i="30" s="1"/>
  <c r="Q61" i="30"/>
  <c r="Q57" i="30"/>
  <c r="Q53" i="30"/>
  <c r="Q49" i="30"/>
  <c r="Q45" i="30"/>
  <c r="Q41" i="30"/>
  <c r="Q37" i="30"/>
  <c r="Q33" i="30"/>
  <c r="Q29" i="30"/>
  <c r="Q25" i="30"/>
  <c r="K54" i="30"/>
  <c r="E53" i="30"/>
  <c r="K46" i="30"/>
  <c r="E45" i="30"/>
  <c r="K42" i="30"/>
  <c r="E41" i="30"/>
  <c r="K34" i="30"/>
  <c r="E33" i="30"/>
  <c r="K26" i="30"/>
  <c r="E25" i="30"/>
  <c r="K18" i="30"/>
  <c r="E17" i="30"/>
  <c r="K10" i="30"/>
  <c r="E9" i="30"/>
  <c r="K61" i="30"/>
  <c r="E60" i="30"/>
  <c r="K53" i="30"/>
  <c r="E52" i="30"/>
  <c r="K45" i="30"/>
  <c r="E44" i="30"/>
  <c r="K37" i="30"/>
  <c r="E36" i="30"/>
  <c r="K29" i="30"/>
  <c r="E28" i="30"/>
  <c r="K25" i="30"/>
  <c r="E24" i="30"/>
  <c r="K17" i="30"/>
  <c r="E16" i="30"/>
  <c r="K13" i="30"/>
  <c r="E12" i="30"/>
  <c r="K5" i="30"/>
  <c r="E4" i="30"/>
  <c r="K60" i="30"/>
  <c r="E59" i="30"/>
  <c r="K56" i="30"/>
  <c r="E55" i="30"/>
  <c r="K52" i="30"/>
  <c r="E51" i="30"/>
  <c r="K48" i="30"/>
  <c r="E47" i="30"/>
  <c r="K44" i="30"/>
  <c r="E43" i="30"/>
  <c r="K40" i="30"/>
  <c r="E39" i="30"/>
  <c r="K36" i="30"/>
  <c r="E35" i="30"/>
  <c r="K32" i="30"/>
  <c r="E31" i="30"/>
  <c r="K28" i="30"/>
  <c r="E27" i="30"/>
  <c r="K24" i="30"/>
  <c r="E23" i="30"/>
  <c r="K20" i="30"/>
  <c r="E19" i="30"/>
  <c r="K16" i="30"/>
  <c r="E15" i="30"/>
  <c r="K12" i="30"/>
  <c r="E11" i="30"/>
  <c r="K8" i="30"/>
  <c r="E7" i="30"/>
  <c r="K4" i="30"/>
  <c r="E3" i="30"/>
  <c r="K58" i="30"/>
  <c r="E57" i="30"/>
  <c r="K50" i="30"/>
  <c r="E49" i="30"/>
  <c r="K38" i="30"/>
  <c r="E37" i="30"/>
  <c r="K30" i="30"/>
  <c r="E29" i="30"/>
  <c r="K22" i="30"/>
  <c r="E21" i="30"/>
  <c r="K14" i="30"/>
  <c r="E13" i="30"/>
  <c r="K6" i="30"/>
  <c r="E5" i="30"/>
  <c r="K57" i="30"/>
  <c r="E56" i="30"/>
  <c r="K49" i="30"/>
  <c r="E48" i="30"/>
  <c r="K41" i="30"/>
  <c r="E40" i="30"/>
  <c r="K33" i="30"/>
  <c r="E32" i="30"/>
  <c r="K21" i="30"/>
  <c r="E20" i="30"/>
  <c r="K9" i="30"/>
  <c r="E8" i="30"/>
  <c r="K59" i="30"/>
  <c r="E58" i="30"/>
  <c r="K55" i="30"/>
  <c r="E54" i="30"/>
  <c r="K51" i="30"/>
  <c r="E50" i="30"/>
  <c r="K47" i="30"/>
  <c r="E46" i="30"/>
  <c r="K43" i="30"/>
  <c r="E42" i="30"/>
  <c r="K39" i="30"/>
  <c r="E38" i="30"/>
  <c r="K35" i="30"/>
  <c r="E34" i="30"/>
  <c r="K31" i="30"/>
  <c r="E30" i="30"/>
  <c r="K27" i="30"/>
  <c r="E26" i="30"/>
  <c r="K23" i="30"/>
  <c r="E22" i="30"/>
  <c r="K19" i="30"/>
  <c r="E18" i="30"/>
  <c r="K15" i="30"/>
  <c r="E14" i="30"/>
  <c r="K11" i="30"/>
  <c r="E10" i="30"/>
  <c r="K7" i="30"/>
  <c r="E6" i="30"/>
  <c r="K3" i="30"/>
  <c r="E2" i="30"/>
  <c r="BD48" i="65"/>
  <c r="X39" i="65"/>
  <c r="BD36" i="65"/>
  <c r="X49" i="65"/>
  <c r="X38" i="65"/>
  <c r="BD40" i="65"/>
  <c r="BD58" i="65"/>
  <c r="BD55" i="65"/>
  <c r="BD25" i="65"/>
  <c r="X24" i="65"/>
  <c r="X25" i="65"/>
  <c r="X43" i="65"/>
  <c r="X55" i="65"/>
  <c r="X27" i="65"/>
  <c r="BD26" i="65"/>
  <c r="BD27" i="65"/>
  <c r="BD44" i="65"/>
  <c r="X47" i="65"/>
  <c r="X59" i="65"/>
  <c r="W62" i="65"/>
  <c r="H14" i="65" s="1"/>
  <c r="BC62" i="65"/>
  <c r="I14" i="65" s="1"/>
  <c r="BE30" i="65"/>
  <c r="Y37" i="65"/>
  <c r="Y36" i="65"/>
  <c r="Y35" i="65"/>
  <c r="Y34" i="65"/>
  <c r="Y33" i="65"/>
  <c r="Y32" i="65"/>
  <c r="Y31" i="65"/>
  <c r="BE34" i="65"/>
  <c r="Y28" i="65"/>
  <c r="BE26" i="65"/>
  <c r="BE22" i="65"/>
  <c r="BE35" i="65"/>
  <c r="BE31" i="65"/>
  <c r="BE29" i="65"/>
  <c r="Y27" i="65"/>
  <c r="BE25" i="65"/>
  <c r="Y23" i="65"/>
  <c r="BE36" i="65"/>
  <c r="BE32" i="65"/>
  <c r="Y30" i="65"/>
  <c r="BE28" i="65"/>
  <c r="Y26" i="65"/>
  <c r="BE23" i="65"/>
  <c r="Y22" i="65"/>
  <c r="BE20" i="65"/>
  <c r="Y18" i="65"/>
  <c r="BE16" i="65"/>
  <c r="F16" i="65"/>
  <c r="E17" i="65" s="1"/>
  <c r="Y14" i="65"/>
  <c r="BE12" i="65"/>
  <c r="Y10" i="65"/>
  <c r="BE8" i="65"/>
  <c r="Y6" i="65"/>
  <c r="BE4" i="65"/>
  <c r="BE33" i="65"/>
  <c r="Y21" i="65"/>
  <c r="BE19" i="65"/>
  <c r="Y17" i="65"/>
  <c r="BE15" i="65"/>
  <c r="Y13" i="65"/>
  <c r="BE11" i="65"/>
  <c r="Y9" i="65"/>
  <c r="BE7" i="65"/>
  <c r="Y5" i="65"/>
  <c r="BE37" i="65"/>
  <c r="Y29" i="65"/>
  <c r="Y20" i="65"/>
  <c r="BE18" i="65"/>
  <c r="Y16" i="65"/>
  <c r="BE14" i="65"/>
  <c r="Y12" i="65"/>
  <c r="BE10" i="65"/>
  <c r="Y8" i="65"/>
  <c r="BE6" i="65"/>
  <c r="Y4" i="65"/>
  <c r="BE21" i="65"/>
  <c r="Y19" i="65"/>
  <c r="BE5" i="65"/>
  <c r="Y2" i="65"/>
  <c r="BE27" i="65"/>
  <c r="BE17" i="65"/>
  <c r="Y15" i="65"/>
  <c r="BE3" i="65"/>
  <c r="BE9" i="65"/>
  <c r="Y7" i="65"/>
  <c r="Y3" i="65"/>
  <c r="BE13" i="65"/>
  <c r="Y11" i="65"/>
  <c r="BE2" i="65"/>
  <c r="Y25" i="65"/>
  <c r="BD37" i="65"/>
  <c r="BD41" i="65"/>
  <c r="BD45" i="65"/>
  <c r="BD52" i="65"/>
  <c r="X40" i="65"/>
  <c r="X44" i="65"/>
  <c r="X48" i="65"/>
  <c r="X50" i="65"/>
  <c r="BD54" i="65"/>
  <c r="X56" i="65"/>
  <c r="X60" i="65"/>
  <c r="BD59" i="65"/>
  <c r="X36" i="65"/>
  <c r="BD49" i="65"/>
  <c r="BD38" i="65"/>
  <c r="BD42" i="65"/>
  <c r="BD46" i="65"/>
  <c r="BD53" i="65"/>
  <c r="X41" i="65"/>
  <c r="X45" i="65"/>
  <c r="BD50" i="65"/>
  <c r="X51" i="65"/>
  <c r="X53" i="65"/>
  <c r="X57" i="65"/>
  <c r="X61" i="65"/>
  <c r="BD60" i="65"/>
  <c r="G15" i="65"/>
  <c r="X37" i="65"/>
  <c r="BD39" i="65"/>
  <c r="BD43" i="65"/>
  <c r="BD47" i="65"/>
  <c r="BD51" i="65"/>
  <c r="X42" i="65"/>
  <c r="X46" i="65"/>
  <c r="BD56" i="65"/>
  <c r="X52" i="65"/>
  <c r="X54" i="65"/>
  <c r="X58" i="65"/>
  <c r="BD57" i="65"/>
  <c r="BD61" i="65"/>
  <c r="H22" i="63"/>
  <c r="E2" i="28"/>
  <c r="R26" i="30" l="1"/>
  <c r="R35" i="30"/>
  <c r="R25" i="30"/>
  <c r="R41" i="30"/>
  <c r="R57" i="30"/>
  <c r="R52" i="30"/>
  <c r="F7" i="30"/>
  <c r="R29" i="30"/>
  <c r="R45" i="30"/>
  <c r="R61" i="30"/>
  <c r="R34" i="30"/>
  <c r="R39" i="30"/>
  <c r="R33" i="30"/>
  <c r="R49" i="30"/>
  <c r="R48" i="30"/>
  <c r="F13" i="30"/>
  <c r="F4" i="30"/>
  <c r="F5" i="30"/>
  <c r="F10" i="30"/>
  <c r="L30" i="30"/>
  <c r="M30" i="30" s="1"/>
  <c r="L46" i="30"/>
  <c r="M46" i="30" s="1"/>
  <c r="F2" i="30"/>
  <c r="F6" i="30"/>
  <c r="F9" i="30"/>
  <c r="F12" i="30"/>
  <c r="F3" i="30"/>
  <c r="F8" i="30"/>
  <c r="F11" i="30"/>
  <c r="L49" i="30"/>
  <c r="M49" i="30" s="1"/>
  <c r="L27" i="30"/>
  <c r="M27" i="30" s="1"/>
  <c r="L43" i="30"/>
  <c r="M43" i="30" s="1"/>
  <c r="L59" i="30"/>
  <c r="M59" i="30" s="1"/>
  <c r="L48" i="30"/>
  <c r="M48" i="30" s="1"/>
  <c r="L26" i="30"/>
  <c r="M26" i="30" s="1"/>
  <c r="L58" i="30"/>
  <c r="M58" i="30" s="1"/>
  <c r="L41" i="30"/>
  <c r="M41" i="30" s="1"/>
  <c r="L39" i="30"/>
  <c r="M39" i="30" s="1"/>
  <c r="L55" i="30"/>
  <c r="M55" i="30" s="1"/>
  <c r="L44" i="30"/>
  <c r="M44" i="30" s="1"/>
  <c r="L37" i="30"/>
  <c r="M37" i="30" s="1"/>
  <c r="L22" i="30"/>
  <c r="M22" i="30" s="1"/>
  <c r="L38" i="30"/>
  <c r="M38" i="30" s="1"/>
  <c r="L54" i="30"/>
  <c r="M54" i="30" s="1"/>
  <c r="L28" i="30"/>
  <c r="M28" i="30" s="1"/>
  <c r="L33" i="30"/>
  <c r="M33" i="30" s="1"/>
  <c r="L35" i="30"/>
  <c r="M35" i="30" s="1"/>
  <c r="L51" i="30"/>
  <c r="M51" i="30" s="1"/>
  <c r="L36" i="30"/>
  <c r="M36" i="30" s="1"/>
  <c r="L29" i="30"/>
  <c r="M29" i="30" s="1"/>
  <c r="L61" i="30"/>
  <c r="M61" i="30" s="1"/>
  <c r="L52" i="30"/>
  <c r="M52" i="30" s="1"/>
  <c r="L24" i="30"/>
  <c r="M24" i="30" s="1"/>
  <c r="L45" i="30"/>
  <c r="M45" i="30" s="1"/>
  <c r="L42" i="30"/>
  <c r="M42" i="30" s="1"/>
  <c r="L40" i="30"/>
  <c r="M40" i="30" s="1"/>
  <c r="L23" i="30"/>
  <c r="M23" i="30" s="1"/>
  <c r="L34" i="30"/>
  <c r="M34" i="30" s="1"/>
  <c r="L50" i="30"/>
  <c r="M50" i="30" s="1"/>
  <c r="L60" i="30"/>
  <c r="M60" i="30" s="1"/>
  <c r="L25" i="30"/>
  <c r="M25" i="30" s="1"/>
  <c r="L57" i="30"/>
  <c r="M57" i="30" s="1"/>
  <c r="L31" i="30"/>
  <c r="M31" i="30" s="1"/>
  <c r="L47" i="30"/>
  <c r="M47" i="30" s="1"/>
  <c r="L32" i="30"/>
  <c r="M32" i="30" s="1"/>
  <c r="L56" i="30"/>
  <c r="M56" i="30" s="1"/>
  <c r="L53" i="30"/>
  <c r="M53" i="30" s="1"/>
  <c r="Y38" i="65"/>
  <c r="BE42" i="65"/>
  <c r="BE54" i="65"/>
  <c r="Y24" i="65"/>
  <c r="Y45" i="65"/>
  <c r="BE46" i="65"/>
  <c r="X62" i="65"/>
  <c r="H15" i="65" s="1"/>
  <c r="BE50" i="65"/>
  <c r="Y55" i="65"/>
  <c r="G16" i="65"/>
  <c r="BE24" i="65"/>
  <c r="Y42" i="65"/>
  <c r="BE58" i="65"/>
  <c r="Y50" i="65"/>
  <c r="Y58" i="65"/>
  <c r="BE61" i="65"/>
  <c r="BD62" i="65"/>
  <c r="I15" i="65" s="1"/>
  <c r="BF40" i="65"/>
  <c r="BF39" i="65"/>
  <c r="Z40" i="65"/>
  <c r="Z39" i="65"/>
  <c r="Z38" i="65"/>
  <c r="Z37" i="65"/>
  <c r="Z36" i="65"/>
  <c r="Z35" i="65"/>
  <c r="Z34" i="65"/>
  <c r="Z33" i="65"/>
  <c r="Z32" i="65"/>
  <c r="Z31" i="65"/>
  <c r="BF38" i="65"/>
  <c r="BF37" i="65"/>
  <c r="BF36" i="65"/>
  <c r="BF35" i="65"/>
  <c r="BF34" i="65"/>
  <c r="BF33" i="65"/>
  <c r="BF32" i="65"/>
  <c r="BF31" i="65"/>
  <c r="BF29" i="65"/>
  <c r="Z27" i="65"/>
  <c r="BF25" i="65"/>
  <c r="Z23" i="65"/>
  <c r="BF30" i="65"/>
  <c r="Z30" i="65"/>
  <c r="BF28" i="65"/>
  <c r="Z26" i="65"/>
  <c r="BF24" i="65"/>
  <c r="Z29" i="65"/>
  <c r="BF27" i="65"/>
  <c r="Z25" i="65"/>
  <c r="BF23" i="65"/>
  <c r="BF22" i="65"/>
  <c r="Z21" i="65"/>
  <c r="BF19" i="65"/>
  <c r="Z17" i="65"/>
  <c r="BF15" i="65"/>
  <c r="Z13" i="65"/>
  <c r="BF11" i="65"/>
  <c r="Z9" i="65"/>
  <c r="BF7" i="65"/>
  <c r="Z5" i="65"/>
  <c r="Z20" i="65"/>
  <c r="BF18" i="65"/>
  <c r="Z16" i="65"/>
  <c r="BF14" i="65"/>
  <c r="Z12" i="65"/>
  <c r="BF10" i="65"/>
  <c r="Z8" i="65"/>
  <c r="BF6" i="65"/>
  <c r="Z4" i="65"/>
  <c r="Z28" i="65"/>
  <c r="BF21" i="65"/>
  <c r="Z19" i="65"/>
  <c r="BF17" i="65"/>
  <c r="Z15" i="65"/>
  <c r="BF13" i="65"/>
  <c r="Z11" i="65"/>
  <c r="BF9" i="65"/>
  <c r="Z7" i="65"/>
  <c r="BF5" i="65"/>
  <c r="BF20" i="65"/>
  <c r="Z18" i="65"/>
  <c r="BF4" i="65"/>
  <c r="BF3" i="65"/>
  <c r="Z2" i="65"/>
  <c r="BF26" i="65"/>
  <c r="F17" i="65"/>
  <c r="E18" i="65" s="1"/>
  <c r="BF16" i="65"/>
  <c r="Z14" i="65"/>
  <c r="BF2" i="65"/>
  <c r="Z24" i="65"/>
  <c r="BF8" i="65"/>
  <c r="Z6" i="65"/>
  <c r="BF12" i="65"/>
  <c r="Z10" i="65"/>
  <c r="Z3" i="65"/>
  <c r="Z22" i="65"/>
  <c r="Y46" i="65"/>
  <c r="Y40" i="65"/>
  <c r="Y39" i="65"/>
  <c r="BE39" i="65"/>
  <c r="BE43" i="65"/>
  <c r="BE47" i="65"/>
  <c r="BE51" i="65"/>
  <c r="Y51" i="65"/>
  <c r="BE55" i="65"/>
  <c r="BE60" i="65"/>
  <c r="Y56" i="65"/>
  <c r="Y59" i="65"/>
  <c r="BE38" i="65"/>
  <c r="Y44" i="65"/>
  <c r="Y43" i="65"/>
  <c r="BE40" i="65"/>
  <c r="BE44" i="65"/>
  <c r="BE48" i="65"/>
  <c r="BE52" i="65"/>
  <c r="Y52" i="65"/>
  <c r="BE56" i="65"/>
  <c r="Y53" i="65"/>
  <c r="Y57" i="65"/>
  <c r="Y60" i="65"/>
  <c r="Y41" i="65"/>
  <c r="Y48" i="65"/>
  <c r="Y47" i="65"/>
  <c r="BE41" i="65"/>
  <c r="BE45" i="65"/>
  <c r="BE49" i="65"/>
  <c r="Y49" i="65"/>
  <c r="BE53" i="65"/>
  <c r="BE57" i="65"/>
  <c r="Y54" i="65"/>
  <c r="BE59" i="65"/>
  <c r="Y61" i="65"/>
  <c r="H23" i="63"/>
  <c r="F2" i="28"/>
  <c r="G2" i="28" s="1"/>
  <c r="AQ61" i="28" l="1"/>
  <c r="BE62" i="65"/>
  <c r="I16" i="65" s="1"/>
  <c r="Y62" i="65"/>
  <c r="H16" i="65" s="1"/>
  <c r="Z44" i="65"/>
  <c r="BF48" i="65"/>
  <c r="BF52" i="65"/>
  <c r="G17" i="65"/>
  <c r="Z50" i="65"/>
  <c r="Z41" i="65"/>
  <c r="Z45" i="65"/>
  <c r="Z49" i="65"/>
  <c r="BF41" i="65"/>
  <c r="BF45" i="65"/>
  <c r="Z51" i="65"/>
  <c r="BF49" i="65"/>
  <c r="Z56" i="65"/>
  <c r="BF55" i="65"/>
  <c r="BF59" i="65"/>
  <c r="Z59" i="65"/>
  <c r="AA41" i="65"/>
  <c r="AA40" i="65"/>
  <c r="AA39" i="65"/>
  <c r="BG39" i="65"/>
  <c r="BG40" i="65"/>
  <c r="BG38" i="65"/>
  <c r="BG37" i="65"/>
  <c r="BG36" i="65"/>
  <c r="BG35" i="65"/>
  <c r="BG34" i="65"/>
  <c r="BG33" i="65"/>
  <c r="BG32" i="65"/>
  <c r="BG31" i="65"/>
  <c r="BG41" i="65"/>
  <c r="BG30" i="65"/>
  <c r="AA35" i="65"/>
  <c r="AA31" i="65"/>
  <c r="AA30" i="65"/>
  <c r="BG28" i="65"/>
  <c r="AA26" i="65"/>
  <c r="BG24" i="65"/>
  <c r="AA36" i="65"/>
  <c r="AA32" i="65"/>
  <c r="AA29" i="65"/>
  <c r="BG27" i="65"/>
  <c r="AA25" i="65"/>
  <c r="BG23" i="65"/>
  <c r="AA37" i="65"/>
  <c r="AA33" i="65"/>
  <c r="AA28" i="65"/>
  <c r="BG26" i="65"/>
  <c r="AA24" i="65"/>
  <c r="BG22" i="65"/>
  <c r="AA38" i="65"/>
  <c r="AA20" i="65"/>
  <c r="BG18" i="65"/>
  <c r="AA16" i="65"/>
  <c r="BG14" i="65"/>
  <c r="AA12" i="65"/>
  <c r="BG10" i="65"/>
  <c r="AA8" i="65"/>
  <c r="BG6" i="65"/>
  <c r="BG21" i="65"/>
  <c r="AA19" i="65"/>
  <c r="BG17" i="65"/>
  <c r="AA15" i="65"/>
  <c r="BG13" i="65"/>
  <c r="AA11" i="65"/>
  <c r="BG9" i="65"/>
  <c r="AA7" i="65"/>
  <c r="BG5" i="65"/>
  <c r="BG29" i="65"/>
  <c r="AA27" i="65"/>
  <c r="AA22" i="65"/>
  <c r="BG20" i="65"/>
  <c r="AA18" i="65"/>
  <c r="F18" i="65"/>
  <c r="E19" i="65" s="1"/>
  <c r="BG16" i="65"/>
  <c r="AA14" i="65"/>
  <c r="BG12" i="65"/>
  <c r="AA10" i="65"/>
  <c r="BG8" i="65"/>
  <c r="AA6" i="65"/>
  <c r="BG4" i="65"/>
  <c r="BG19" i="65"/>
  <c r="AA17" i="65"/>
  <c r="BG2" i="65"/>
  <c r="BG25" i="65"/>
  <c r="BG15" i="65"/>
  <c r="AA13" i="65"/>
  <c r="AA3" i="65"/>
  <c r="BG7" i="65"/>
  <c r="AA5" i="65"/>
  <c r="BG3" i="65"/>
  <c r="AA34" i="65"/>
  <c r="BG11" i="65"/>
  <c r="AA9" i="65"/>
  <c r="AA4" i="65"/>
  <c r="AA2" i="65"/>
  <c r="AA23" i="65"/>
  <c r="AA21" i="65"/>
  <c r="Z48" i="65"/>
  <c r="BF44" i="65"/>
  <c r="Z57" i="65"/>
  <c r="BF54" i="65"/>
  <c r="Z58" i="65"/>
  <c r="Z42" i="65"/>
  <c r="Z46" i="65"/>
  <c r="Z52" i="65"/>
  <c r="BF42" i="65"/>
  <c r="BF46" i="65"/>
  <c r="Z54" i="65"/>
  <c r="BF50" i="65"/>
  <c r="Z55" i="65"/>
  <c r="BF56" i="65"/>
  <c r="BF60" i="65"/>
  <c r="Z60" i="65"/>
  <c r="BF58" i="65"/>
  <c r="Z43" i="65"/>
  <c r="Z47" i="65"/>
  <c r="BF43" i="65"/>
  <c r="BF47" i="65"/>
  <c r="Z53" i="65"/>
  <c r="BF51" i="65"/>
  <c r="BF53" i="65"/>
  <c r="BF57" i="65"/>
  <c r="BF61" i="65"/>
  <c r="Z61" i="65"/>
  <c r="H24" i="63"/>
  <c r="K46" i="28"/>
  <c r="K13" i="28"/>
  <c r="K42" i="28"/>
  <c r="K9" i="28"/>
  <c r="K26" i="28"/>
  <c r="AQ5" i="28"/>
  <c r="K2" i="28"/>
  <c r="K24" i="28"/>
  <c r="K23" i="28"/>
  <c r="AQ25" i="28"/>
  <c r="AQ16" i="28"/>
  <c r="K8" i="28"/>
  <c r="K61" i="28"/>
  <c r="AQ3" i="28"/>
  <c r="AQ55" i="28"/>
  <c r="K56" i="28"/>
  <c r="K58" i="28"/>
  <c r="K4" i="28"/>
  <c r="K49" i="28"/>
  <c r="AQ18" i="28"/>
  <c r="AQ22" i="28"/>
  <c r="AQ60" i="28"/>
  <c r="AQ43" i="28"/>
  <c r="K50" i="28"/>
  <c r="K51" i="28"/>
  <c r="K43" i="28"/>
  <c r="K45" i="28"/>
  <c r="AQ50" i="28"/>
  <c r="AQ49" i="28"/>
  <c r="AQ32" i="28"/>
  <c r="AQ11" i="28"/>
  <c r="K52" i="28"/>
  <c r="K44" i="28"/>
  <c r="K16" i="28"/>
  <c r="K10" i="28"/>
  <c r="K18" i="28"/>
  <c r="K25" i="28"/>
  <c r="AQ42" i="28"/>
  <c r="AQ54" i="28"/>
  <c r="AQ29" i="28"/>
  <c r="AQ28" i="28"/>
  <c r="AQ27" i="28"/>
  <c r="K11" i="28"/>
  <c r="K30" i="28"/>
  <c r="K27" i="28"/>
  <c r="K31" i="28"/>
  <c r="K48" i="28"/>
  <c r="E3" i="28"/>
  <c r="F3" i="28" s="1"/>
  <c r="E4" i="28" s="1"/>
  <c r="K29" i="28"/>
  <c r="AQ58" i="28"/>
  <c r="AQ33" i="28"/>
  <c r="AQ30" i="28"/>
  <c r="AQ37" i="28"/>
  <c r="AQ48" i="28"/>
  <c r="AQ59" i="28"/>
  <c r="AQ23" i="28"/>
  <c r="AQ44" i="28"/>
  <c r="AQ12" i="28"/>
  <c r="AQ39" i="28"/>
  <c r="AQ7" i="28"/>
  <c r="K32" i="28"/>
  <c r="K60" i="28"/>
  <c r="K39" i="28"/>
  <c r="K19" i="28"/>
  <c r="K47" i="28"/>
  <c r="K6" i="28"/>
  <c r="K40" i="28"/>
  <c r="K20" i="28"/>
  <c r="K59" i="28"/>
  <c r="K38" i="28"/>
  <c r="K12" i="28"/>
  <c r="K57" i="28"/>
  <c r="K41" i="28"/>
  <c r="K21" i="28"/>
  <c r="K5" i="28"/>
  <c r="AQ34" i="28"/>
  <c r="AQ57" i="28"/>
  <c r="AQ17" i="28"/>
  <c r="AQ46" i="28"/>
  <c r="AQ14" i="28"/>
  <c r="AQ53" i="28"/>
  <c r="AQ21" i="28"/>
  <c r="AQ56" i="28"/>
  <c r="AQ40" i="28"/>
  <c r="AQ24" i="28"/>
  <c r="AQ8" i="28"/>
  <c r="AQ51" i="28"/>
  <c r="AQ35" i="28"/>
  <c r="AQ19" i="28"/>
  <c r="AQ2" i="28"/>
  <c r="K22" i="28"/>
  <c r="K55" i="28"/>
  <c r="K34" i="28"/>
  <c r="K14" i="28"/>
  <c r="K36" i="28"/>
  <c r="K3" i="28"/>
  <c r="K35" i="28"/>
  <c r="K15" i="28"/>
  <c r="K54" i="28"/>
  <c r="K28" i="28"/>
  <c r="K7" i="28"/>
  <c r="K53" i="28"/>
  <c r="K37" i="28"/>
  <c r="K17" i="28"/>
  <c r="AQ26" i="28"/>
  <c r="AQ10" i="28"/>
  <c r="AQ41" i="28"/>
  <c r="AQ9" i="28"/>
  <c r="AQ38" i="28"/>
  <c r="AQ6" i="28"/>
  <c r="AQ45" i="28"/>
  <c r="AQ13" i="28"/>
  <c r="AQ52" i="28"/>
  <c r="AQ36" i="28"/>
  <c r="AQ20" i="28"/>
  <c r="AQ4" i="28"/>
  <c r="AQ47" i="28"/>
  <c r="AQ31" i="28"/>
  <c r="AQ15" i="28"/>
  <c r="K33" i="28"/>
  <c r="AA61" i="65" l="1"/>
  <c r="BG42" i="65"/>
  <c r="AA52" i="65"/>
  <c r="BG56" i="65"/>
  <c r="AA42" i="65"/>
  <c r="BG51" i="65"/>
  <c r="BG59" i="65"/>
  <c r="AA44" i="65"/>
  <c r="AA55" i="65"/>
  <c r="BG45" i="65"/>
  <c r="AA48" i="65"/>
  <c r="Z62" i="65"/>
  <c r="H17" i="65" s="1"/>
  <c r="BF62" i="65"/>
  <c r="I17" i="65" s="1"/>
  <c r="AB42" i="65"/>
  <c r="AB41" i="65"/>
  <c r="AB40" i="65"/>
  <c r="AB39" i="65"/>
  <c r="BH41" i="65"/>
  <c r="BH40" i="65"/>
  <c r="BH39" i="65"/>
  <c r="BH38" i="65"/>
  <c r="BH37" i="65"/>
  <c r="BH36" i="65"/>
  <c r="BH35" i="65"/>
  <c r="BH34" i="65"/>
  <c r="BH33" i="65"/>
  <c r="BH32" i="65"/>
  <c r="BH31" i="65"/>
  <c r="BH30" i="65"/>
  <c r="AB38" i="65"/>
  <c r="AB37" i="65"/>
  <c r="AB36" i="65"/>
  <c r="AB35" i="65"/>
  <c r="AB34" i="65"/>
  <c r="AB33" i="65"/>
  <c r="AB32" i="65"/>
  <c r="AB31" i="65"/>
  <c r="AB29" i="65"/>
  <c r="BH27" i="65"/>
  <c r="AB25" i="65"/>
  <c r="BH23" i="65"/>
  <c r="AB28" i="65"/>
  <c r="BH26" i="65"/>
  <c r="AB24" i="65"/>
  <c r="BH22" i="65"/>
  <c r="BH29" i="65"/>
  <c r="AB27" i="65"/>
  <c r="BH25" i="65"/>
  <c r="AB23" i="65"/>
  <c r="BH21" i="65"/>
  <c r="AB19" i="65"/>
  <c r="BH17" i="65"/>
  <c r="AB15" i="65"/>
  <c r="BH13" i="65"/>
  <c r="AB11" i="65"/>
  <c r="BH9" i="65"/>
  <c r="AB7" i="65"/>
  <c r="BH5" i="65"/>
  <c r="AB30" i="65"/>
  <c r="AB22" i="65"/>
  <c r="BH20" i="65"/>
  <c r="F19" i="65"/>
  <c r="E20" i="65" s="1"/>
  <c r="AB18" i="65"/>
  <c r="BH16" i="65"/>
  <c r="AB14" i="65"/>
  <c r="BH12" i="65"/>
  <c r="AB10" i="65"/>
  <c r="BH8" i="65"/>
  <c r="AB6" i="65"/>
  <c r="BH4" i="65"/>
  <c r="BH28" i="65"/>
  <c r="AB26" i="65"/>
  <c r="AB21" i="65"/>
  <c r="BH19" i="65"/>
  <c r="AB17" i="65"/>
  <c r="BH15" i="65"/>
  <c r="AB13" i="65"/>
  <c r="BH11" i="65"/>
  <c r="AB9" i="65"/>
  <c r="BH7" i="65"/>
  <c r="AB5" i="65"/>
  <c r="BH18" i="65"/>
  <c r="AB16" i="65"/>
  <c r="AB3" i="65"/>
  <c r="BH24" i="65"/>
  <c r="BH14" i="65"/>
  <c r="AB12" i="65"/>
  <c r="AB4" i="65"/>
  <c r="AB2" i="65"/>
  <c r="AB20" i="65"/>
  <c r="BH6" i="65"/>
  <c r="BH2" i="65"/>
  <c r="BH10" i="65"/>
  <c r="AB8" i="65"/>
  <c r="BH3" i="65"/>
  <c r="BG46" i="65"/>
  <c r="BG43" i="65"/>
  <c r="AA45" i="65"/>
  <c r="AA49" i="65"/>
  <c r="AA59" i="65"/>
  <c r="BG52" i="65"/>
  <c r="AA56" i="65"/>
  <c r="BG53" i="65"/>
  <c r="AA60" i="65"/>
  <c r="BG60" i="65"/>
  <c r="BG44" i="65"/>
  <c r="BG47" i="65"/>
  <c r="AA46" i="65"/>
  <c r="AA50" i="65"/>
  <c r="BG49" i="65"/>
  <c r="AA53" i="65"/>
  <c r="AA57" i="65"/>
  <c r="BG54" i="65"/>
  <c r="BG57" i="65"/>
  <c r="BG61" i="65"/>
  <c r="G18" i="65"/>
  <c r="BG48" i="65"/>
  <c r="AA43" i="65"/>
  <c r="AA47" i="65"/>
  <c r="AA51" i="65"/>
  <c r="BG50" i="65"/>
  <c r="AA54" i="65"/>
  <c r="AA58" i="65"/>
  <c r="BG55" i="65"/>
  <c r="BG58" i="65"/>
  <c r="H25" i="63"/>
  <c r="AR2" i="28"/>
  <c r="AQ62" i="28"/>
  <c r="I2" i="28" s="1"/>
  <c r="L2" i="28"/>
  <c r="K62" i="28"/>
  <c r="H2" i="28" s="1"/>
  <c r="AR5" i="28"/>
  <c r="L5" i="28"/>
  <c r="AR4" i="28"/>
  <c r="L3" i="28"/>
  <c r="AR3" i="28"/>
  <c r="G3" i="28"/>
  <c r="M2" i="28"/>
  <c r="AR61" i="28"/>
  <c r="AR47" i="28"/>
  <c r="AR46" i="28"/>
  <c r="AR53" i="28"/>
  <c r="AR49" i="28"/>
  <c r="AR20" i="28"/>
  <c r="AR27" i="28"/>
  <c r="AR18" i="28"/>
  <c r="AR14" i="28"/>
  <c r="AR9" i="28"/>
  <c r="AR15" i="28"/>
  <c r="AR32" i="28"/>
  <c r="AR58" i="28"/>
  <c r="AR52" i="28"/>
  <c r="AR59" i="28"/>
  <c r="AR29" i="28"/>
  <c r="AR50" i="28"/>
  <c r="AR41" i="28"/>
  <c r="AR48" i="28"/>
  <c r="AR16" i="28"/>
  <c r="AR43" i="28"/>
  <c r="AR11" i="28"/>
  <c r="AR30" i="28"/>
  <c r="AR21" i="28"/>
  <c r="AR26" i="28"/>
  <c r="AR17" i="28"/>
  <c r="AR36" i="28"/>
  <c r="AR31" i="28"/>
  <c r="AR54" i="28"/>
  <c r="AR13" i="28"/>
  <c r="AR10" i="28"/>
  <c r="AR12" i="28"/>
  <c r="AS4" i="28"/>
  <c r="AS3" i="28"/>
  <c r="AS2" i="28"/>
  <c r="AR38" i="28"/>
  <c r="AR45" i="28"/>
  <c r="AR42" i="28"/>
  <c r="AR33" i="28"/>
  <c r="AR60" i="28"/>
  <c r="AR44" i="28"/>
  <c r="AR28" i="28"/>
  <c r="AR55" i="28"/>
  <c r="AR39" i="28"/>
  <c r="AR23" i="28"/>
  <c r="AR7" i="28"/>
  <c r="AR6" i="28"/>
  <c r="AR22" i="28"/>
  <c r="AR37" i="28"/>
  <c r="AR34" i="28"/>
  <c r="AR57" i="28"/>
  <c r="AR25" i="28"/>
  <c r="AR56" i="28"/>
  <c r="AR40" i="28"/>
  <c r="AR24" i="28"/>
  <c r="AR8" i="28"/>
  <c r="AR51" i="28"/>
  <c r="AR35" i="28"/>
  <c r="AR19" i="28"/>
  <c r="L6" i="28"/>
  <c r="L59" i="28"/>
  <c r="L25" i="28"/>
  <c r="L11" i="28"/>
  <c r="L50" i="28"/>
  <c r="L30" i="28"/>
  <c r="L49" i="28"/>
  <c r="L51" i="28"/>
  <c r="L9" i="28"/>
  <c r="L42" i="28"/>
  <c r="L7" i="28"/>
  <c r="L22" i="28"/>
  <c r="L38" i="28"/>
  <c r="L41" i="28"/>
  <c r="L31" i="28"/>
  <c r="L48" i="28"/>
  <c r="L54" i="28"/>
  <c r="L53" i="28"/>
  <c r="L26" i="28"/>
  <c r="L34" i="28"/>
  <c r="L32" i="28"/>
  <c r="L17" i="28"/>
  <c r="L46" i="28"/>
  <c r="L19" i="28"/>
  <c r="L33" i="28"/>
  <c r="L47" i="28"/>
  <c r="L10" i="28"/>
  <c r="L29" i="28"/>
  <c r="L16" i="28"/>
  <c r="L45" i="28"/>
  <c r="L23" i="28"/>
  <c r="L60" i="28"/>
  <c r="L44" i="28"/>
  <c r="L28" i="28"/>
  <c r="L12" i="28"/>
  <c r="L21" i="28"/>
  <c r="L61" i="28"/>
  <c r="L39" i="28"/>
  <c r="L18" i="28"/>
  <c r="L56" i="28"/>
  <c r="L40" i="28"/>
  <c r="L24" i="28"/>
  <c r="L8" i="28"/>
  <c r="F4" i="28"/>
  <c r="E5" i="28" s="1"/>
  <c r="M3" i="28"/>
  <c r="M4" i="28"/>
  <c r="L27" i="28"/>
  <c r="L57" i="28"/>
  <c r="L35" i="28"/>
  <c r="L14" i="28"/>
  <c r="L43" i="28"/>
  <c r="L58" i="28"/>
  <c r="L37" i="28"/>
  <c r="L15" i="28"/>
  <c r="L55" i="28"/>
  <c r="L13" i="28"/>
  <c r="L52" i="28"/>
  <c r="L36" i="28"/>
  <c r="L20" i="28"/>
  <c r="L4" i="28"/>
  <c r="BH48" i="65" l="1"/>
  <c r="BH56" i="65"/>
  <c r="AB43" i="65"/>
  <c r="AB55" i="65"/>
  <c r="BG62" i="65"/>
  <c r="I18" i="65" s="1"/>
  <c r="BH42" i="65"/>
  <c r="AB47" i="65"/>
  <c r="AB59" i="65"/>
  <c r="BH44" i="65"/>
  <c r="AB49" i="65"/>
  <c r="BH58" i="65"/>
  <c r="AA62" i="65"/>
  <c r="H18" i="65" s="1"/>
  <c r="BH45" i="65"/>
  <c r="BH49" i="65"/>
  <c r="AB44" i="65"/>
  <c r="AB48" i="65"/>
  <c r="AB50" i="65"/>
  <c r="BH55" i="65"/>
  <c r="AB56" i="65"/>
  <c r="AB60" i="65"/>
  <c r="BH59" i="65"/>
  <c r="G19" i="65"/>
  <c r="BH50" i="65"/>
  <c r="BH46" i="65"/>
  <c r="BH54" i="65"/>
  <c r="AB45" i="65"/>
  <c r="BH51" i="65"/>
  <c r="AB51" i="65"/>
  <c r="AB53" i="65"/>
  <c r="AB57" i="65"/>
  <c r="AB61" i="65"/>
  <c r="BH60" i="65"/>
  <c r="BI42" i="65"/>
  <c r="BI41" i="65"/>
  <c r="BI40" i="65"/>
  <c r="BI39" i="65"/>
  <c r="AC40" i="65"/>
  <c r="BI30" i="65"/>
  <c r="AC41" i="65"/>
  <c r="AC38" i="65"/>
  <c r="AC37" i="65"/>
  <c r="AC36" i="65"/>
  <c r="AC35" i="65"/>
  <c r="AC34" i="65"/>
  <c r="AC33" i="65"/>
  <c r="AC32" i="65"/>
  <c r="AC31" i="65"/>
  <c r="AC42" i="65"/>
  <c r="AC39" i="65"/>
  <c r="BI35" i="65"/>
  <c r="BI31" i="65"/>
  <c r="AC28" i="65"/>
  <c r="BI26" i="65"/>
  <c r="AC24" i="65"/>
  <c r="BI22" i="65"/>
  <c r="AC43" i="65"/>
  <c r="BI36" i="65"/>
  <c r="BI32" i="65"/>
  <c r="BI29" i="65"/>
  <c r="AC27" i="65"/>
  <c r="BI25" i="65"/>
  <c r="AC23" i="65"/>
  <c r="BI37" i="65"/>
  <c r="BI33" i="65"/>
  <c r="AC30" i="65"/>
  <c r="BI28" i="65"/>
  <c r="AC26" i="65"/>
  <c r="BI24" i="65"/>
  <c r="AC22" i="65"/>
  <c r="BI20" i="65"/>
  <c r="F20" i="65"/>
  <c r="E21" i="65" s="1"/>
  <c r="AC18" i="65"/>
  <c r="BI16" i="65"/>
  <c r="AC14" i="65"/>
  <c r="BI12" i="65"/>
  <c r="AC10" i="65"/>
  <c r="BI8" i="65"/>
  <c r="AC6" i="65"/>
  <c r="BI4" i="65"/>
  <c r="BI34" i="65"/>
  <c r="AC29" i="65"/>
  <c r="AC21" i="65"/>
  <c r="BI19" i="65"/>
  <c r="AC17" i="65"/>
  <c r="BI15" i="65"/>
  <c r="AC13" i="65"/>
  <c r="BI11" i="65"/>
  <c r="AC9" i="65"/>
  <c r="BI7" i="65"/>
  <c r="AC5" i="65"/>
  <c r="BI38" i="65"/>
  <c r="BI27" i="65"/>
  <c r="AC25" i="65"/>
  <c r="AC20" i="65"/>
  <c r="BI18" i="65"/>
  <c r="AC16" i="65"/>
  <c r="BI14" i="65"/>
  <c r="AC12" i="65"/>
  <c r="BI10" i="65"/>
  <c r="AC8" i="65"/>
  <c r="BI6" i="65"/>
  <c r="AC4" i="65"/>
  <c r="G20" i="65"/>
  <c r="BI17" i="65"/>
  <c r="AC15" i="65"/>
  <c r="AC2" i="65"/>
  <c r="BI23" i="65"/>
  <c r="BI13" i="65"/>
  <c r="AC11" i="65"/>
  <c r="BI3" i="65"/>
  <c r="AC19" i="65"/>
  <c r="BI5" i="65"/>
  <c r="BI9" i="65"/>
  <c r="AC7" i="65"/>
  <c r="BI2" i="65"/>
  <c r="BI21" i="65"/>
  <c r="AC3" i="65"/>
  <c r="BH43" i="65"/>
  <c r="BH47" i="65"/>
  <c r="BH52" i="65"/>
  <c r="AB46" i="65"/>
  <c r="BH53" i="65"/>
  <c r="AB52" i="65"/>
  <c r="AB54" i="65"/>
  <c r="AB58" i="65"/>
  <c r="BH57" i="65"/>
  <c r="BH61" i="65"/>
  <c r="H26" i="63"/>
  <c r="M7" i="28"/>
  <c r="M6" i="28"/>
  <c r="AS7" i="28"/>
  <c r="AS5" i="28"/>
  <c r="M5" i="28"/>
  <c r="AS6" i="28"/>
  <c r="G4" i="28"/>
  <c r="N2" i="28"/>
  <c r="L62" i="28"/>
  <c r="H3" i="28" s="1"/>
  <c r="AR62" i="28"/>
  <c r="I3" i="28" s="1"/>
  <c r="AS56" i="28"/>
  <c r="AS46" i="28"/>
  <c r="AS55" i="28"/>
  <c r="AS39" i="28"/>
  <c r="AS30" i="28"/>
  <c r="AS15" i="28"/>
  <c r="AS8" i="28"/>
  <c r="AS60" i="28"/>
  <c r="AS58" i="28"/>
  <c r="AS61" i="28"/>
  <c r="AS45" i="28"/>
  <c r="AS28" i="28"/>
  <c r="AS13" i="28"/>
  <c r="AS14" i="28"/>
  <c r="AS52" i="28"/>
  <c r="AS40" i="28"/>
  <c r="AS54" i="28"/>
  <c r="AS38" i="28"/>
  <c r="AS59" i="28"/>
  <c r="AS51" i="28"/>
  <c r="AS43" i="28"/>
  <c r="AS34" i="28"/>
  <c r="AS26" i="28"/>
  <c r="AS19" i="28"/>
  <c r="AS11" i="28"/>
  <c r="AS20" i="28"/>
  <c r="AS12" i="28"/>
  <c r="AT4" i="28"/>
  <c r="AT6" i="28"/>
  <c r="AT5" i="28"/>
  <c r="AT3" i="28"/>
  <c r="AT2" i="28"/>
  <c r="AS36" i="28"/>
  <c r="AS23" i="28"/>
  <c r="AS27" i="28"/>
  <c r="AS47" i="28"/>
  <c r="AS29" i="28"/>
  <c r="AS22" i="28"/>
  <c r="AS16" i="28"/>
  <c r="M41" i="28"/>
  <c r="AS48" i="28"/>
  <c r="AS42" i="28"/>
  <c r="AS53" i="28"/>
  <c r="AS37" i="28"/>
  <c r="AS25" i="28"/>
  <c r="AS21" i="28"/>
  <c r="M10" i="28"/>
  <c r="M53" i="28"/>
  <c r="AS44" i="28"/>
  <c r="AS31" i="28"/>
  <c r="AS50" i="28"/>
  <c r="AS35" i="28"/>
  <c r="AS57" i="28"/>
  <c r="AS49" i="28"/>
  <c r="AS41" i="28"/>
  <c r="AS33" i="28"/>
  <c r="AS32" i="28"/>
  <c r="AS24" i="28"/>
  <c r="AS17" i="28"/>
  <c r="AS9" i="28"/>
  <c r="AS18" i="28"/>
  <c r="AS10" i="28"/>
  <c r="M54" i="28"/>
  <c r="M29" i="28"/>
  <c r="M33" i="28"/>
  <c r="M40" i="28"/>
  <c r="M39" i="28"/>
  <c r="M24" i="28"/>
  <c r="M34" i="28"/>
  <c r="M19" i="28"/>
  <c r="M50" i="28"/>
  <c r="M18" i="28"/>
  <c r="M44" i="28"/>
  <c r="M59" i="28"/>
  <c r="M30" i="28"/>
  <c r="M8" i="28"/>
  <c r="M22" i="28"/>
  <c r="M25" i="28"/>
  <c r="M57" i="28"/>
  <c r="M56" i="28"/>
  <c r="M36" i="28"/>
  <c r="M17" i="28"/>
  <c r="M55" i="28"/>
  <c r="M27" i="28"/>
  <c r="M58" i="28"/>
  <c r="M61" i="28"/>
  <c r="M11" i="28"/>
  <c r="M20" i="28"/>
  <c r="M37" i="28"/>
  <c r="M60" i="28"/>
  <c r="M52" i="28"/>
  <c r="M28" i="28"/>
  <c r="M13" i="28"/>
  <c r="M43" i="28"/>
  <c r="M23" i="28"/>
  <c r="M35" i="28"/>
  <c r="N4" i="28"/>
  <c r="N5" i="28"/>
  <c r="N6" i="28"/>
  <c r="N3" i="28"/>
  <c r="F5" i="28"/>
  <c r="E6" i="28" s="1"/>
  <c r="M9" i="28"/>
  <c r="M51" i="28"/>
  <c r="M42" i="28"/>
  <c r="M26" i="28"/>
  <c r="M16" i="28"/>
  <c r="M14" i="28"/>
  <c r="M46" i="28"/>
  <c r="M15" i="28"/>
  <c r="M49" i="28"/>
  <c r="M12" i="28"/>
  <c r="M45" i="28"/>
  <c r="M48" i="28"/>
  <c r="M32" i="28"/>
  <c r="M21" i="28"/>
  <c r="M47" i="28"/>
  <c r="M31" i="28"/>
  <c r="M38" i="28"/>
  <c r="C56" i="16"/>
  <c r="C62" i="16"/>
  <c r="C61" i="16"/>
  <c r="C60" i="16"/>
  <c r="C59" i="16"/>
  <c r="C58" i="16"/>
  <c r="C57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5" i="16"/>
  <c r="C14" i="16"/>
  <c r="C19" i="16"/>
  <c r="C18" i="16"/>
  <c r="C17" i="16"/>
  <c r="C16" i="16"/>
  <c r="C13" i="16"/>
  <c r="C12" i="16"/>
  <c r="C11" i="16"/>
  <c r="C10" i="16"/>
  <c r="C9" i="16"/>
  <c r="C8" i="16"/>
  <c r="C7" i="16"/>
  <c r="C6" i="16"/>
  <c r="C5" i="16"/>
  <c r="C4" i="16"/>
  <c r="C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3" i="16"/>
  <c r="AE59" i="16" l="1"/>
  <c r="AF59" i="16"/>
  <c r="AE51" i="16"/>
  <c r="AF51" i="16"/>
  <c r="AE43" i="16"/>
  <c r="AF43" i="16"/>
  <c r="V55" i="16"/>
  <c r="AF35" i="16"/>
  <c r="AE35" i="16"/>
  <c r="V47" i="16"/>
  <c r="AE27" i="16"/>
  <c r="AF27" i="16"/>
  <c r="V39" i="16"/>
  <c r="AF19" i="16"/>
  <c r="AE19" i="16"/>
  <c r="V31" i="16"/>
  <c r="AE62" i="16"/>
  <c r="AF62" i="16"/>
  <c r="AE54" i="16"/>
  <c r="AF54" i="16"/>
  <c r="AE46" i="16"/>
  <c r="AF46" i="16"/>
  <c r="V58" i="16"/>
  <c r="AF34" i="16"/>
  <c r="AE34" i="16"/>
  <c r="V46" i="16"/>
  <c r="AE26" i="16"/>
  <c r="AF26" i="16"/>
  <c r="V38" i="16"/>
  <c r="AF18" i="16"/>
  <c r="AE18" i="16"/>
  <c r="V30" i="16"/>
  <c r="AF16" i="16"/>
  <c r="AE16" i="16"/>
  <c r="V28" i="16"/>
  <c r="AE60" i="16"/>
  <c r="AF60" i="16"/>
  <c r="AE56" i="16"/>
  <c r="AF56" i="16"/>
  <c r="AE52" i="16"/>
  <c r="AF52" i="16"/>
  <c r="AE48" i="16"/>
  <c r="AF48" i="16"/>
  <c r="V60" i="16"/>
  <c r="AE44" i="16"/>
  <c r="AF44" i="16"/>
  <c r="V56" i="16"/>
  <c r="AE40" i="16"/>
  <c r="AF40" i="16"/>
  <c r="V52" i="16"/>
  <c r="AF36" i="16"/>
  <c r="AE36" i="16"/>
  <c r="V48" i="16"/>
  <c r="AE32" i="16"/>
  <c r="AF32" i="16"/>
  <c r="V44" i="16"/>
  <c r="AE28" i="16"/>
  <c r="AF28" i="16"/>
  <c r="V40" i="16"/>
  <c r="AF24" i="16"/>
  <c r="AE24" i="16"/>
  <c r="V36" i="16"/>
  <c r="AF20" i="16"/>
  <c r="AE20" i="16"/>
  <c r="V32" i="16"/>
  <c r="AE42" i="16"/>
  <c r="AF42" i="16"/>
  <c r="V54" i="16"/>
  <c r="AE22" i="16"/>
  <c r="AF22" i="16"/>
  <c r="V34" i="16"/>
  <c r="AE55" i="16"/>
  <c r="AF55" i="16"/>
  <c r="AE47" i="16"/>
  <c r="AF47" i="16"/>
  <c r="V59" i="16"/>
  <c r="AE39" i="16"/>
  <c r="AF39" i="16"/>
  <c r="V51" i="16"/>
  <c r="AE31" i="16"/>
  <c r="AF31" i="16"/>
  <c r="V43" i="16"/>
  <c r="AE23" i="16"/>
  <c r="AF23" i="16"/>
  <c r="V35" i="16"/>
  <c r="AF58" i="16"/>
  <c r="AE58" i="16"/>
  <c r="AE50" i="16"/>
  <c r="AF50" i="16"/>
  <c r="V62" i="16"/>
  <c r="AE38" i="16"/>
  <c r="AF38" i="16"/>
  <c r="V50" i="16"/>
  <c r="AE30" i="16"/>
  <c r="AF30" i="16"/>
  <c r="V42" i="16"/>
  <c r="AF61" i="16"/>
  <c r="AE61" i="16"/>
  <c r="AF57" i="16"/>
  <c r="AE57" i="16"/>
  <c r="AF53" i="16"/>
  <c r="AE53" i="16"/>
  <c r="AF49" i="16"/>
  <c r="AE49" i="16"/>
  <c r="V61" i="16"/>
  <c r="AF45" i="16"/>
  <c r="AE45" i="16"/>
  <c r="V57" i="16"/>
  <c r="AF41" i="16"/>
  <c r="AE41" i="16"/>
  <c r="V53" i="16"/>
  <c r="AE37" i="16"/>
  <c r="AF37" i="16"/>
  <c r="V49" i="16"/>
  <c r="AE33" i="16"/>
  <c r="AF33" i="16"/>
  <c r="V45" i="16"/>
  <c r="AE29" i="16"/>
  <c r="AF29" i="16"/>
  <c r="V41" i="16"/>
  <c r="AE25" i="16"/>
  <c r="AF25" i="16"/>
  <c r="V37" i="16"/>
  <c r="AE21" i="16"/>
  <c r="AF21" i="16"/>
  <c r="V33" i="16"/>
  <c r="AF17" i="16"/>
  <c r="AE17" i="16"/>
  <c r="V29" i="16"/>
  <c r="AC44" i="65"/>
  <c r="BI56" i="65"/>
  <c r="BI44" i="65"/>
  <c r="AC53" i="65"/>
  <c r="BI48" i="65"/>
  <c r="AC57" i="65"/>
  <c r="BI52" i="65"/>
  <c r="AC60" i="65"/>
  <c r="BI43" i="65"/>
  <c r="AC52" i="65"/>
  <c r="AB62" i="65"/>
  <c r="H19" i="65" s="1"/>
  <c r="BH62" i="65"/>
  <c r="I19" i="65" s="1"/>
  <c r="AC45" i="65"/>
  <c r="AC48" i="65"/>
  <c r="BI45" i="65"/>
  <c r="BI49" i="65"/>
  <c r="AC49" i="65"/>
  <c r="BI53" i="65"/>
  <c r="BI58" i="65"/>
  <c r="AC54" i="65"/>
  <c r="BI60" i="65"/>
  <c r="AC61" i="65"/>
  <c r="BJ43" i="65"/>
  <c r="BJ42" i="65"/>
  <c r="BJ41" i="65"/>
  <c r="BJ40" i="65"/>
  <c r="BJ39" i="65"/>
  <c r="AD42" i="65"/>
  <c r="AD41" i="65"/>
  <c r="AD40" i="65"/>
  <c r="AD39" i="65"/>
  <c r="AD38" i="65"/>
  <c r="AD37" i="65"/>
  <c r="AD36" i="65"/>
  <c r="AD35" i="65"/>
  <c r="AD34" i="65"/>
  <c r="AD33" i="65"/>
  <c r="AD32" i="65"/>
  <c r="AD31" i="65"/>
  <c r="BJ38" i="65"/>
  <c r="BJ37" i="65"/>
  <c r="BJ36" i="65"/>
  <c r="BJ35" i="65"/>
  <c r="BJ34" i="65"/>
  <c r="BJ33" i="65"/>
  <c r="BJ32" i="65"/>
  <c r="BJ31" i="65"/>
  <c r="BJ30" i="65"/>
  <c r="BJ29" i="65"/>
  <c r="AD27" i="65"/>
  <c r="BJ25" i="65"/>
  <c r="AD23" i="65"/>
  <c r="AD30" i="65"/>
  <c r="BJ28" i="65"/>
  <c r="AD26" i="65"/>
  <c r="BJ24" i="65"/>
  <c r="AD29" i="65"/>
  <c r="BJ27" i="65"/>
  <c r="AD25" i="65"/>
  <c r="BJ23" i="65"/>
  <c r="AD21" i="65"/>
  <c r="BJ19" i="65"/>
  <c r="AD17" i="65"/>
  <c r="BJ15" i="65"/>
  <c r="AD13" i="65"/>
  <c r="BJ11" i="65"/>
  <c r="AD9" i="65"/>
  <c r="BJ7" i="65"/>
  <c r="AD5" i="65"/>
  <c r="AD28" i="65"/>
  <c r="AD20" i="65"/>
  <c r="BJ18" i="65"/>
  <c r="AD16" i="65"/>
  <c r="BJ14" i="65"/>
  <c r="AD12" i="65"/>
  <c r="BJ10" i="65"/>
  <c r="AD8" i="65"/>
  <c r="BJ6" i="65"/>
  <c r="AD4" i="65"/>
  <c r="BJ26" i="65"/>
  <c r="AD24" i="65"/>
  <c r="BJ21" i="65"/>
  <c r="AD19" i="65"/>
  <c r="BJ17" i="65"/>
  <c r="AD15" i="65"/>
  <c r="BJ13" i="65"/>
  <c r="AD11" i="65"/>
  <c r="BJ9" i="65"/>
  <c r="AD7" i="65"/>
  <c r="BJ5" i="65"/>
  <c r="F21" i="65"/>
  <c r="E22" i="65" s="1"/>
  <c r="BJ16" i="65"/>
  <c r="AD14" i="65"/>
  <c r="BJ3" i="65"/>
  <c r="BJ22" i="65"/>
  <c r="BJ12" i="65"/>
  <c r="AD10" i="65"/>
  <c r="BJ2" i="65"/>
  <c r="BJ20" i="65"/>
  <c r="AD18" i="65"/>
  <c r="BJ4" i="65"/>
  <c r="AD22" i="65"/>
  <c r="BJ8" i="65"/>
  <c r="AD6" i="65"/>
  <c r="AD3" i="65"/>
  <c r="AD2" i="65"/>
  <c r="BI59" i="65"/>
  <c r="BI46" i="65"/>
  <c r="BI50" i="65"/>
  <c r="AC50" i="65"/>
  <c r="BI54" i="65"/>
  <c r="BI57" i="65"/>
  <c r="AC55" i="65"/>
  <c r="AC58" i="65"/>
  <c r="AC47" i="65"/>
  <c r="AC46" i="65"/>
  <c r="BI47" i="65"/>
  <c r="BI51" i="65"/>
  <c r="AC51" i="65"/>
  <c r="BI55" i="65"/>
  <c r="BI61" i="65"/>
  <c r="AC56" i="65"/>
  <c r="AC59" i="65"/>
  <c r="H27" i="63"/>
  <c r="U62" i="16"/>
  <c r="U61" i="16"/>
  <c r="U60" i="16"/>
  <c r="U56" i="16"/>
  <c r="U54" i="16"/>
  <c r="S28" i="16"/>
  <c r="U58" i="16"/>
  <c r="U57" i="16"/>
  <c r="U59" i="16"/>
  <c r="U55" i="16"/>
  <c r="R62" i="16"/>
  <c r="R58" i="16"/>
  <c r="R54" i="16"/>
  <c r="R50" i="16"/>
  <c r="R46" i="16"/>
  <c r="R42" i="16"/>
  <c r="R38" i="16"/>
  <c r="R34" i="16"/>
  <c r="R30" i="16"/>
  <c r="R26" i="16"/>
  <c r="R22" i="16"/>
  <c r="R18" i="16"/>
  <c r="R14" i="16"/>
  <c r="R61" i="16"/>
  <c r="R57" i="16"/>
  <c r="R53" i="16"/>
  <c r="R49" i="16"/>
  <c r="R45" i="16"/>
  <c r="R41" i="16"/>
  <c r="R37" i="16"/>
  <c r="R33" i="16"/>
  <c r="R29" i="16"/>
  <c r="R25" i="16"/>
  <c r="R21" i="16"/>
  <c r="R17" i="16"/>
  <c r="R13" i="16"/>
  <c r="R60" i="16"/>
  <c r="R56" i="16"/>
  <c r="R52" i="16"/>
  <c r="R48" i="16"/>
  <c r="R44" i="16"/>
  <c r="R40" i="16"/>
  <c r="R36" i="16"/>
  <c r="R32" i="16"/>
  <c r="R28" i="16"/>
  <c r="R24" i="16"/>
  <c r="R20" i="16"/>
  <c r="R16" i="16"/>
  <c r="R12" i="16"/>
  <c r="R59" i="16"/>
  <c r="R55" i="16"/>
  <c r="R51" i="16"/>
  <c r="R47" i="16"/>
  <c r="R43" i="16"/>
  <c r="R39" i="16"/>
  <c r="R35" i="16"/>
  <c r="R31" i="16"/>
  <c r="R27" i="16"/>
  <c r="R23" i="16"/>
  <c r="R19" i="16"/>
  <c r="R15" i="16"/>
  <c r="R11" i="16"/>
  <c r="S56" i="16"/>
  <c r="S52" i="16"/>
  <c r="S44" i="16"/>
  <c r="S36" i="16"/>
  <c r="S55" i="16"/>
  <c r="S47" i="16"/>
  <c r="S39" i="16"/>
  <c r="S31" i="16"/>
  <c r="S62" i="16"/>
  <c r="S58" i="16"/>
  <c r="S54" i="16"/>
  <c r="S50" i="16"/>
  <c r="S46" i="16"/>
  <c r="S42" i="16"/>
  <c r="S38" i="16"/>
  <c r="S34" i="16"/>
  <c r="S30" i="16"/>
  <c r="S60" i="16"/>
  <c r="S48" i="16"/>
  <c r="S40" i="16"/>
  <c r="S32" i="16"/>
  <c r="S59" i="16"/>
  <c r="S51" i="16"/>
  <c r="S43" i="16"/>
  <c r="S35" i="16"/>
  <c r="S61" i="16"/>
  <c r="S57" i="16"/>
  <c r="S53" i="16"/>
  <c r="S49" i="16"/>
  <c r="S45" i="16"/>
  <c r="S41" i="16"/>
  <c r="S37" i="16"/>
  <c r="S33" i="16"/>
  <c r="S29" i="16"/>
  <c r="O22" i="16"/>
  <c r="O62" i="16"/>
  <c r="O50" i="16"/>
  <c r="O46" i="16"/>
  <c r="O34" i="16"/>
  <c r="O30" i="16"/>
  <c r="O57" i="16"/>
  <c r="O49" i="16"/>
  <c r="O45" i="16"/>
  <c r="O37" i="16"/>
  <c r="O29" i="16"/>
  <c r="O60" i="16"/>
  <c r="O56" i="16"/>
  <c r="O52" i="16"/>
  <c r="O48" i="16"/>
  <c r="O44" i="16"/>
  <c r="O40" i="16"/>
  <c r="O36" i="16"/>
  <c r="O32" i="16"/>
  <c r="O28" i="16"/>
  <c r="O24" i="16"/>
  <c r="O58" i="16"/>
  <c r="O54" i="16"/>
  <c r="O42" i="16"/>
  <c r="O38" i="16"/>
  <c r="O26" i="16"/>
  <c r="O61" i="16"/>
  <c r="O53" i="16"/>
  <c r="O41" i="16"/>
  <c r="O33" i="16"/>
  <c r="O25" i="16"/>
  <c r="O59" i="16"/>
  <c r="O55" i="16"/>
  <c r="O51" i="16"/>
  <c r="O47" i="16"/>
  <c r="O43" i="16"/>
  <c r="O39" i="16"/>
  <c r="O35" i="16"/>
  <c r="O31" i="16"/>
  <c r="O27" i="16"/>
  <c r="O23" i="16"/>
  <c r="M27" i="16"/>
  <c r="BX54" i="16"/>
  <c r="BX46" i="16"/>
  <c r="CE56" i="16"/>
  <c r="CD56" i="16"/>
  <c r="CK54" i="16"/>
  <c r="BX34" i="16"/>
  <c r="CL54" i="16"/>
  <c r="CE44" i="16"/>
  <c r="CD44" i="16"/>
  <c r="CK42" i="16"/>
  <c r="BX22" i="16"/>
  <c r="CL42" i="16"/>
  <c r="CE32" i="16"/>
  <c r="CD32" i="16"/>
  <c r="BX57" i="16"/>
  <c r="CE59" i="16"/>
  <c r="CD59" i="16"/>
  <c r="BX49" i="16"/>
  <c r="CE55" i="16"/>
  <c r="CD55" i="16"/>
  <c r="BX45" i="16"/>
  <c r="CE47" i="16"/>
  <c r="CL57" i="16"/>
  <c r="CD47" i="16"/>
  <c r="BX37" i="16"/>
  <c r="CK57" i="16"/>
  <c r="CE35" i="16"/>
  <c r="CL45" i="16"/>
  <c r="BX25" i="16"/>
  <c r="CK45" i="16"/>
  <c r="CD35" i="16"/>
  <c r="CE27" i="16"/>
  <c r="CL37" i="16"/>
  <c r="CK37" i="16"/>
  <c r="CD27" i="16"/>
  <c r="BX17" i="16"/>
  <c r="CK32" i="16"/>
  <c r="CD22" i="16"/>
  <c r="BX12" i="16"/>
  <c r="CL32" i="16"/>
  <c r="BW12" i="16"/>
  <c r="CE22" i="16"/>
  <c r="CF22" i="16" s="1"/>
  <c r="BW60" i="16"/>
  <c r="BX60" i="16"/>
  <c r="BX56" i="16"/>
  <c r="CD62" i="16"/>
  <c r="CE62" i="16"/>
  <c r="BX52" i="16"/>
  <c r="CD58" i="16"/>
  <c r="CE58" i="16"/>
  <c r="BX48" i="16"/>
  <c r="CD54" i="16"/>
  <c r="CE54" i="16"/>
  <c r="BX44" i="16"/>
  <c r="BW40" i="16"/>
  <c r="CK60" i="16"/>
  <c r="CD50" i="16"/>
  <c r="CL60" i="16"/>
  <c r="CE50" i="16"/>
  <c r="BX40" i="16"/>
  <c r="CK56" i="16"/>
  <c r="CD46" i="16"/>
  <c r="CL56" i="16"/>
  <c r="CE46" i="16"/>
  <c r="BX36" i="16"/>
  <c r="CK52" i="16"/>
  <c r="CD42" i="16"/>
  <c r="CL52" i="16"/>
  <c r="CE42" i="16"/>
  <c r="BX32" i="16"/>
  <c r="CK48" i="16"/>
  <c r="CD38" i="16"/>
  <c r="CL48" i="16"/>
  <c r="CE38" i="16"/>
  <c r="BX28" i="16"/>
  <c r="CK44" i="16"/>
  <c r="CD34" i="16"/>
  <c r="CL44" i="16"/>
  <c r="CE34" i="16"/>
  <c r="BX24" i="16"/>
  <c r="CK40" i="16"/>
  <c r="CD30" i="16"/>
  <c r="CL40" i="16"/>
  <c r="CE30" i="16"/>
  <c r="BX20" i="16"/>
  <c r="CK36" i="16"/>
  <c r="CD26" i="16"/>
  <c r="CL36" i="16"/>
  <c r="CE26" i="16"/>
  <c r="BX16" i="16"/>
  <c r="BX62" i="16"/>
  <c r="BX58" i="16"/>
  <c r="BX50" i="16"/>
  <c r="CE60" i="16"/>
  <c r="CD60" i="16"/>
  <c r="CK62" i="16"/>
  <c r="BX42" i="16"/>
  <c r="CL62" i="16"/>
  <c r="CD52" i="16"/>
  <c r="CE52" i="16"/>
  <c r="CK58" i="16"/>
  <c r="BX38" i="16"/>
  <c r="CL58" i="16"/>
  <c r="CD48" i="16"/>
  <c r="CE48" i="16"/>
  <c r="CK50" i="16"/>
  <c r="BX30" i="16"/>
  <c r="CL50" i="16"/>
  <c r="CD40" i="16"/>
  <c r="CE40" i="16"/>
  <c r="CK46" i="16"/>
  <c r="BX26" i="16"/>
  <c r="CE36" i="16"/>
  <c r="CL46" i="16"/>
  <c r="CD36" i="16"/>
  <c r="CK38" i="16"/>
  <c r="BX18" i="16"/>
  <c r="CL38" i="16"/>
  <c r="CE28" i="16"/>
  <c r="CD28" i="16"/>
  <c r="CK34" i="16"/>
  <c r="BX14" i="16"/>
  <c r="CL34" i="16"/>
  <c r="CD24" i="16"/>
  <c r="CE24" i="16"/>
  <c r="BX61" i="16"/>
  <c r="BX53" i="16"/>
  <c r="CE51" i="16"/>
  <c r="CD51" i="16"/>
  <c r="BX41" i="16"/>
  <c r="CL61" i="16"/>
  <c r="CK61" i="16"/>
  <c r="CE43" i="16"/>
  <c r="CD43" i="16"/>
  <c r="CL53" i="16"/>
  <c r="CK53" i="16"/>
  <c r="BX33" i="16"/>
  <c r="CE39" i="16"/>
  <c r="CL49" i="16"/>
  <c r="CD39" i="16"/>
  <c r="BX29" i="16"/>
  <c r="CK49" i="16"/>
  <c r="CE31" i="16"/>
  <c r="CD31" i="16"/>
  <c r="BX21" i="16"/>
  <c r="CK41" i="16"/>
  <c r="CL41" i="16"/>
  <c r="CL33" i="16"/>
  <c r="BX13" i="16"/>
  <c r="CD23" i="16"/>
  <c r="CK33" i="16"/>
  <c r="CE23" i="16"/>
  <c r="BX59" i="16"/>
  <c r="BX55" i="16"/>
  <c r="BX51" i="16"/>
  <c r="CD61" i="16"/>
  <c r="CE61" i="16"/>
  <c r="CD57" i="16"/>
  <c r="BX47" i="16"/>
  <c r="CE57" i="16"/>
  <c r="CD53" i="16"/>
  <c r="BX43" i="16"/>
  <c r="CE53" i="16"/>
  <c r="CL59" i="16"/>
  <c r="CD49" i="16"/>
  <c r="BX39" i="16"/>
  <c r="CK59" i="16"/>
  <c r="CE49" i="16"/>
  <c r="CD45" i="16"/>
  <c r="BX35" i="16"/>
  <c r="CK55" i="16"/>
  <c r="CE45" i="16"/>
  <c r="CL55" i="16"/>
  <c r="CL51" i="16"/>
  <c r="CD41" i="16"/>
  <c r="BX31" i="16"/>
  <c r="CK51" i="16"/>
  <c r="CE41" i="16"/>
  <c r="CD37" i="16"/>
  <c r="BX27" i="16"/>
  <c r="CK47" i="16"/>
  <c r="CE37" i="16"/>
  <c r="CL47" i="16"/>
  <c r="CD33" i="16"/>
  <c r="BX23" i="16"/>
  <c r="CL43" i="16"/>
  <c r="CK43" i="16"/>
  <c r="CE33" i="16"/>
  <c r="CF33" i="16" s="1"/>
  <c r="CL39" i="16"/>
  <c r="CD29" i="16"/>
  <c r="BX19" i="16"/>
  <c r="CK39" i="16"/>
  <c r="CE29" i="16"/>
  <c r="CD25" i="16"/>
  <c r="BX15" i="16"/>
  <c r="CK35" i="16"/>
  <c r="CE25" i="16"/>
  <c r="CL35" i="16"/>
  <c r="BW56" i="16"/>
  <c r="BW52" i="16"/>
  <c r="BW48" i="16"/>
  <c r="BW44" i="16"/>
  <c r="BW36" i="16"/>
  <c r="BW32" i="16"/>
  <c r="BW28" i="16"/>
  <c r="BW24" i="16"/>
  <c r="BW20" i="16"/>
  <c r="BW16" i="16"/>
  <c r="BW59" i="16"/>
  <c r="BW55" i="16"/>
  <c r="BW51" i="16"/>
  <c r="BW47" i="16"/>
  <c r="BW43" i="16"/>
  <c r="BW39" i="16"/>
  <c r="BW35" i="16"/>
  <c r="BW31" i="16"/>
  <c r="BW27" i="16"/>
  <c r="BW23" i="16"/>
  <c r="BW19" i="16"/>
  <c r="BZ19" i="16" s="1"/>
  <c r="BW15" i="16"/>
  <c r="BW62" i="16"/>
  <c r="BW58" i="16"/>
  <c r="BW54" i="16"/>
  <c r="BW50" i="16"/>
  <c r="BW46" i="16"/>
  <c r="BW42" i="16"/>
  <c r="BW38" i="16"/>
  <c r="BW34" i="16"/>
  <c r="BW30" i="16"/>
  <c r="BW26" i="16"/>
  <c r="BW22" i="16"/>
  <c r="BZ22" i="16" s="1"/>
  <c r="BW18" i="16"/>
  <c r="BW14" i="16"/>
  <c r="BW61" i="16"/>
  <c r="BW57" i="16"/>
  <c r="BW53" i="16"/>
  <c r="BW49" i="16"/>
  <c r="BW45" i="16"/>
  <c r="BW41" i="16"/>
  <c r="BW37" i="16"/>
  <c r="BW33" i="16"/>
  <c r="BW29" i="16"/>
  <c r="BW25" i="16"/>
  <c r="BW21" i="16"/>
  <c r="BW17" i="16"/>
  <c r="BW13" i="16"/>
  <c r="BQ62" i="16"/>
  <c r="BS62" i="16" s="1"/>
  <c r="BC62" i="16"/>
  <c r="BQ54" i="16"/>
  <c r="BS54" i="16" s="1"/>
  <c r="BC54" i="16"/>
  <c r="BQ46" i="16"/>
  <c r="BS46" i="16" s="1"/>
  <c r="BC46" i="16"/>
  <c r="BQ38" i="16"/>
  <c r="BS38" i="16" s="1"/>
  <c r="BC38" i="16"/>
  <c r="BQ26" i="16"/>
  <c r="BS26" i="16" s="1"/>
  <c r="BC26" i="16"/>
  <c r="BQ14" i="16"/>
  <c r="BS14" i="16" s="1"/>
  <c r="BC14" i="16"/>
  <c r="AL57" i="16"/>
  <c r="AO57" i="16" s="1"/>
  <c r="BQ57" i="16"/>
  <c r="BS57" i="16" s="1"/>
  <c r="BC57" i="16"/>
  <c r="AL49" i="16"/>
  <c r="AO49" i="16" s="1"/>
  <c r="BQ49" i="16"/>
  <c r="BS49" i="16" s="1"/>
  <c r="BC49" i="16"/>
  <c r="AL41" i="16"/>
  <c r="AO41" i="16" s="1"/>
  <c r="BQ41" i="16"/>
  <c r="BS41" i="16" s="1"/>
  <c r="BC41" i="16"/>
  <c r="AL33" i="16"/>
  <c r="AO33" i="16" s="1"/>
  <c r="BQ33" i="16"/>
  <c r="BS33" i="16" s="1"/>
  <c r="BC33" i="16"/>
  <c r="AL25" i="16"/>
  <c r="AO25" i="16" s="1"/>
  <c r="BQ25" i="16"/>
  <c r="BS25" i="16" s="1"/>
  <c r="BC25" i="16"/>
  <c r="AL17" i="16"/>
  <c r="AO17" i="16" s="1"/>
  <c r="BQ17" i="16"/>
  <c r="BS17" i="16" s="1"/>
  <c r="BC17" i="16"/>
  <c r="AL9" i="16"/>
  <c r="AO9" i="16" s="1"/>
  <c r="BQ9" i="16"/>
  <c r="BS9" i="16" s="1"/>
  <c r="BC9" i="16"/>
  <c r="BQ59" i="16"/>
  <c r="BS59" i="16" s="1"/>
  <c r="BC59" i="16"/>
  <c r="BQ55" i="16"/>
  <c r="BS55" i="16" s="1"/>
  <c r="BC55" i="16"/>
  <c r="BQ51" i="16"/>
  <c r="BS51" i="16" s="1"/>
  <c r="BC51" i="16"/>
  <c r="BQ47" i="16"/>
  <c r="BS47" i="16" s="1"/>
  <c r="BC47" i="16"/>
  <c r="BQ43" i="16"/>
  <c r="BS43" i="16" s="1"/>
  <c r="BC43" i="16"/>
  <c r="BQ39" i="16"/>
  <c r="BS39" i="16" s="1"/>
  <c r="BC39" i="16"/>
  <c r="BQ35" i="16"/>
  <c r="BS35" i="16" s="1"/>
  <c r="BC35" i="16"/>
  <c r="BQ31" i="16"/>
  <c r="BS31" i="16" s="1"/>
  <c r="BC31" i="16"/>
  <c r="BQ27" i="16"/>
  <c r="BS27" i="16" s="1"/>
  <c r="BC27" i="16"/>
  <c r="BQ23" i="16"/>
  <c r="BS23" i="16" s="1"/>
  <c r="BC23" i="16"/>
  <c r="BQ19" i="16"/>
  <c r="BS19" i="16" s="1"/>
  <c r="BC19" i="16"/>
  <c r="BQ15" i="16"/>
  <c r="BS15" i="16" s="1"/>
  <c r="BC15" i="16"/>
  <c r="BQ11" i="16"/>
  <c r="BS11" i="16" s="1"/>
  <c r="BC11" i="16"/>
  <c r="BQ7" i="16"/>
  <c r="BS7" i="16" s="1"/>
  <c r="BC7" i="16"/>
  <c r="BK7" i="16"/>
  <c r="BK8" i="16" s="1"/>
  <c r="BK9" i="16" s="1"/>
  <c r="BK10" i="16" s="1"/>
  <c r="BK11" i="16" s="1"/>
  <c r="BK12" i="16" s="1"/>
  <c r="BK13" i="16" s="1"/>
  <c r="BK14" i="16" s="1"/>
  <c r="BK15" i="16" s="1"/>
  <c r="BK16" i="16" s="1"/>
  <c r="BK17" i="16" s="1"/>
  <c r="BK18" i="16" s="1"/>
  <c r="BK19" i="16" s="1"/>
  <c r="BK20" i="16" s="1"/>
  <c r="BK21" i="16" s="1"/>
  <c r="BK22" i="16" s="1"/>
  <c r="BQ58" i="16"/>
  <c r="BS58" i="16" s="1"/>
  <c r="BC58" i="16"/>
  <c r="BQ50" i="16"/>
  <c r="BS50" i="16" s="1"/>
  <c r="BC50" i="16"/>
  <c r="BQ42" i="16"/>
  <c r="BS42" i="16" s="1"/>
  <c r="BC42" i="16"/>
  <c r="BQ34" i="16"/>
  <c r="BS34" i="16" s="1"/>
  <c r="BC34" i="16"/>
  <c r="BQ30" i="16"/>
  <c r="BS30" i="16" s="1"/>
  <c r="BC30" i="16"/>
  <c r="BQ22" i="16"/>
  <c r="BS22" i="16" s="1"/>
  <c r="BC22" i="16"/>
  <c r="BQ18" i="16"/>
  <c r="BS18" i="16" s="1"/>
  <c r="BC18" i="16"/>
  <c r="BQ10" i="16"/>
  <c r="BS10" i="16" s="1"/>
  <c r="BC10" i="16"/>
  <c r="BQ6" i="16"/>
  <c r="BS6" i="16" s="1"/>
  <c r="BC6" i="16"/>
  <c r="AL61" i="16"/>
  <c r="AO61" i="16" s="1"/>
  <c r="BQ61" i="16"/>
  <c r="BS61" i="16" s="1"/>
  <c r="BC61" i="16"/>
  <c r="AL53" i="16"/>
  <c r="AO53" i="16" s="1"/>
  <c r="BQ53" i="16"/>
  <c r="BS53" i="16" s="1"/>
  <c r="BC53" i="16"/>
  <c r="AL45" i="16"/>
  <c r="AO45" i="16" s="1"/>
  <c r="BQ45" i="16"/>
  <c r="BS45" i="16" s="1"/>
  <c r="BC45" i="16"/>
  <c r="AL37" i="16"/>
  <c r="AO37" i="16" s="1"/>
  <c r="BQ37" i="16"/>
  <c r="BS37" i="16" s="1"/>
  <c r="BC37" i="16"/>
  <c r="AL29" i="16"/>
  <c r="AO29" i="16" s="1"/>
  <c r="BQ29" i="16"/>
  <c r="BS29" i="16" s="1"/>
  <c r="BC29" i="16"/>
  <c r="AL21" i="16"/>
  <c r="AO21" i="16" s="1"/>
  <c r="BQ21" i="16"/>
  <c r="BS21" i="16" s="1"/>
  <c r="BC21" i="16"/>
  <c r="AL13" i="16"/>
  <c r="AO13" i="16" s="1"/>
  <c r="BQ13" i="16"/>
  <c r="BS13" i="16" s="1"/>
  <c r="BC13" i="16"/>
  <c r="AL5" i="16"/>
  <c r="AO5" i="16" s="1"/>
  <c r="BQ5" i="16"/>
  <c r="BS5" i="16" s="1"/>
  <c r="BC5" i="16"/>
  <c r="BQ60" i="16"/>
  <c r="BS60" i="16" s="1"/>
  <c r="BC60" i="16"/>
  <c r="BQ56" i="16"/>
  <c r="BS56" i="16" s="1"/>
  <c r="BC56" i="16"/>
  <c r="BQ52" i="16"/>
  <c r="BS52" i="16" s="1"/>
  <c r="BC52" i="16"/>
  <c r="BQ48" i="16"/>
  <c r="BS48" i="16" s="1"/>
  <c r="BC48" i="16"/>
  <c r="BQ44" i="16"/>
  <c r="BS44" i="16" s="1"/>
  <c r="BC44" i="16"/>
  <c r="BQ40" i="16"/>
  <c r="BS40" i="16" s="1"/>
  <c r="BC40" i="16"/>
  <c r="BQ36" i="16"/>
  <c r="BS36" i="16" s="1"/>
  <c r="BC36" i="16"/>
  <c r="BQ32" i="16"/>
  <c r="BS32" i="16" s="1"/>
  <c r="BC32" i="16"/>
  <c r="BQ28" i="16"/>
  <c r="BS28" i="16" s="1"/>
  <c r="BC28" i="16"/>
  <c r="BQ24" i="16"/>
  <c r="BS24" i="16" s="1"/>
  <c r="BC24" i="16"/>
  <c r="BQ20" i="16"/>
  <c r="BS20" i="16" s="1"/>
  <c r="BC20" i="16"/>
  <c r="BQ16" i="16"/>
  <c r="BS16" i="16" s="1"/>
  <c r="BC16" i="16"/>
  <c r="BQ12" i="16"/>
  <c r="BS12" i="16" s="1"/>
  <c r="BC12" i="16"/>
  <c r="BQ8" i="16"/>
  <c r="BS8" i="16" s="1"/>
  <c r="BC8" i="16"/>
  <c r="AL4" i="16"/>
  <c r="BQ4" i="16"/>
  <c r="BS4" i="16" s="1"/>
  <c r="BC4" i="16"/>
  <c r="AL59" i="16"/>
  <c r="AO59" i="16" s="1"/>
  <c r="AL55" i="16"/>
  <c r="AO55" i="16" s="1"/>
  <c r="AL51" i="16"/>
  <c r="AO51" i="16" s="1"/>
  <c r="AL47" i="16"/>
  <c r="AO47" i="16" s="1"/>
  <c r="AL43" i="16"/>
  <c r="AO43" i="16" s="1"/>
  <c r="AL39" i="16"/>
  <c r="AO39" i="16" s="1"/>
  <c r="AL35" i="16"/>
  <c r="AO35" i="16" s="1"/>
  <c r="AL31" i="16"/>
  <c r="AO31" i="16" s="1"/>
  <c r="AL27" i="16"/>
  <c r="AO27" i="16" s="1"/>
  <c r="AL23" i="16"/>
  <c r="AO23" i="16" s="1"/>
  <c r="AL19" i="16"/>
  <c r="AO19" i="16" s="1"/>
  <c r="AL11" i="16"/>
  <c r="AO11" i="16" s="1"/>
  <c r="AL7" i="16"/>
  <c r="AO7" i="16" s="1"/>
  <c r="AL60" i="16"/>
  <c r="AO60" i="16" s="1"/>
  <c r="AL56" i="16"/>
  <c r="AO56" i="16" s="1"/>
  <c r="AL52" i="16"/>
  <c r="AO52" i="16" s="1"/>
  <c r="AL48" i="16"/>
  <c r="AO48" i="16" s="1"/>
  <c r="AL44" i="16"/>
  <c r="AO44" i="16" s="1"/>
  <c r="AL40" i="16"/>
  <c r="AO40" i="16" s="1"/>
  <c r="AL36" i="16"/>
  <c r="AO36" i="16" s="1"/>
  <c r="AL32" i="16"/>
  <c r="AO32" i="16" s="1"/>
  <c r="AL28" i="16"/>
  <c r="AO28" i="16" s="1"/>
  <c r="AL24" i="16"/>
  <c r="AO24" i="16" s="1"/>
  <c r="AL20" i="16"/>
  <c r="AO20" i="16" s="1"/>
  <c r="AL16" i="16"/>
  <c r="AO16" i="16" s="1"/>
  <c r="AL12" i="16"/>
  <c r="AO12" i="16" s="1"/>
  <c r="AL8" i="16"/>
  <c r="AO8" i="16" s="1"/>
  <c r="AL15" i="16"/>
  <c r="AO15" i="16" s="1"/>
  <c r="AL62" i="16"/>
  <c r="AO62" i="16" s="1"/>
  <c r="AL58" i="16"/>
  <c r="AO58" i="16" s="1"/>
  <c r="AL54" i="16"/>
  <c r="AO54" i="16" s="1"/>
  <c r="AL50" i="16"/>
  <c r="AO50" i="16" s="1"/>
  <c r="AL46" i="16"/>
  <c r="AO46" i="16" s="1"/>
  <c r="AL42" i="16"/>
  <c r="AO42" i="16" s="1"/>
  <c r="AL38" i="16"/>
  <c r="AO38" i="16" s="1"/>
  <c r="AL34" i="16"/>
  <c r="AO34" i="16" s="1"/>
  <c r="AL30" i="16"/>
  <c r="AO30" i="16" s="1"/>
  <c r="AL26" i="16"/>
  <c r="AO26" i="16" s="1"/>
  <c r="AL22" i="16"/>
  <c r="AO22" i="16" s="1"/>
  <c r="AL18" i="16"/>
  <c r="AO18" i="16" s="1"/>
  <c r="AL14" i="16"/>
  <c r="AO14" i="16" s="1"/>
  <c r="AL10" i="16"/>
  <c r="AO10" i="16" s="1"/>
  <c r="AL6" i="16"/>
  <c r="AZ22" i="16"/>
  <c r="AZ58" i="16"/>
  <c r="AZ54" i="16"/>
  <c r="AZ46" i="16"/>
  <c r="AZ42" i="16"/>
  <c r="AZ34" i="16"/>
  <c r="AZ30" i="16"/>
  <c r="AZ26" i="16"/>
  <c r="AZ61" i="16"/>
  <c r="AZ53" i="16"/>
  <c r="AZ45" i="16"/>
  <c r="AZ37" i="16"/>
  <c r="AZ29" i="16"/>
  <c r="AZ60" i="16"/>
  <c r="AZ56" i="16"/>
  <c r="AZ52" i="16"/>
  <c r="AZ48" i="16"/>
  <c r="AZ44" i="16"/>
  <c r="AZ40" i="16"/>
  <c r="AZ36" i="16"/>
  <c r="AZ32" i="16"/>
  <c r="AZ28" i="16"/>
  <c r="AZ24" i="16"/>
  <c r="AZ62" i="16"/>
  <c r="AZ50" i="16"/>
  <c r="AZ38" i="16"/>
  <c r="AZ57" i="16"/>
  <c r="AZ49" i="16"/>
  <c r="AZ41" i="16"/>
  <c r="AZ33" i="16"/>
  <c r="AZ25" i="16"/>
  <c r="AZ59" i="16"/>
  <c r="AZ55" i="16"/>
  <c r="AZ51" i="16"/>
  <c r="AZ47" i="16"/>
  <c r="AZ43" i="16"/>
  <c r="AZ39" i="16"/>
  <c r="AZ35" i="16"/>
  <c r="AZ31" i="16"/>
  <c r="AZ27" i="16"/>
  <c r="AZ23" i="16"/>
  <c r="AT9" i="28"/>
  <c r="N7" i="28"/>
  <c r="AT7" i="28"/>
  <c r="AT8" i="28"/>
  <c r="BF56" i="16"/>
  <c r="BE56" i="16"/>
  <c r="BE52" i="16"/>
  <c r="BF52" i="16"/>
  <c r="BE44" i="16"/>
  <c r="BF44" i="16"/>
  <c r="BE36" i="16"/>
  <c r="BF36" i="16"/>
  <c r="BE32" i="16"/>
  <c r="BF32" i="16"/>
  <c r="BE24" i="16"/>
  <c r="BF24" i="16"/>
  <c r="BE20" i="16"/>
  <c r="BF20" i="16"/>
  <c r="BF59" i="16"/>
  <c r="BE59" i="16"/>
  <c r="BE51" i="16"/>
  <c r="BF51" i="16"/>
  <c r="BE47" i="16"/>
  <c r="BF47" i="16"/>
  <c r="BE39" i="16"/>
  <c r="BF39" i="16"/>
  <c r="BE31" i="16"/>
  <c r="BF31" i="16"/>
  <c r="BF23" i="16"/>
  <c r="BE23" i="16"/>
  <c r="BE62" i="16"/>
  <c r="BF62" i="16"/>
  <c r="BF58" i="16"/>
  <c r="BE58" i="16"/>
  <c r="BE54" i="16"/>
  <c r="BF54" i="16"/>
  <c r="BF50" i="16"/>
  <c r="BE50" i="16"/>
  <c r="BE46" i="16"/>
  <c r="BF46" i="16"/>
  <c r="BF42" i="16"/>
  <c r="BE42" i="16"/>
  <c r="BF38" i="16"/>
  <c r="BE38" i="16"/>
  <c r="BF34" i="16"/>
  <c r="BE34" i="16"/>
  <c r="BF30" i="16"/>
  <c r="BE30" i="16"/>
  <c r="BF26" i="16"/>
  <c r="BE26" i="16"/>
  <c r="BE22" i="16"/>
  <c r="BF22" i="16"/>
  <c r="BE60" i="16"/>
  <c r="BF60" i="16"/>
  <c r="BE48" i="16"/>
  <c r="BF48" i="16"/>
  <c r="BF40" i="16"/>
  <c r="BE40" i="16"/>
  <c r="BE28" i="16"/>
  <c r="BF28" i="16"/>
  <c r="BL22" i="16"/>
  <c r="BL23" i="16" s="1"/>
  <c r="BL24" i="16" s="1"/>
  <c r="BE55" i="16"/>
  <c r="BF55" i="16"/>
  <c r="BF43" i="16"/>
  <c r="BE43" i="16"/>
  <c r="BE35" i="16"/>
  <c r="BF35" i="16"/>
  <c r="BE27" i="16"/>
  <c r="BF27" i="16"/>
  <c r="BE61" i="16"/>
  <c r="BF61" i="16"/>
  <c r="BE57" i="16"/>
  <c r="BF57" i="16"/>
  <c r="BF53" i="16"/>
  <c r="BE53" i="16"/>
  <c r="BE49" i="16"/>
  <c r="BF49" i="16"/>
  <c r="BE45" i="16"/>
  <c r="BF45" i="16"/>
  <c r="BE41" i="16"/>
  <c r="BF41" i="16"/>
  <c r="BF37" i="16"/>
  <c r="BE37" i="16"/>
  <c r="BE33" i="16"/>
  <c r="BF33" i="16"/>
  <c r="BF29" i="16"/>
  <c r="BE29" i="16"/>
  <c r="BE25" i="16"/>
  <c r="BF25" i="16"/>
  <c r="BF21" i="16"/>
  <c r="BE21" i="16"/>
  <c r="BE17" i="16"/>
  <c r="BE19" i="16"/>
  <c r="BF17" i="16"/>
  <c r="BF19" i="16"/>
  <c r="BE18" i="16"/>
  <c r="BF18" i="16"/>
  <c r="BI22" i="16"/>
  <c r="BI23" i="16" s="1"/>
  <c r="BI24" i="16" s="1"/>
  <c r="BI25" i="16" s="1"/>
  <c r="BI26" i="16" s="1"/>
  <c r="BI27" i="16" s="1"/>
  <c r="BI28" i="16" s="1"/>
  <c r="BI29" i="16" s="1"/>
  <c r="BI30" i="16" s="1"/>
  <c r="BI31" i="16" s="1"/>
  <c r="BI32" i="16" s="1"/>
  <c r="BI33" i="16" s="1"/>
  <c r="BI34" i="16" s="1"/>
  <c r="BI35" i="16" s="1"/>
  <c r="BI36" i="16" s="1"/>
  <c r="BI37" i="16" s="1"/>
  <c r="BI38" i="16" s="1"/>
  <c r="BI39" i="16" s="1"/>
  <c r="BI40" i="16" s="1"/>
  <c r="BI41" i="16" s="1"/>
  <c r="BI42" i="16" s="1"/>
  <c r="BI43" i="16" s="1"/>
  <c r="BI44" i="16" s="1"/>
  <c r="BI45" i="16" s="1"/>
  <c r="BI46" i="16" s="1"/>
  <c r="BI47" i="16" s="1"/>
  <c r="BI48" i="16" s="1"/>
  <c r="BI49" i="16" s="1"/>
  <c r="BI50" i="16" s="1"/>
  <c r="BI51" i="16" s="1"/>
  <c r="BI52" i="16" s="1"/>
  <c r="BI53" i="16" s="1"/>
  <c r="BI54" i="16" s="1"/>
  <c r="BI55" i="16" s="1"/>
  <c r="BI56" i="16" s="1"/>
  <c r="BI57" i="16" s="1"/>
  <c r="BI58" i="16" s="1"/>
  <c r="BI59" i="16" s="1"/>
  <c r="BI60" i="16" s="1"/>
  <c r="BI61" i="16" s="1"/>
  <c r="BI62" i="16" s="1"/>
  <c r="I14" i="16"/>
  <c r="BH7" i="16"/>
  <c r="BH8" i="16" s="1"/>
  <c r="BH9" i="16" s="1"/>
  <c r="BH10" i="16" s="1"/>
  <c r="BH11" i="16" s="1"/>
  <c r="BH12" i="16" s="1"/>
  <c r="BH13" i="16" s="1"/>
  <c r="BH14" i="16" s="1"/>
  <c r="BH15" i="16" s="1"/>
  <c r="BH16" i="16" s="1"/>
  <c r="BH17" i="16" s="1"/>
  <c r="BH18" i="16" s="1"/>
  <c r="BH19" i="16" s="1"/>
  <c r="BH20" i="16" s="1"/>
  <c r="BH21" i="16" s="1"/>
  <c r="BH22" i="16" s="1"/>
  <c r="BF16" i="16"/>
  <c r="BE16" i="16"/>
  <c r="G5" i="28"/>
  <c r="O2" i="28"/>
  <c r="AS62" i="28"/>
  <c r="I4" i="28" s="1"/>
  <c r="M62" i="28"/>
  <c r="H4" i="28" s="1"/>
  <c r="AU5" i="28"/>
  <c r="AU7" i="28"/>
  <c r="AU4" i="28"/>
  <c r="AU6" i="28"/>
  <c r="AU8" i="28"/>
  <c r="AU2" i="28"/>
  <c r="AU3" i="28"/>
  <c r="AT31" i="28"/>
  <c r="AT43" i="28"/>
  <c r="AT39" i="28"/>
  <c r="AT61" i="28"/>
  <c r="AT45" i="28"/>
  <c r="AT33" i="28"/>
  <c r="AT60" i="28"/>
  <c r="AT52" i="28"/>
  <c r="AT44" i="28"/>
  <c r="AT36" i="28"/>
  <c r="AT30" i="28"/>
  <c r="AT22" i="28"/>
  <c r="AT19" i="28"/>
  <c r="AT16" i="28"/>
  <c r="AT59" i="28"/>
  <c r="AT57" i="28"/>
  <c r="AT41" i="28"/>
  <c r="AT29" i="28"/>
  <c r="AT58" i="28"/>
  <c r="AT50" i="28"/>
  <c r="AT42" i="28"/>
  <c r="AT28" i="28"/>
  <c r="AT21" i="28"/>
  <c r="AT11" i="28"/>
  <c r="AT14" i="28"/>
  <c r="AT51" i="28"/>
  <c r="AT55" i="28"/>
  <c r="AT35" i="28"/>
  <c r="AT53" i="28"/>
  <c r="AT37" i="28"/>
  <c r="AT25" i="28"/>
  <c r="AT56" i="28"/>
  <c r="AT48" i="28"/>
  <c r="AT40" i="28"/>
  <c r="AT34" i="28"/>
  <c r="AT26" i="28"/>
  <c r="AT13" i="28"/>
  <c r="AT20" i="28"/>
  <c r="AT12" i="28"/>
  <c r="AT17" i="28"/>
  <c r="AT23" i="28"/>
  <c r="AT47" i="28"/>
  <c r="AT27" i="28"/>
  <c r="AT49" i="28"/>
  <c r="AT15" i="28"/>
  <c r="AT54" i="28"/>
  <c r="AT46" i="28"/>
  <c r="AT38" i="28"/>
  <c r="AT32" i="28"/>
  <c r="AT24" i="28"/>
  <c r="AT18" i="28"/>
  <c r="AT10" i="28"/>
  <c r="F6" i="28"/>
  <c r="E7" i="28" s="1"/>
  <c r="O5" i="28"/>
  <c r="O6" i="28"/>
  <c r="O7" i="28"/>
  <c r="O3" i="28"/>
  <c r="O4" i="28"/>
  <c r="O8" i="28"/>
  <c r="N47" i="28"/>
  <c r="N37" i="28"/>
  <c r="N27" i="28"/>
  <c r="N39" i="28"/>
  <c r="N42" i="28"/>
  <c r="N10" i="28"/>
  <c r="N21" i="28"/>
  <c r="N32" i="28"/>
  <c r="N58" i="28"/>
  <c r="N36" i="28"/>
  <c r="N35" i="28"/>
  <c r="N38" i="28"/>
  <c r="N16" i="28"/>
  <c r="N26" i="28"/>
  <c r="N19" i="28"/>
  <c r="N34" i="28"/>
  <c r="N53" i="28"/>
  <c r="N48" i="28"/>
  <c r="N33" i="28"/>
  <c r="N11" i="28"/>
  <c r="N31" i="28"/>
  <c r="N23" i="28"/>
  <c r="N54" i="28"/>
  <c r="N22" i="28"/>
  <c r="N49" i="28"/>
  <c r="N17" i="28"/>
  <c r="N60" i="28"/>
  <c r="N44" i="28"/>
  <c r="N28" i="28"/>
  <c r="N12" i="28"/>
  <c r="N59" i="28"/>
  <c r="N15" i="28"/>
  <c r="N50" i="28"/>
  <c r="N18" i="28"/>
  <c r="N61" i="28"/>
  <c r="N45" i="28"/>
  <c r="N29" i="28"/>
  <c r="N13" i="28"/>
  <c r="N56" i="28"/>
  <c r="N40" i="28"/>
  <c r="N24" i="28"/>
  <c r="N8" i="28"/>
  <c r="N51" i="28"/>
  <c r="N43" i="28"/>
  <c r="N55" i="28"/>
  <c r="N46" i="28"/>
  <c r="N30" i="28"/>
  <c r="N14" i="28"/>
  <c r="N57" i="28"/>
  <c r="N41" i="28"/>
  <c r="N25" i="28"/>
  <c r="N9" i="28"/>
  <c r="N52" i="28"/>
  <c r="N20" i="28"/>
  <c r="M60" i="16"/>
  <c r="N60" i="16"/>
  <c r="N56" i="16"/>
  <c r="M56" i="16"/>
  <c r="N52" i="16"/>
  <c r="M52" i="16"/>
  <c r="N48" i="16"/>
  <c r="M48" i="16"/>
  <c r="M44" i="16"/>
  <c r="N44" i="16"/>
  <c r="N40" i="16"/>
  <c r="M40" i="16"/>
  <c r="N36" i="16"/>
  <c r="M36" i="16"/>
  <c r="M32" i="16"/>
  <c r="N32" i="16"/>
  <c r="N28" i="16"/>
  <c r="M28" i="16"/>
  <c r="M24" i="16"/>
  <c r="N24" i="16"/>
  <c r="M59" i="16"/>
  <c r="N59" i="16"/>
  <c r="M55" i="16"/>
  <c r="N55" i="16"/>
  <c r="M51" i="16"/>
  <c r="N51" i="16"/>
  <c r="M47" i="16"/>
  <c r="N47" i="16"/>
  <c r="M43" i="16"/>
  <c r="N43" i="16"/>
  <c r="M39" i="16"/>
  <c r="N39" i="16"/>
  <c r="M35" i="16"/>
  <c r="N35" i="16"/>
  <c r="M31" i="16"/>
  <c r="N31" i="16"/>
  <c r="N27" i="16"/>
  <c r="M23" i="16"/>
  <c r="N23" i="16"/>
  <c r="N22" i="16"/>
  <c r="M22" i="16"/>
  <c r="N62" i="16"/>
  <c r="M62" i="16"/>
  <c r="N58" i="16"/>
  <c r="M58" i="16"/>
  <c r="M54" i="16"/>
  <c r="N54" i="16"/>
  <c r="M50" i="16"/>
  <c r="N50" i="16"/>
  <c r="N46" i="16"/>
  <c r="M46" i="16"/>
  <c r="N42" i="16"/>
  <c r="M42" i="16"/>
  <c r="M38" i="16"/>
  <c r="N38" i="16"/>
  <c r="N34" i="16"/>
  <c r="M34" i="16"/>
  <c r="N30" i="16"/>
  <c r="M30" i="16"/>
  <c r="N26" i="16"/>
  <c r="M26" i="16"/>
  <c r="M61" i="16"/>
  <c r="N61" i="16"/>
  <c r="M57" i="16"/>
  <c r="N57" i="16"/>
  <c r="M53" i="16"/>
  <c r="N53" i="16"/>
  <c r="M49" i="16"/>
  <c r="N49" i="16"/>
  <c r="M45" i="16"/>
  <c r="N45" i="16"/>
  <c r="M41" i="16"/>
  <c r="N41" i="16"/>
  <c r="M37" i="16"/>
  <c r="N37" i="16"/>
  <c r="M33" i="16"/>
  <c r="N33" i="16"/>
  <c r="M29" i="16"/>
  <c r="N29" i="16"/>
  <c r="M25" i="16"/>
  <c r="N25" i="16"/>
  <c r="J28" i="16"/>
  <c r="J29" i="16" s="1"/>
  <c r="J30" i="16" s="1"/>
  <c r="J31" i="16" s="1"/>
  <c r="J32" i="16" s="1"/>
  <c r="J33" i="16" s="1"/>
  <c r="J34" i="16" s="1"/>
  <c r="J35" i="16" s="1"/>
  <c r="J36" i="16" s="1"/>
  <c r="J37" i="16" s="1"/>
  <c r="J38" i="16" s="1"/>
  <c r="J39" i="16" s="1"/>
  <c r="J40" i="16" s="1"/>
  <c r="J41" i="16" s="1"/>
  <c r="J42" i="16" s="1"/>
  <c r="J43" i="16" s="1"/>
  <c r="J44" i="16" s="1"/>
  <c r="J45" i="16" s="1"/>
  <c r="J46" i="16" s="1"/>
  <c r="J47" i="16" s="1"/>
  <c r="J48" i="16" s="1"/>
  <c r="J49" i="16" s="1"/>
  <c r="J50" i="16" s="1"/>
  <c r="J51" i="16" s="1"/>
  <c r="J52" i="16" s="1"/>
  <c r="J53" i="16" s="1"/>
  <c r="J54" i="16" s="1"/>
  <c r="J55" i="16" s="1"/>
  <c r="J56" i="16" s="1"/>
  <c r="J57" i="16" s="1"/>
  <c r="J58" i="16" s="1"/>
  <c r="J59" i="16" s="1"/>
  <c r="J60" i="16" s="1"/>
  <c r="J61" i="16" s="1"/>
  <c r="J62" i="16" s="1"/>
  <c r="E59" i="16"/>
  <c r="E55" i="16"/>
  <c r="E51" i="16"/>
  <c r="F61" i="16"/>
  <c r="E47" i="16"/>
  <c r="F57" i="16"/>
  <c r="E43" i="16"/>
  <c r="F53" i="16"/>
  <c r="G59" i="16"/>
  <c r="E39" i="16"/>
  <c r="F49" i="16"/>
  <c r="G55" i="16"/>
  <c r="E35" i="16"/>
  <c r="F45" i="16"/>
  <c r="G51" i="16"/>
  <c r="E31" i="16"/>
  <c r="F41" i="16"/>
  <c r="G47" i="16"/>
  <c r="E27" i="16"/>
  <c r="F37" i="16"/>
  <c r="G43" i="16"/>
  <c r="E23" i="16"/>
  <c r="F33" i="16"/>
  <c r="G39" i="16"/>
  <c r="E19" i="16"/>
  <c r="F29" i="16"/>
  <c r="G35" i="16"/>
  <c r="E15" i="16"/>
  <c r="F25" i="16"/>
  <c r="E62" i="16"/>
  <c r="E58" i="16"/>
  <c r="E54" i="16"/>
  <c r="E50" i="16"/>
  <c r="F60" i="16"/>
  <c r="F56" i="16"/>
  <c r="E46" i="16"/>
  <c r="G62" i="16"/>
  <c r="E42" i="16"/>
  <c r="F52" i="16"/>
  <c r="F48" i="16"/>
  <c r="G58" i="16"/>
  <c r="E38" i="16"/>
  <c r="G54" i="16"/>
  <c r="E34" i="16"/>
  <c r="F44" i="16"/>
  <c r="F40" i="16"/>
  <c r="G50" i="16"/>
  <c r="E30" i="16"/>
  <c r="G46" i="16"/>
  <c r="E26" i="16"/>
  <c r="F36" i="16"/>
  <c r="F32" i="16"/>
  <c r="G42" i="16"/>
  <c r="E22" i="16"/>
  <c r="G38" i="16"/>
  <c r="E18" i="16"/>
  <c r="F28" i="16"/>
  <c r="F24" i="16"/>
  <c r="G34" i="16"/>
  <c r="E14" i="16"/>
  <c r="E61" i="16"/>
  <c r="E57" i="16"/>
  <c r="E53" i="16"/>
  <c r="F59" i="16"/>
  <c r="E49" i="16"/>
  <c r="E45" i="16"/>
  <c r="F55" i="16"/>
  <c r="F51" i="16"/>
  <c r="G61" i="16"/>
  <c r="E41" i="16"/>
  <c r="E37" i="16"/>
  <c r="F47" i="16"/>
  <c r="G57" i="16"/>
  <c r="F43" i="16"/>
  <c r="G53" i="16"/>
  <c r="E33" i="16"/>
  <c r="E29" i="16"/>
  <c r="F39" i="16"/>
  <c r="G49" i="16"/>
  <c r="F35" i="16"/>
  <c r="G45" i="16"/>
  <c r="E25" i="16"/>
  <c r="E21" i="16"/>
  <c r="F31" i="16"/>
  <c r="G41" i="16"/>
  <c r="F27" i="16"/>
  <c r="G37" i="16"/>
  <c r="E17" i="16"/>
  <c r="E13" i="16"/>
  <c r="F23" i="16"/>
  <c r="G33" i="16"/>
  <c r="G32" i="16"/>
  <c r="E12" i="16"/>
  <c r="F22" i="16"/>
  <c r="E60" i="16"/>
  <c r="E56" i="16"/>
  <c r="F62" i="16"/>
  <c r="E52" i="16"/>
  <c r="F58" i="16"/>
  <c r="E48" i="16"/>
  <c r="F54" i="16"/>
  <c r="E44" i="16"/>
  <c r="F50" i="16"/>
  <c r="G60" i="16"/>
  <c r="E40" i="16"/>
  <c r="F46" i="16"/>
  <c r="G56" i="16"/>
  <c r="E36" i="16"/>
  <c r="F42" i="16"/>
  <c r="G52" i="16"/>
  <c r="E32" i="16"/>
  <c r="F38" i="16"/>
  <c r="G48" i="16"/>
  <c r="E28" i="16"/>
  <c r="F34" i="16"/>
  <c r="G44" i="16"/>
  <c r="E24" i="16"/>
  <c r="F30" i="16"/>
  <c r="G40" i="16"/>
  <c r="E20" i="16"/>
  <c r="F26" i="16"/>
  <c r="G36" i="16"/>
  <c r="E16" i="16"/>
  <c r="D60" i="16"/>
  <c r="D3" i="16"/>
  <c r="W62" i="16"/>
  <c r="AG62" i="16" s="1"/>
  <c r="W58" i="16"/>
  <c r="AG58" i="16" s="1"/>
  <c r="W54" i="16"/>
  <c r="AH54" i="16" s="1"/>
  <c r="W50" i="16"/>
  <c r="AH50" i="16" s="1"/>
  <c r="W46" i="16"/>
  <c r="AG46" i="16" s="1"/>
  <c r="W42" i="16"/>
  <c r="AH42" i="16" s="1"/>
  <c r="W38" i="16"/>
  <c r="AH38" i="16" s="1"/>
  <c r="W34" i="16"/>
  <c r="W30" i="16"/>
  <c r="W26" i="16"/>
  <c r="W22" i="16"/>
  <c r="AH22" i="16" s="1"/>
  <c r="W18" i="16"/>
  <c r="W14" i="16"/>
  <c r="W10" i="16"/>
  <c r="W6" i="16"/>
  <c r="W59" i="16"/>
  <c r="AG59" i="16" s="1"/>
  <c r="W55" i="16"/>
  <c r="AH55" i="16" s="1"/>
  <c r="W51" i="16"/>
  <c r="AH51" i="16" s="1"/>
  <c r="W47" i="16"/>
  <c r="AH47" i="16" s="1"/>
  <c r="W43" i="16"/>
  <c r="AH43" i="16" s="1"/>
  <c r="W39" i="16"/>
  <c r="AH39" i="16" s="1"/>
  <c r="W35" i="16"/>
  <c r="W31" i="16"/>
  <c r="AH31" i="16" s="1"/>
  <c r="W27" i="16"/>
  <c r="W23" i="16"/>
  <c r="AH23" i="16" s="1"/>
  <c r="W19" i="16"/>
  <c r="W15" i="16"/>
  <c r="W11" i="16"/>
  <c r="W7" i="16"/>
  <c r="W61" i="16"/>
  <c r="AG61" i="16" s="1"/>
  <c r="W57" i="16"/>
  <c r="AG57" i="16" s="1"/>
  <c r="W53" i="16"/>
  <c r="AG53" i="16" s="1"/>
  <c r="W49" i="16"/>
  <c r="AH49" i="16" s="1"/>
  <c r="W45" i="16"/>
  <c r="AH45" i="16" s="1"/>
  <c r="W41" i="16"/>
  <c r="AH41" i="16" s="1"/>
  <c r="W37" i="16"/>
  <c r="W33" i="16"/>
  <c r="AH33" i="16" s="1"/>
  <c r="W29" i="16"/>
  <c r="W25" i="16"/>
  <c r="AH25" i="16" s="1"/>
  <c r="W21" i="16"/>
  <c r="AH21" i="16" s="1"/>
  <c r="W17" i="16"/>
  <c r="W13" i="16"/>
  <c r="W9" i="16"/>
  <c r="W5" i="16"/>
  <c r="D55" i="16"/>
  <c r="D47" i="16"/>
  <c r="D39" i="16"/>
  <c r="D31" i="16"/>
  <c r="D23" i="16"/>
  <c r="D15" i="16"/>
  <c r="D54" i="16"/>
  <c r="D62" i="16"/>
  <c r="D58" i="16"/>
  <c r="D53" i="16"/>
  <c r="D49" i="16"/>
  <c r="D45" i="16"/>
  <c r="D41" i="16"/>
  <c r="D37" i="16"/>
  <c r="D33" i="16"/>
  <c r="D29" i="16"/>
  <c r="D25" i="16"/>
  <c r="D21" i="16"/>
  <c r="D17" i="16"/>
  <c r="D13" i="16"/>
  <c r="D9" i="16"/>
  <c r="D5" i="16"/>
  <c r="D56" i="16"/>
  <c r="D51" i="16"/>
  <c r="D43" i="16"/>
  <c r="D35" i="16"/>
  <c r="D27" i="16"/>
  <c r="D19" i="16"/>
  <c r="D11" i="16"/>
  <c r="D7" i="16"/>
  <c r="D59" i="16"/>
  <c r="D50" i="16"/>
  <c r="D46" i="16"/>
  <c r="D42" i="16"/>
  <c r="D38" i="16"/>
  <c r="D34" i="16"/>
  <c r="D30" i="16"/>
  <c r="D26" i="16"/>
  <c r="D22" i="16"/>
  <c r="D18" i="16"/>
  <c r="D14" i="16"/>
  <c r="D10" i="16"/>
  <c r="D6" i="16"/>
  <c r="W60" i="16"/>
  <c r="AG60" i="16" s="1"/>
  <c r="W56" i="16"/>
  <c r="AH56" i="16" s="1"/>
  <c r="W52" i="16"/>
  <c r="AG52" i="16" s="1"/>
  <c r="W48" i="16"/>
  <c r="AH48" i="16" s="1"/>
  <c r="W44" i="16"/>
  <c r="AH44" i="16" s="1"/>
  <c r="W40" i="16"/>
  <c r="AG40" i="16" s="1"/>
  <c r="W36" i="16"/>
  <c r="AH36" i="16" s="1"/>
  <c r="W32" i="16"/>
  <c r="W28" i="16"/>
  <c r="W24" i="16"/>
  <c r="AH24" i="16" s="1"/>
  <c r="W20" i="16"/>
  <c r="AH20" i="16" s="1"/>
  <c r="W16" i="16"/>
  <c r="W12" i="16"/>
  <c r="W8" i="16"/>
  <c r="W4" i="16"/>
  <c r="D61" i="16"/>
  <c r="D57" i="16"/>
  <c r="D52" i="16"/>
  <c r="D48" i="16"/>
  <c r="D44" i="16"/>
  <c r="D40" i="16"/>
  <c r="D36" i="16"/>
  <c r="D32" i="16"/>
  <c r="D28" i="16"/>
  <c r="D24" i="16"/>
  <c r="D20" i="16"/>
  <c r="D16" i="16"/>
  <c r="D12" i="16"/>
  <c r="D8" i="16"/>
  <c r="D4" i="16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H2" i="15"/>
  <c r="D2" i="15"/>
  <c r="G2" i="15"/>
  <c r="C2" i="15"/>
  <c r="D51" i="15"/>
  <c r="C51" i="15"/>
  <c r="D50" i="15"/>
  <c r="C50" i="15"/>
  <c r="D46" i="15"/>
  <c r="C46" i="15"/>
  <c r="D45" i="15"/>
  <c r="C45" i="15"/>
  <c r="D43" i="15"/>
  <c r="C43" i="15"/>
  <c r="D42" i="15"/>
  <c r="C42" i="15"/>
  <c r="D40" i="15"/>
  <c r="C40" i="15"/>
  <c r="D38" i="15"/>
  <c r="C38" i="15"/>
  <c r="D36" i="15"/>
  <c r="C36" i="15"/>
  <c r="D35" i="15"/>
  <c r="C35" i="15"/>
  <c r="D27" i="15"/>
  <c r="C27" i="15"/>
  <c r="D26" i="15"/>
  <c r="C26" i="15"/>
  <c r="D24" i="15"/>
  <c r="C24" i="15"/>
  <c r="D25" i="15"/>
  <c r="C25" i="15"/>
  <c r="D20" i="15"/>
  <c r="C20" i="15"/>
  <c r="D19" i="15"/>
  <c r="C19" i="15"/>
  <c r="D22" i="15"/>
  <c r="C22" i="15"/>
  <c r="D21" i="15"/>
  <c r="C21" i="15"/>
  <c r="AG32" i="16" l="1"/>
  <c r="AH32" i="16"/>
  <c r="AG33" i="16"/>
  <c r="AG38" i="16"/>
  <c r="AG23" i="16"/>
  <c r="AG24" i="16"/>
  <c r="AG54" i="16"/>
  <c r="AG51" i="16"/>
  <c r="AH29" i="16"/>
  <c r="AG29" i="16"/>
  <c r="AG35" i="16"/>
  <c r="AH35" i="16"/>
  <c r="AH26" i="16"/>
  <c r="AG26" i="16"/>
  <c r="AG49" i="16"/>
  <c r="AH57" i="16"/>
  <c r="AG47" i="16"/>
  <c r="AG42" i="16"/>
  <c r="AG20" i="16"/>
  <c r="AG36" i="16"/>
  <c r="AG48" i="16"/>
  <c r="AG56" i="16"/>
  <c r="AG16" i="16"/>
  <c r="AH16" i="16"/>
  <c r="AG17" i="16"/>
  <c r="AH17" i="16"/>
  <c r="AH30" i="16"/>
  <c r="AG30" i="16"/>
  <c r="AG25" i="16"/>
  <c r="AG45" i="16"/>
  <c r="AH58" i="16"/>
  <c r="AG39" i="16"/>
  <c r="AG22" i="16"/>
  <c r="AG44" i="16"/>
  <c r="AH46" i="16"/>
  <c r="AH62" i="16"/>
  <c r="AG43" i="16"/>
  <c r="AH59" i="16"/>
  <c r="AG19" i="16"/>
  <c r="AH19" i="16"/>
  <c r="AH28" i="16"/>
  <c r="AG28" i="16"/>
  <c r="AG37" i="16"/>
  <c r="AH37" i="16"/>
  <c r="AH27" i="16"/>
  <c r="AG27" i="16"/>
  <c r="AG18" i="16"/>
  <c r="AH18" i="16"/>
  <c r="AG34" i="16"/>
  <c r="AH34" i="16"/>
  <c r="AG21" i="16"/>
  <c r="AG41" i="16"/>
  <c r="AH53" i="16"/>
  <c r="AH61" i="16"/>
  <c r="AG50" i="16"/>
  <c r="AG31" i="16"/>
  <c r="AI44" i="16" s="1"/>
  <c r="AG55" i="16"/>
  <c r="AH40" i="16"/>
  <c r="AH52" i="16"/>
  <c r="AH60" i="16"/>
  <c r="BJ44" i="65"/>
  <c r="G21" i="65"/>
  <c r="AD43" i="65"/>
  <c r="AD44" i="65"/>
  <c r="BI62" i="65"/>
  <c r="I20" i="65" s="1"/>
  <c r="AC62" i="65"/>
  <c r="H20" i="65" s="1"/>
  <c r="AD47" i="65"/>
  <c r="BJ47" i="65"/>
  <c r="BJ48" i="65"/>
  <c r="BJ52" i="65"/>
  <c r="BJ53" i="65"/>
  <c r="BJ57" i="65"/>
  <c r="BJ61" i="65"/>
  <c r="AD61" i="65"/>
  <c r="AD48" i="65"/>
  <c r="AD52" i="65"/>
  <c r="BJ49" i="65"/>
  <c r="AD53" i="65"/>
  <c r="BJ54" i="65"/>
  <c r="BJ58" i="65"/>
  <c r="AD58" i="65"/>
  <c r="AE42" i="65"/>
  <c r="AE41" i="65"/>
  <c r="AE40" i="65"/>
  <c r="AE39" i="65"/>
  <c r="BK40" i="65"/>
  <c r="BK41" i="65"/>
  <c r="BK38" i="65"/>
  <c r="BK37" i="65"/>
  <c r="BK36" i="65"/>
  <c r="BK35" i="65"/>
  <c r="BK34" i="65"/>
  <c r="BK33" i="65"/>
  <c r="BK32" i="65"/>
  <c r="BK31" i="65"/>
  <c r="BK42" i="65"/>
  <c r="BK30" i="65"/>
  <c r="AE36" i="65"/>
  <c r="AE32" i="65"/>
  <c r="AE30" i="65"/>
  <c r="BK28" i="65"/>
  <c r="AE26" i="65"/>
  <c r="BK24" i="65"/>
  <c r="AE37" i="65"/>
  <c r="AE33" i="65"/>
  <c r="AE29" i="65"/>
  <c r="BK27" i="65"/>
  <c r="AE25" i="65"/>
  <c r="BK23" i="65"/>
  <c r="BK39" i="65"/>
  <c r="AE38" i="65"/>
  <c r="AE34" i="65"/>
  <c r="AE28" i="65"/>
  <c r="BK26" i="65"/>
  <c r="AE24" i="65"/>
  <c r="BK22" i="65"/>
  <c r="AE20" i="65"/>
  <c r="BK18" i="65"/>
  <c r="AE16" i="65"/>
  <c r="BK14" i="65"/>
  <c r="AE12" i="65"/>
  <c r="BK10" i="65"/>
  <c r="AE8" i="65"/>
  <c r="BK6" i="65"/>
  <c r="BK29" i="65"/>
  <c r="AE27" i="65"/>
  <c r="BK21" i="65"/>
  <c r="AE19" i="65"/>
  <c r="BK17" i="65"/>
  <c r="AE15" i="65"/>
  <c r="BK13" i="65"/>
  <c r="AE11" i="65"/>
  <c r="BK9" i="65"/>
  <c r="AE7" i="65"/>
  <c r="BK5" i="65"/>
  <c r="AE31" i="65"/>
  <c r="BK25" i="65"/>
  <c r="AE23" i="65"/>
  <c r="AE22" i="65"/>
  <c r="F22" i="65"/>
  <c r="E23" i="65" s="1"/>
  <c r="BK20" i="65"/>
  <c r="AE18" i="65"/>
  <c r="BK16" i="65"/>
  <c r="AE14" i="65"/>
  <c r="BK12" i="65"/>
  <c r="AE10" i="65"/>
  <c r="BK8" i="65"/>
  <c r="AE6" i="65"/>
  <c r="BK4" i="65"/>
  <c r="BK15" i="65"/>
  <c r="AE13" i="65"/>
  <c r="AE4" i="65"/>
  <c r="BK2" i="65"/>
  <c r="AE35" i="65"/>
  <c r="BK11" i="65"/>
  <c r="AE9" i="65"/>
  <c r="AE3" i="65"/>
  <c r="BK19" i="65"/>
  <c r="AE21" i="65"/>
  <c r="BK7" i="65"/>
  <c r="AE5" i="65"/>
  <c r="AE2" i="65"/>
  <c r="AE17" i="65"/>
  <c r="BK3" i="65"/>
  <c r="AD51" i="65"/>
  <c r="AD45" i="65"/>
  <c r="AD50" i="65"/>
  <c r="BJ45" i="65"/>
  <c r="AD55" i="65"/>
  <c r="BJ50" i="65"/>
  <c r="AD57" i="65"/>
  <c r="BJ55" i="65"/>
  <c r="BJ59" i="65"/>
  <c r="AD59" i="65"/>
  <c r="AD46" i="65"/>
  <c r="AD49" i="65"/>
  <c r="BJ46" i="65"/>
  <c r="AD54" i="65"/>
  <c r="BJ51" i="65"/>
  <c r="AD56" i="65"/>
  <c r="BJ56" i="65"/>
  <c r="BJ60" i="65"/>
  <c r="AD60" i="65"/>
  <c r="H28" i="63"/>
  <c r="T55" i="16"/>
  <c r="T43" i="16"/>
  <c r="T59" i="16"/>
  <c r="T40" i="16"/>
  <c r="T56" i="16"/>
  <c r="T37" i="16"/>
  <c r="T53" i="16"/>
  <c r="T34" i="16"/>
  <c r="T50" i="16"/>
  <c r="T30" i="16"/>
  <c r="T46" i="16"/>
  <c r="T62" i="16"/>
  <c r="T31" i="16"/>
  <c r="T47" i="16"/>
  <c r="T28" i="16"/>
  <c r="T60" i="16"/>
  <c r="T41" i="16"/>
  <c r="T57" i="16"/>
  <c r="T38" i="16"/>
  <c r="T35" i="16"/>
  <c r="T51" i="16"/>
  <c r="T32" i="16"/>
  <c r="T48" i="16"/>
  <c r="T29" i="16"/>
  <c r="T45" i="16"/>
  <c r="T61" i="16"/>
  <c r="T42" i="16"/>
  <c r="T58" i="16"/>
  <c r="T44" i="16"/>
  <c r="T54" i="16"/>
  <c r="T39" i="16"/>
  <c r="T36" i="16"/>
  <c r="T52" i="16"/>
  <c r="T33" i="16"/>
  <c r="T49" i="16"/>
  <c r="H23" i="16"/>
  <c r="H39" i="16"/>
  <c r="H55" i="16"/>
  <c r="H49" i="16"/>
  <c r="H30" i="16"/>
  <c r="H44" i="16"/>
  <c r="H42" i="16"/>
  <c r="H43" i="16"/>
  <c r="H32" i="16"/>
  <c r="H33" i="16"/>
  <c r="H62" i="16"/>
  <c r="H28" i="16"/>
  <c r="H60" i="16"/>
  <c r="H53" i="16"/>
  <c r="H22" i="16"/>
  <c r="H31" i="16"/>
  <c r="H41" i="16"/>
  <c r="H36" i="16"/>
  <c r="H27" i="16"/>
  <c r="H59" i="16"/>
  <c r="H37" i="16"/>
  <c r="H38" i="16"/>
  <c r="H48" i="16"/>
  <c r="H50" i="16"/>
  <c r="H47" i="16"/>
  <c r="H25" i="16"/>
  <c r="H57" i="16"/>
  <c r="H46" i="16"/>
  <c r="H52" i="16"/>
  <c r="H58" i="16"/>
  <c r="H35" i="16"/>
  <c r="H51" i="16"/>
  <c r="H29" i="16"/>
  <c r="H45" i="16"/>
  <c r="H61" i="16"/>
  <c r="H26" i="16"/>
  <c r="H54" i="16"/>
  <c r="H24" i="16"/>
  <c r="H40" i="16"/>
  <c r="H56" i="16"/>
  <c r="H34" i="16"/>
  <c r="CG35" i="16"/>
  <c r="CN43" i="16"/>
  <c r="CG37" i="16"/>
  <c r="CG41" i="16"/>
  <c r="CM41" i="16"/>
  <c r="CM49" i="16"/>
  <c r="CG60" i="16"/>
  <c r="CF62" i="16"/>
  <c r="CM57" i="16"/>
  <c r="BY22" i="16"/>
  <c r="BZ15" i="16"/>
  <c r="BZ16" i="16"/>
  <c r="CN35" i="16"/>
  <c r="CM59" i="16"/>
  <c r="CF57" i="16"/>
  <c r="CF23" i="16"/>
  <c r="CM33" i="16"/>
  <c r="CG31" i="16"/>
  <c r="CG39" i="16"/>
  <c r="CN53" i="16"/>
  <c r="CN61" i="16"/>
  <c r="CG28" i="16"/>
  <c r="CN38" i="16"/>
  <c r="CM50" i="16"/>
  <c r="CF52" i="16"/>
  <c r="CN62" i="16"/>
  <c r="CM36" i="16"/>
  <c r="CF30" i="16"/>
  <c r="CN44" i="16"/>
  <c r="CG38" i="16"/>
  <c r="CM52" i="16"/>
  <c r="CF46" i="16"/>
  <c r="CN60" i="16"/>
  <c r="CF27" i="16"/>
  <c r="CM45" i="16"/>
  <c r="CG47" i="16"/>
  <c r="CG55" i="16"/>
  <c r="CM42" i="16"/>
  <c r="CG56" i="16"/>
  <c r="CN46" i="16"/>
  <c r="CM39" i="16"/>
  <c r="CN47" i="16"/>
  <c r="CN51" i="16"/>
  <c r="CM55" i="16"/>
  <c r="CN34" i="16"/>
  <c r="CN58" i="16"/>
  <c r="CN40" i="16"/>
  <c r="CM48" i="16"/>
  <c r="CN56" i="16"/>
  <c r="CN32" i="16"/>
  <c r="CM37" i="16"/>
  <c r="CN54" i="16"/>
  <c r="CF45" i="16"/>
  <c r="CF49" i="16"/>
  <c r="CG61" i="16"/>
  <c r="CG24" i="16"/>
  <c r="CF59" i="16"/>
  <c r="CF44" i="16"/>
  <c r="CM47" i="16"/>
  <c r="CN55" i="16"/>
  <c r="CN59" i="16"/>
  <c r="CF53" i="16"/>
  <c r="CN33" i="16"/>
  <c r="CM61" i="16"/>
  <c r="CM34" i="16"/>
  <c r="CO34" i="16" s="1"/>
  <c r="CG36" i="16"/>
  <c r="CM58" i="16"/>
  <c r="CG26" i="16"/>
  <c r="CF34" i="16"/>
  <c r="BY28" i="16"/>
  <c r="CN48" i="16"/>
  <c r="CG42" i="16"/>
  <c r="CN39" i="16"/>
  <c r="CO39" i="16" s="1"/>
  <c r="CF51" i="16"/>
  <c r="CG48" i="16"/>
  <c r="CG54" i="16"/>
  <c r="CM32" i="16"/>
  <c r="CM53" i="16"/>
  <c r="CM40" i="16"/>
  <c r="CO40" i="16" s="1"/>
  <c r="CM56" i="16"/>
  <c r="CF50" i="16"/>
  <c r="CM54" i="16"/>
  <c r="CM35" i="16"/>
  <c r="CG25" i="16"/>
  <c r="CG29" i="16"/>
  <c r="CM43" i="16"/>
  <c r="CO43" i="16" s="1"/>
  <c r="CM51" i="16"/>
  <c r="CO51" i="16" s="1"/>
  <c r="CN41" i="16"/>
  <c r="CN49" i="16"/>
  <c r="CG43" i="16"/>
  <c r="CM38" i="16"/>
  <c r="CO38" i="16" s="1"/>
  <c r="CM46" i="16"/>
  <c r="CO46" i="16" s="1"/>
  <c r="CF40" i="16"/>
  <c r="CN50" i="16"/>
  <c r="CM62" i="16"/>
  <c r="CN36" i="16"/>
  <c r="CM44" i="16"/>
  <c r="CO44" i="16" s="1"/>
  <c r="CN52" i="16"/>
  <c r="CM60" i="16"/>
  <c r="CF58" i="16"/>
  <c r="CN37" i="16"/>
  <c r="CN45" i="16"/>
  <c r="CN57" i="16"/>
  <c r="CG32" i="16"/>
  <c r="CN42" i="16"/>
  <c r="CG33" i="16"/>
  <c r="CH33" i="16" s="1"/>
  <c r="CF37" i="16"/>
  <c r="CH37" i="16" s="1"/>
  <c r="CF41" i="16"/>
  <c r="CH41" i="16" s="1"/>
  <c r="CG57" i="16"/>
  <c r="CG23" i="16"/>
  <c r="CF39" i="16"/>
  <c r="CH39" i="16" s="1"/>
  <c r="CF60" i="16"/>
  <c r="CG30" i="16"/>
  <c r="CF38" i="16"/>
  <c r="CG46" i="16"/>
  <c r="CG62" i="16"/>
  <c r="CH62" i="16" s="1"/>
  <c r="CG22" i="16"/>
  <c r="CH22" i="16" s="1"/>
  <c r="CF47" i="16"/>
  <c r="CF31" i="16"/>
  <c r="CF28" i="16"/>
  <c r="CG52" i="16"/>
  <c r="CG27" i="16"/>
  <c r="CF35" i="16"/>
  <c r="CF55" i="16"/>
  <c r="CF56" i="16"/>
  <c r="CF25" i="16"/>
  <c r="CF29" i="16"/>
  <c r="CG45" i="16"/>
  <c r="CG49" i="16"/>
  <c r="CG53" i="16"/>
  <c r="CF61" i="16"/>
  <c r="CF43" i="16"/>
  <c r="CG51" i="16"/>
  <c r="CF24" i="16"/>
  <c r="CF36" i="16"/>
  <c r="CG40" i="16"/>
  <c r="CF48" i="16"/>
  <c r="CF26" i="16"/>
  <c r="CG34" i="16"/>
  <c r="CF42" i="16"/>
  <c r="CG50" i="16"/>
  <c r="CF54" i="16"/>
  <c r="CG58" i="16"/>
  <c r="CG59" i="16"/>
  <c r="CF32" i="16"/>
  <c r="CG44" i="16"/>
  <c r="BZ26" i="16"/>
  <c r="BZ24" i="16"/>
  <c r="BZ17" i="16"/>
  <c r="BZ14" i="16"/>
  <c r="BZ27" i="16"/>
  <c r="BZ28" i="16"/>
  <c r="BY23" i="16"/>
  <c r="BY13" i="16"/>
  <c r="BY21" i="16"/>
  <c r="BY18" i="16"/>
  <c r="BY20" i="16"/>
  <c r="BY25" i="16"/>
  <c r="BZ21" i="16"/>
  <c r="BZ18" i="16"/>
  <c r="BY27" i="16"/>
  <c r="BY26" i="16"/>
  <c r="BY24" i="16"/>
  <c r="BY17" i="16"/>
  <c r="BZ25" i="16"/>
  <c r="BZ20" i="16"/>
  <c r="BY15" i="16"/>
  <c r="CA15" i="16" s="1"/>
  <c r="BY19" i="16"/>
  <c r="CA19" i="16" s="1"/>
  <c r="BY12" i="16"/>
  <c r="CA22" i="16"/>
  <c r="BZ13" i="16"/>
  <c r="BZ23" i="16"/>
  <c r="BY14" i="16"/>
  <c r="BY16" i="16"/>
  <c r="BY29" i="16"/>
  <c r="BZ29" i="16"/>
  <c r="BZ12" i="16"/>
  <c r="BO23" i="16"/>
  <c r="BO39" i="16"/>
  <c r="BO55" i="16"/>
  <c r="BM22" i="16"/>
  <c r="BD16" i="16"/>
  <c r="BO33" i="16"/>
  <c r="BO30" i="16"/>
  <c r="BO60" i="16"/>
  <c r="BR8" i="16"/>
  <c r="BR32" i="16"/>
  <c r="BR18" i="16"/>
  <c r="BR58" i="16"/>
  <c r="BR33" i="16"/>
  <c r="BO27" i="16"/>
  <c r="BO38" i="16"/>
  <c r="BO49" i="16"/>
  <c r="BO44" i="16"/>
  <c r="BR16" i="16"/>
  <c r="BR40" i="16"/>
  <c r="BR48" i="16"/>
  <c r="BR5" i="16"/>
  <c r="BR37" i="16"/>
  <c r="BR6" i="16"/>
  <c r="BR42" i="16"/>
  <c r="BO43" i="16"/>
  <c r="BO37" i="16"/>
  <c r="BO48" i="16"/>
  <c r="BO22" i="16"/>
  <c r="BN7" i="16"/>
  <c r="BN8" i="16" s="1"/>
  <c r="BN9" i="16" s="1"/>
  <c r="BN10" i="16" s="1"/>
  <c r="BN11" i="16" s="1"/>
  <c r="BN12" i="16" s="1"/>
  <c r="BN13" i="16" s="1"/>
  <c r="BN14" i="16" s="1"/>
  <c r="BN15" i="16" s="1"/>
  <c r="BN16" i="16" s="1"/>
  <c r="BN17" i="16" s="1"/>
  <c r="BN18" i="16" s="1"/>
  <c r="BN19" i="16" s="1"/>
  <c r="BN20" i="16" s="1"/>
  <c r="BN21" i="16" s="1"/>
  <c r="BN22" i="16" s="1"/>
  <c r="BR29" i="16"/>
  <c r="BR11" i="16"/>
  <c r="BR27" i="16"/>
  <c r="BR59" i="16"/>
  <c r="BR38" i="16"/>
  <c r="BO47" i="16"/>
  <c r="BO41" i="16"/>
  <c r="BO52" i="16"/>
  <c r="BR12" i="16"/>
  <c r="BR20" i="16"/>
  <c r="BR28" i="16"/>
  <c r="BR36" i="16"/>
  <c r="BR44" i="16"/>
  <c r="BR52" i="16"/>
  <c r="BR60" i="16"/>
  <c r="BR21" i="16"/>
  <c r="BR53" i="16"/>
  <c r="BR10" i="16"/>
  <c r="BR22" i="16"/>
  <c r="BR34" i="16"/>
  <c r="BR50" i="16"/>
  <c r="BR17" i="16"/>
  <c r="BR49" i="16"/>
  <c r="BO62" i="16"/>
  <c r="BO28" i="16"/>
  <c r="BO42" i="16"/>
  <c r="BR24" i="16"/>
  <c r="BR56" i="16"/>
  <c r="BR30" i="16"/>
  <c r="BO59" i="16"/>
  <c r="BO53" i="16"/>
  <c r="BO32" i="16"/>
  <c r="BO50" i="16"/>
  <c r="BR4" i="16"/>
  <c r="BR61" i="16"/>
  <c r="BR19" i="16"/>
  <c r="BR35" i="16"/>
  <c r="BR43" i="16"/>
  <c r="BR51" i="16"/>
  <c r="BD17" i="16"/>
  <c r="BR25" i="16"/>
  <c r="BR57" i="16"/>
  <c r="BR14" i="16"/>
  <c r="BR54" i="16"/>
  <c r="BO31" i="16"/>
  <c r="BO25" i="16"/>
  <c r="BO57" i="16"/>
  <c r="BO46" i="16"/>
  <c r="BO36" i="16"/>
  <c r="BO58" i="16"/>
  <c r="BO35" i="16"/>
  <c r="BO51" i="16"/>
  <c r="BO29" i="16"/>
  <c r="BO45" i="16"/>
  <c r="BO61" i="16"/>
  <c r="BO26" i="16"/>
  <c r="BO54" i="16"/>
  <c r="BO24" i="16"/>
  <c r="BO40" i="16"/>
  <c r="BO56" i="16"/>
  <c r="BO34" i="16"/>
  <c r="BR13" i="16"/>
  <c r="BR45" i="16"/>
  <c r="BD18" i="16"/>
  <c r="BD19" i="16" s="1"/>
  <c r="BD20" i="16" s="1"/>
  <c r="BD21" i="16" s="1"/>
  <c r="BD22" i="16" s="1"/>
  <c r="BD23" i="16" s="1"/>
  <c r="BD24" i="16" s="1"/>
  <c r="BD25" i="16" s="1"/>
  <c r="BD26" i="16" s="1"/>
  <c r="BD27" i="16" s="1"/>
  <c r="BD28" i="16" s="1"/>
  <c r="BD29" i="16" s="1"/>
  <c r="BD30" i="16" s="1"/>
  <c r="BD31" i="16" s="1"/>
  <c r="BD32" i="16" s="1"/>
  <c r="BD33" i="16" s="1"/>
  <c r="BD34" i="16" s="1"/>
  <c r="BD35" i="16" s="1"/>
  <c r="BD36" i="16" s="1"/>
  <c r="BD37" i="16" s="1"/>
  <c r="BD38" i="16" s="1"/>
  <c r="BD39" i="16" s="1"/>
  <c r="BD40" i="16" s="1"/>
  <c r="BD41" i="16" s="1"/>
  <c r="BD42" i="16" s="1"/>
  <c r="BD43" i="16" s="1"/>
  <c r="BD44" i="16" s="1"/>
  <c r="BD45" i="16" s="1"/>
  <c r="BD46" i="16" s="1"/>
  <c r="BD47" i="16" s="1"/>
  <c r="BD48" i="16" s="1"/>
  <c r="BD49" i="16" s="1"/>
  <c r="BD50" i="16" s="1"/>
  <c r="BD51" i="16" s="1"/>
  <c r="BD52" i="16" s="1"/>
  <c r="BD53" i="16" s="1"/>
  <c r="BD54" i="16" s="1"/>
  <c r="BD55" i="16" s="1"/>
  <c r="BD56" i="16" s="1"/>
  <c r="BD57" i="16" s="1"/>
  <c r="BD58" i="16" s="1"/>
  <c r="BD59" i="16" s="1"/>
  <c r="BD60" i="16" s="1"/>
  <c r="BD61" i="16" s="1"/>
  <c r="BD62" i="16" s="1"/>
  <c r="BR7" i="16"/>
  <c r="BR15" i="16"/>
  <c r="BR23" i="16"/>
  <c r="BR31" i="16"/>
  <c r="BR39" i="16"/>
  <c r="BR47" i="16"/>
  <c r="BR55" i="16"/>
  <c r="BR9" i="16"/>
  <c r="BR41" i="16"/>
  <c r="BR26" i="16"/>
  <c r="BR46" i="16"/>
  <c r="BR62" i="16"/>
  <c r="AO4" i="16"/>
  <c r="AM28" i="16"/>
  <c r="AM29" i="16" s="1"/>
  <c r="AM30" i="16" s="1"/>
  <c r="AM31" i="16" s="1"/>
  <c r="AM32" i="16" s="1"/>
  <c r="AM33" i="16" s="1"/>
  <c r="AM34" i="16" s="1"/>
  <c r="AM35" i="16" s="1"/>
  <c r="AM36" i="16" s="1"/>
  <c r="AM37" i="16" s="1"/>
  <c r="AM38" i="16" s="1"/>
  <c r="AM39" i="16" s="1"/>
  <c r="AM40" i="16" s="1"/>
  <c r="AM41" i="16" s="1"/>
  <c r="AO6" i="16"/>
  <c r="I15" i="16"/>
  <c r="BB24" i="16"/>
  <c r="BB40" i="16"/>
  <c r="BG20" i="16"/>
  <c r="BB25" i="16"/>
  <c r="BB30" i="16"/>
  <c r="BB46" i="16"/>
  <c r="BB32" i="16"/>
  <c r="BB52" i="16"/>
  <c r="BB45" i="16"/>
  <c r="BB54" i="16"/>
  <c r="BB48" i="16"/>
  <c r="BB41" i="16"/>
  <c r="BB36" i="16"/>
  <c r="BB56" i="16"/>
  <c r="BB57" i="16"/>
  <c r="BB62" i="16"/>
  <c r="BB51" i="16"/>
  <c r="BB61" i="16"/>
  <c r="BB34" i="16"/>
  <c r="BB50" i="16"/>
  <c r="BB23" i="16"/>
  <c r="BB55" i="16"/>
  <c r="BG32" i="16"/>
  <c r="BG44" i="16"/>
  <c r="BB28" i="16"/>
  <c r="BB44" i="16"/>
  <c r="BB60" i="16"/>
  <c r="BB37" i="16"/>
  <c r="BB53" i="16"/>
  <c r="BB26" i="16"/>
  <c r="BB42" i="16"/>
  <c r="BB58" i="16"/>
  <c r="BB31" i="16"/>
  <c r="BB47" i="16"/>
  <c r="BB35" i="16"/>
  <c r="BB29" i="16"/>
  <c r="BB39" i="16"/>
  <c r="BB33" i="16"/>
  <c r="BB49" i="16"/>
  <c r="BB38" i="16"/>
  <c r="BB27" i="16"/>
  <c r="BB43" i="16"/>
  <c r="BB59" i="16"/>
  <c r="AT28" i="16"/>
  <c r="AU28" i="16"/>
  <c r="AT60" i="16"/>
  <c r="AU60" i="16"/>
  <c r="Y5" i="16"/>
  <c r="AT5" i="16"/>
  <c r="AU5" i="16"/>
  <c r="Y37" i="16"/>
  <c r="AT37" i="16"/>
  <c r="AU37" i="16"/>
  <c r="Y53" i="16"/>
  <c r="AT53" i="16"/>
  <c r="AU53" i="16"/>
  <c r="Y11" i="16"/>
  <c r="AT11" i="16"/>
  <c r="AU11" i="16"/>
  <c r="Y43" i="16"/>
  <c r="AT43" i="16"/>
  <c r="AU43" i="16"/>
  <c r="X18" i="16"/>
  <c r="AT18" i="16"/>
  <c r="AU18" i="16"/>
  <c r="X50" i="16"/>
  <c r="AT50" i="16"/>
  <c r="AU50" i="16"/>
  <c r="AT16" i="16"/>
  <c r="AU16" i="16"/>
  <c r="AT32" i="16"/>
  <c r="AU32" i="16"/>
  <c r="Y9" i="16"/>
  <c r="AT9" i="16"/>
  <c r="AU9" i="16"/>
  <c r="Y25" i="16"/>
  <c r="AT25" i="16"/>
  <c r="AU25" i="16"/>
  <c r="X57" i="16"/>
  <c r="AT57" i="16"/>
  <c r="AU57" i="16"/>
  <c r="X31" i="16"/>
  <c r="AT31" i="16"/>
  <c r="AU31" i="16"/>
  <c r="X47" i="16"/>
  <c r="AT47" i="16"/>
  <c r="AU47" i="16"/>
  <c r="X22" i="16"/>
  <c r="AT22" i="16"/>
  <c r="AU22" i="16"/>
  <c r="X38" i="16"/>
  <c r="AT38" i="16"/>
  <c r="AU38" i="16"/>
  <c r="AU4" i="16"/>
  <c r="AT4" i="16"/>
  <c r="AT20" i="16"/>
  <c r="AU20" i="16"/>
  <c r="AT36" i="16"/>
  <c r="AU36" i="16"/>
  <c r="AT52" i="16"/>
  <c r="AU52" i="16"/>
  <c r="Y13" i="16"/>
  <c r="AT13" i="16"/>
  <c r="AU13" i="16"/>
  <c r="Y29" i="16"/>
  <c r="AT29" i="16"/>
  <c r="AU29" i="16"/>
  <c r="Y45" i="16"/>
  <c r="AT45" i="16"/>
  <c r="AU45" i="16"/>
  <c r="X61" i="16"/>
  <c r="AT61" i="16"/>
  <c r="AU61" i="16"/>
  <c r="X19" i="16"/>
  <c r="AT19" i="16"/>
  <c r="AU19" i="16"/>
  <c r="X35" i="16"/>
  <c r="AT35" i="16"/>
  <c r="AU35" i="16"/>
  <c r="Y51" i="16"/>
  <c r="AT51" i="16"/>
  <c r="AU51" i="16"/>
  <c r="X10" i="16"/>
  <c r="AT10" i="16"/>
  <c r="AU10" i="16"/>
  <c r="X26" i="16"/>
  <c r="AT26" i="16"/>
  <c r="AU26" i="16"/>
  <c r="X42" i="16"/>
  <c r="AT42" i="16"/>
  <c r="AU42" i="16"/>
  <c r="X58" i="16"/>
  <c r="AT58" i="16"/>
  <c r="AU58" i="16"/>
  <c r="AT12" i="16"/>
  <c r="AU12" i="16"/>
  <c r="AT44" i="16"/>
  <c r="AU44" i="16"/>
  <c r="Y21" i="16"/>
  <c r="AT21" i="16"/>
  <c r="AU21" i="16"/>
  <c r="Y27" i="16"/>
  <c r="AT27" i="16"/>
  <c r="AU27" i="16"/>
  <c r="Y59" i="16"/>
  <c r="AT59" i="16"/>
  <c r="AU59" i="16"/>
  <c r="X34" i="16"/>
  <c r="AT34" i="16"/>
  <c r="AU34" i="16"/>
  <c r="AT48" i="16"/>
  <c r="AU48" i="16"/>
  <c r="Y41" i="16"/>
  <c r="AT41" i="16"/>
  <c r="AU41" i="16"/>
  <c r="X15" i="16"/>
  <c r="AT15" i="16"/>
  <c r="AU15" i="16"/>
  <c r="Y6" i="16"/>
  <c r="AT6" i="16"/>
  <c r="AU6" i="16"/>
  <c r="Y54" i="16"/>
  <c r="AT54" i="16"/>
  <c r="AU54" i="16"/>
  <c r="AT8" i="16"/>
  <c r="AU8" i="16"/>
  <c r="AT24" i="16"/>
  <c r="AU24" i="16"/>
  <c r="AT40" i="16"/>
  <c r="AU40" i="16"/>
  <c r="AT56" i="16"/>
  <c r="AU56" i="16"/>
  <c r="Y17" i="16"/>
  <c r="AT17" i="16"/>
  <c r="AU17" i="16"/>
  <c r="X33" i="16"/>
  <c r="AT33" i="16"/>
  <c r="AU33" i="16"/>
  <c r="Y49" i="16"/>
  <c r="AT49" i="16"/>
  <c r="AU49" i="16"/>
  <c r="X7" i="16"/>
  <c r="AT7" i="16"/>
  <c r="AU7" i="16"/>
  <c r="X23" i="16"/>
  <c r="AT23" i="16"/>
  <c r="AU23" i="16"/>
  <c r="X39" i="16"/>
  <c r="AT39" i="16"/>
  <c r="AU39" i="16"/>
  <c r="X55" i="16"/>
  <c r="AT55" i="16"/>
  <c r="AU55" i="16"/>
  <c r="Y14" i="16"/>
  <c r="AT14" i="16"/>
  <c r="AU14" i="16"/>
  <c r="Y30" i="16"/>
  <c r="AT30" i="16"/>
  <c r="AU30" i="16"/>
  <c r="X46" i="16"/>
  <c r="AT46" i="16"/>
  <c r="AU46" i="16"/>
  <c r="X62" i="16"/>
  <c r="AT62" i="16"/>
  <c r="AU62" i="16"/>
  <c r="BG33" i="16"/>
  <c r="BG26" i="16"/>
  <c r="AU10" i="28"/>
  <c r="AU11" i="28"/>
  <c r="O10" i="28"/>
  <c r="AU9" i="28"/>
  <c r="O11" i="28"/>
  <c r="O9" i="28"/>
  <c r="BG37" i="16"/>
  <c r="BG45" i="16"/>
  <c r="BG53" i="16"/>
  <c r="BG30" i="16"/>
  <c r="BG46" i="16"/>
  <c r="BG60" i="16"/>
  <c r="BG34" i="16"/>
  <c r="BG42" i="16"/>
  <c r="BG50" i="16"/>
  <c r="BG19" i="16"/>
  <c r="BG29" i="16"/>
  <c r="BG35" i="16"/>
  <c r="BG54" i="16"/>
  <c r="BG62" i="16"/>
  <c r="BG17" i="16"/>
  <c r="BG61" i="16"/>
  <c r="BG39" i="16"/>
  <c r="BG24" i="16"/>
  <c r="BG41" i="16"/>
  <c r="BG49" i="16"/>
  <c r="BG57" i="16"/>
  <c r="BG43" i="16"/>
  <c r="BG38" i="16"/>
  <c r="BG58" i="16"/>
  <c r="BK23" i="16"/>
  <c r="BG51" i="16"/>
  <c r="BG56" i="16"/>
  <c r="BG31" i="16"/>
  <c r="BG21" i="16"/>
  <c r="BG27" i="16"/>
  <c r="BG55" i="16"/>
  <c r="BG40" i="16"/>
  <c r="BG22" i="16"/>
  <c r="BG25" i="16"/>
  <c r="BG28" i="16"/>
  <c r="BG48" i="16"/>
  <c r="BL25" i="16"/>
  <c r="BL26" i="16" s="1"/>
  <c r="BL27" i="16" s="1"/>
  <c r="BL28" i="16" s="1"/>
  <c r="BL29" i="16" s="1"/>
  <c r="BG23" i="16"/>
  <c r="BG47" i="16"/>
  <c r="BG59" i="16"/>
  <c r="BG36" i="16"/>
  <c r="BG52" i="16"/>
  <c r="BG18" i="16"/>
  <c r="BG16" i="16"/>
  <c r="BH23" i="16"/>
  <c r="BJ22" i="16"/>
  <c r="O15" i="28"/>
  <c r="O14" i="28"/>
  <c r="O36" i="28"/>
  <c r="O47" i="28"/>
  <c r="O46" i="28"/>
  <c r="O44" i="28"/>
  <c r="O33" i="28"/>
  <c r="G6" i="28"/>
  <c r="P2" i="28"/>
  <c r="AU34" i="28"/>
  <c r="O32" i="28"/>
  <c r="O35" i="28"/>
  <c r="O42" i="28"/>
  <c r="O53" i="28"/>
  <c r="O21" i="28"/>
  <c r="AU47" i="28"/>
  <c r="AU56" i="28"/>
  <c r="AU19" i="28"/>
  <c r="AU18" i="28"/>
  <c r="O20" i="28"/>
  <c r="O31" i="28"/>
  <c r="O30" i="28"/>
  <c r="O49" i="28"/>
  <c r="AU61" i="28"/>
  <c r="O60" i="28"/>
  <c r="O16" i="28"/>
  <c r="O51" i="28"/>
  <c r="O19" i="28"/>
  <c r="O58" i="28"/>
  <c r="O26" i="28"/>
  <c r="O52" i="28"/>
  <c r="O37" i="28"/>
  <c r="AU32" i="28"/>
  <c r="AT62" i="28"/>
  <c r="I5" i="28" s="1"/>
  <c r="AU45" i="28"/>
  <c r="AU48" i="28"/>
  <c r="AU35" i="28"/>
  <c r="N62" i="28"/>
  <c r="H5" i="28" s="1"/>
  <c r="O17" i="28"/>
  <c r="AU51" i="28"/>
  <c r="AU40" i="28"/>
  <c r="AU27" i="28"/>
  <c r="AV5" i="28"/>
  <c r="AV7" i="28"/>
  <c r="AV9" i="28"/>
  <c r="AV11" i="28"/>
  <c r="AV10" i="28"/>
  <c r="AV4" i="28"/>
  <c r="AV12" i="28"/>
  <c r="AV3" i="28"/>
  <c r="P4" i="28"/>
  <c r="P8" i="28"/>
  <c r="P12" i="28"/>
  <c r="AV8" i="28"/>
  <c r="AV2" i="28"/>
  <c r="P7" i="28"/>
  <c r="P11" i="28"/>
  <c r="AV6" i="28"/>
  <c r="P10" i="28"/>
  <c r="P3" i="28"/>
  <c r="P9" i="28"/>
  <c r="P6" i="28"/>
  <c r="P5" i="28"/>
  <c r="AU43" i="28"/>
  <c r="AU39" i="28"/>
  <c r="AU57" i="28"/>
  <c r="AU41" i="28"/>
  <c r="AU26" i="28"/>
  <c r="AU54" i="28"/>
  <c r="AU46" i="28"/>
  <c r="AU38" i="28"/>
  <c r="AU28" i="28"/>
  <c r="AU33" i="28"/>
  <c r="AU25" i="28"/>
  <c r="AU16" i="28"/>
  <c r="AU17" i="28"/>
  <c r="O48" i="28"/>
  <c r="O28" i="28"/>
  <c r="O12" i="28"/>
  <c r="O59" i="28"/>
  <c r="O43" i="28"/>
  <c r="O27" i="28"/>
  <c r="O54" i="28"/>
  <c r="O38" i="28"/>
  <c r="O22" i="28"/>
  <c r="O61" i="28"/>
  <c r="O45" i="28"/>
  <c r="O29" i="28"/>
  <c r="O13" i="28"/>
  <c r="AU59" i="28"/>
  <c r="AU22" i="28"/>
  <c r="AU53" i="28"/>
  <c r="AU37" i="28"/>
  <c r="AU60" i="28"/>
  <c r="AU52" i="28"/>
  <c r="AU44" i="28"/>
  <c r="AU36" i="28"/>
  <c r="AU24" i="28"/>
  <c r="AU31" i="28"/>
  <c r="AU23" i="28"/>
  <c r="AU14" i="28"/>
  <c r="AU15" i="28"/>
  <c r="O40" i="28"/>
  <c r="O24" i="28"/>
  <c r="O55" i="28"/>
  <c r="O39" i="28"/>
  <c r="O23" i="28"/>
  <c r="O50" i="28"/>
  <c r="O34" i="28"/>
  <c r="O18" i="28"/>
  <c r="O56" i="28"/>
  <c r="O57" i="28"/>
  <c r="O41" i="28"/>
  <c r="O25" i="28"/>
  <c r="AU55" i="28"/>
  <c r="AU30" i="28"/>
  <c r="AU49" i="28"/>
  <c r="AU58" i="28"/>
  <c r="AU50" i="28"/>
  <c r="AU42" i="28"/>
  <c r="AU21" i="28"/>
  <c r="AU29" i="28"/>
  <c r="AU20" i="28"/>
  <c r="AU12" i="28"/>
  <c r="AU13" i="28"/>
  <c r="F7" i="28"/>
  <c r="E8" i="28" s="1"/>
  <c r="X41" i="16"/>
  <c r="X51" i="16"/>
  <c r="I8" i="15"/>
  <c r="I16" i="15"/>
  <c r="I24" i="15"/>
  <c r="I32" i="15"/>
  <c r="I40" i="15"/>
  <c r="I48" i="15"/>
  <c r="I56" i="15"/>
  <c r="Y34" i="16"/>
  <c r="I4" i="15"/>
  <c r="I12" i="15"/>
  <c r="I20" i="15"/>
  <c r="I28" i="15"/>
  <c r="I36" i="15"/>
  <c r="I44" i="15"/>
  <c r="I52" i="15"/>
  <c r="I60" i="15"/>
  <c r="Y50" i="16"/>
  <c r="X59" i="16"/>
  <c r="I6" i="15"/>
  <c r="I14" i="15"/>
  <c r="I22" i="15"/>
  <c r="I30" i="15"/>
  <c r="I38" i="15"/>
  <c r="I46" i="15"/>
  <c r="I54" i="15"/>
  <c r="I3" i="15"/>
  <c r="I7" i="15"/>
  <c r="I11" i="15"/>
  <c r="I15" i="15"/>
  <c r="I19" i="15"/>
  <c r="I23" i="15"/>
  <c r="I27" i="15"/>
  <c r="I31" i="15"/>
  <c r="I35" i="15"/>
  <c r="I39" i="15"/>
  <c r="I43" i="15"/>
  <c r="I47" i="15"/>
  <c r="I51" i="15"/>
  <c r="I55" i="15"/>
  <c r="I59" i="15"/>
  <c r="I10" i="15"/>
  <c r="I18" i="15"/>
  <c r="I26" i="15"/>
  <c r="I34" i="15"/>
  <c r="I42" i="15"/>
  <c r="I50" i="15"/>
  <c r="I58" i="15"/>
  <c r="E25" i="15"/>
  <c r="I2" i="15"/>
  <c r="J2" i="15" s="1"/>
  <c r="X6" i="16"/>
  <c r="X30" i="16"/>
  <c r="X21" i="16"/>
  <c r="Y18" i="16"/>
  <c r="Y46" i="16"/>
  <c r="X11" i="16"/>
  <c r="X37" i="16"/>
  <c r="Y62" i="16"/>
  <c r="X5" i="16"/>
  <c r="X53" i="16"/>
  <c r="X54" i="16"/>
  <c r="Y15" i="16"/>
  <c r="X14" i="16"/>
  <c r="Y57" i="16"/>
  <c r="Y47" i="16"/>
  <c r="X25" i="16"/>
  <c r="Y38" i="16"/>
  <c r="X9" i="16"/>
  <c r="Y31" i="16"/>
  <c r="Y22" i="16"/>
  <c r="X17" i="16"/>
  <c r="Y35" i="16"/>
  <c r="Y39" i="16"/>
  <c r="Y33" i="16"/>
  <c r="X45" i="16"/>
  <c r="Y61" i="16"/>
  <c r="Y55" i="16"/>
  <c r="X43" i="16"/>
  <c r="X29" i="16"/>
  <c r="Y19" i="16"/>
  <c r="X13" i="16"/>
  <c r="X49" i="16"/>
  <c r="Y10" i="16"/>
  <c r="Y26" i="16"/>
  <c r="Y42" i="16"/>
  <c r="Y23" i="16"/>
  <c r="Y58" i="16"/>
  <c r="Y7" i="16"/>
  <c r="X27" i="16"/>
  <c r="X16" i="16"/>
  <c r="Y16" i="16"/>
  <c r="X32" i="16"/>
  <c r="Y32" i="16"/>
  <c r="X48" i="16"/>
  <c r="Y48" i="16"/>
  <c r="X4" i="16"/>
  <c r="Y4" i="16"/>
  <c r="Y20" i="16"/>
  <c r="X20" i="16"/>
  <c r="Y36" i="16"/>
  <c r="X36" i="16"/>
  <c r="Y52" i="16"/>
  <c r="X52" i="16"/>
  <c r="X8" i="16"/>
  <c r="Y8" i="16"/>
  <c r="X24" i="16"/>
  <c r="Y24" i="16"/>
  <c r="X40" i="16"/>
  <c r="Y40" i="16"/>
  <c r="X56" i="16"/>
  <c r="Y56" i="16"/>
  <c r="X12" i="16"/>
  <c r="Y12" i="16"/>
  <c r="X28" i="16"/>
  <c r="Y28" i="16"/>
  <c r="X44" i="16"/>
  <c r="Y44" i="16"/>
  <c r="X60" i="16"/>
  <c r="Y60" i="16"/>
  <c r="I5" i="15"/>
  <c r="I9" i="15"/>
  <c r="I13" i="15"/>
  <c r="I17" i="15"/>
  <c r="I21" i="15"/>
  <c r="I25" i="15"/>
  <c r="I29" i="15"/>
  <c r="I33" i="15"/>
  <c r="I37" i="15"/>
  <c r="I41" i="15"/>
  <c r="I45" i="15"/>
  <c r="I49" i="15"/>
  <c r="I53" i="15"/>
  <c r="I57" i="15"/>
  <c r="I61" i="15"/>
  <c r="E51" i="15"/>
  <c r="E38" i="15"/>
  <c r="E50" i="15"/>
  <c r="E46" i="15"/>
  <c r="E45" i="15"/>
  <c r="E43" i="15"/>
  <c r="E42" i="15"/>
  <c r="E40" i="15"/>
  <c r="E36" i="15"/>
  <c r="E35" i="15"/>
  <c r="E27" i="15"/>
  <c r="E26" i="15"/>
  <c r="E24" i="15"/>
  <c r="E20" i="15"/>
  <c r="E19" i="15"/>
  <c r="E22" i="15"/>
  <c r="E21" i="15"/>
  <c r="D48" i="15"/>
  <c r="C48" i="15"/>
  <c r="D49" i="15"/>
  <c r="C49" i="15"/>
  <c r="D39" i="15"/>
  <c r="C39" i="15"/>
  <c r="D44" i="15"/>
  <c r="C44" i="15"/>
  <c r="D37" i="15"/>
  <c r="C37" i="15"/>
  <c r="D33" i="15"/>
  <c r="C33" i="15"/>
  <c r="D32" i="15"/>
  <c r="C32" i="15"/>
  <c r="D30" i="15"/>
  <c r="C30" i="15"/>
  <c r="D29" i="15"/>
  <c r="C29" i="15"/>
  <c r="D31" i="15"/>
  <c r="C31" i="15"/>
  <c r="D55" i="15"/>
  <c r="C55" i="15"/>
  <c r="D54" i="15"/>
  <c r="C54" i="15"/>
  <c r="D53" i="15"/>
  <c r="C53" i="15"/>
  <c r="D60" i="15"/>
  <c r="C60" i="15"/>
  <c r="D59" i="15"/>
  <c r="C59" i="15"/>
  <c r="D57" i="15"/>
  <c r="C57" i="15"/>
  <c r="D58" i="15"/>
  <c r="C58" i="15"/>
  <c r="D56" i="15"/>
  <c r="C56" i="15"/>
  <c r="D47" i="15"/>
  <c r="C47" i="15"/>
  <c r="D41" i="15"/>
  <c r="C41" i="15"/>
  <c r="D52" i="15"/>
  <c r="C52" i="15"/>
  <c r="D17" i="15"/>
  <c r="C17" i="15"/>
  <c r="D16" i="15"/>
  <c r="C16" i="15"/>
  <c r="D14" i="15"/>
  <c r="C14" i="15"/>
  <c r="D13" i="15"/>
  <c r="C13" i="15"/>
  <c r="D12" i="15"/>
  <c r="C12" i="15"/>
  <c r="D15" i="15"/>
  <c r="C15" i="15"/>
  <c r="D28" i="15"/>
  <c r="C28" i="15"/>
  <c r="D34" i="15"/>
  <c r="C34" i="15"/>
  <c r="D7" i="15"/>
  <c r="C7" i="15"/>
  <c r="D6" i="15"/>
  <c r="C6" i="15"/>
  <c r="D9" i="15"/>
  <c r="C9" i="15"/>
  <c r="D10" i="15"/>
  <c r="C10" i="15"/>
  <c r="D18" i="15"/>
  <c r="C18" i="15"/>
  <c r="D23" i="15"/>
  <c r="C23" i="15"/>
  <c r="D5" i="15"/>
  <c r="C5" i="15"/>
  <c r="D8" i="15"/>
  <c r="C8" i="15"/>
  <c r="D61" i="15"/>
  <c r="C61" i="15"/>
  <c r="D11" i="15"/>
  <c r="C11" i="15"/>
  <c r="D4" i="15"/>
  <c r="C4" i="15"/>
  <c r="D3" i="15"/>
  <c r="C3" i="15"/>
  <c r="B21" i="15"/>
  <c r="B20" i="15" s="1"/>
  <c r="B19" i="15" s="1"/>
  <c r="B18" i="15" s="1"/>
  <c r="B17" i="15" s="1"/>
  <c r="B16" i="15" s="1"/>
  <c r="B15" i="15" s="1"/>
  <c r="B14" i="15" s="1"/>
  <c r="B13" i="15" s="1"/>
  <c r="B12" i="15" s="1"/>
  <c r="B11" i="15" s="1"/>
  <c r="B10" i="15" s="1"/>
  <c r="B9" i="15" s="1"/>
  <c r="B8" i="15" s="1"/>
  <c r="B7" i="15" s="1"/>
  <c r="B6" i="15" s="1"/>
  <c r="B5" i="15" s="1"/>
  <c r="B4" i="15" s="1"/>
  <c r="B3" i="15" s="1"/>
  <c r="B2" i="15" s="1"/>
  <c r="AI59" i="16" l="1"/>
  <c r="AI47" i="16"/>
  <c r="AI40" i="16"/>
  <c r="AI41" i="16"/>
  <c r="AI57" i="16"/>
  <c r="AI58" i="16"/>
  <c r="AI49" i="16"/>
  <c r="AI51" i="16"/>
  <c r="AI56" i="16"/>
  <c r="AI35" i="16"/>
  <c r="AI38" i="16"/>
  <c r="AI29" i="16"/>
  <c r="AI33" i="16"/>
  <c r="AI62" i="16"/>
  <c r="AI48" i="16"/>
  <c r="AI46" i="16"/>
  <c r="AI54" i="16"/>
  <c r="AI52" i="16"/>
  <c r="AI30" i="16"/>
  <c r="AI55" i="16"/>
  <c r="AI39" i="16"/>
  <c r="AI42" i="16"/>
  <c r="AI37" i="16"/>
  <c r="AI34" i="16"/>
  <c r="AI31" i="16"/>
  <c r="AI50" i="16"/>
  <c r="AI32" i="16"/>
  <c r="AI43" i="16"/>
  <c r="AI53" i="16"/>
  <c r="AI61" i="16"/>
  <c r="AI60" i="16"/>
  <c r="AI36" i="16"/>
  <c r="AI45" i="16"/>
  <c r="AE43" i="65"/>
  <c r="AE44" i="65"/>
  <c r="BK43" i="65"/>
  <c r="BK44" i="65"/>
  <c r="BJ62" i="65"/>
  <c r="I21" i="65" s="1"/>
  <c r="AD62" i="65"/>
  <c r="H21" i="65" s="1"/>
  <c r="BK47" i="65"/>
  <c r="AE47" i="65"/>
  <c r="AE51" i="65"/>
  <c r="BK49" i="65"/>
  <c r="AE53" i="65"/>
  <c r="AE57" i="65"/>
  <c r="BK54" i="65"/>
  <c r="BK57" i="65"/>
  <c r="BK61" i="65"/>
  <c r="G22" i="65"/>
  <c r="BK45" i="65"/>
  <c r="AE48" i="65"/>
  <c r="AE52" i="65"/>
  <c r="BK50" i="65"/>
  <c r="AE54" i="65"/>
  <c r="AE59" i="65"/>
  <c r="BK55" i="65"/>
  <c r="BK58" i="65"/>
  <c r="AE45" i="65"/>
  <c r="AE49" i="65"/>
  <c r="AE60" i="65"/>
  <c r="BK51" i="65"/>
  <c r="AE55" i="65"/>
  <c r="AE58" i="65"/>
  <c r="BK56" i="65"/>
  <c r="BK59" i="65"/>
  <c r="AF43" i="65"/>
  <c r="AF42" i="65"/>
  <c r="AF41" i="65"/>
  <c r="AF40" i="65"/>
  <c r="AF39" i="65"/>
  <c r="BL43" i="65"/>
  <c r="BL42" i="65"/>
  <c r="BL41" i="65"/>
  <c r="BL40" i="65"/>
  <c r="BL39" i="65"/>
  <c r="BL38" i="65"/>
  <c r="BL37" i="65"/>
  <c r="BL36" i="65"/>
  <c r="BL35" i="65"/>
  <c r="BL34" i="65"/>
  <c r="BL33" i="65"/>
  <c r="BL32" i="65"/>
  <c r="BL31" i="65"/>
  <c r="BL30" i="65"/>
  <c r="AF38" i="65"/>
  <c r="AF37" i="65"/>
  <c r="AF36" i="65"/>
  <c r="AF35" i="65"/>
  <c r="AF34" i="65"/>
  <c r="AF33" i="65"/>
  <c r="AF32" i="65"/>
  <c r="AF31" i="65"/>
  <c r="AF29" i="65"/>
  <c r="BL27" i="65"/>
  <c r="AF25" i="65"/>
  <c r="BL23" i="65"/>
  <c r="AF28" i="65"/>
  <c r="BL26" i="65"/>
  <c r="AF24" i="65"/>
  <c r="BL22" i="65"/>
  <c r="BL29" i="65"/>
  <c r="AF27" i="65"/>
  <c r="BL25" i="65"/>
  <c r="AF23" i="65"/>
  <c r="AF30" i="65"/>
  <c r="F23" i="65"/>
  <c r="E24" i="65" s="1"/>
  <c r="BL21" i="65"/>
  <c r="AF19" i="65"/>
  <c r="BL17" i="65"/>
  <c r="AF15" i="65"/>
  <c r="BL13" i="65"/>
  <c r="AF11" i="65"/>
  <c r="BL9" i="65"/>
  <c r="AF7" i="65"/>
  <c r="BL5" i="65"/>
  <c r="BL28" i="65"/>
  <c r="AF26" i="65"/>
  <c r="AF22" i="65"/>
  <c r="BL20" i="65"/>
  <c r="AF18" i="65"/>
  <c r="BL16" i="65"/>
  <c r="AF14" i="65"/>
  <c r="BL12" i="65"/>
  <c r="AF10" i="65"/>
  <c r="BL8" i="65"/>
  <c r="AF6" i="65"/>
  <c r="BL4" i="65"/>
  <c r="BL24" i="65"/>
  <c r="AF21" i="65"/>
  <c r="BL19" i="65"/>
  <c r="AF17" i="65"/>
  <c r="BL15" i="65"/>
  <c r="AF13" i="65"/>
  <c r="BL11" i="65"/>
  <c r="AF9" i="65"/>
  <c r="BL7" i="65"/>
  <c r="AF5" i="65"/>
  <c r="BL14" i="65"/>
  <c r="AF12" i="65"/>
  <c r="AF3" i="65"/>
  <c r="BL2" i="65"/>
  <c r="BL10" i="65"/>
  <c r="AF8" i="65"/>
  <c r="AF2" i="65"/>
  <c r="BL18" i="65"/>
  <c r="AF20" i="65"/>
  <c r="BL6" i="65"/>
  <c r="BL3" i="65"/>
  <c r="AF16" i="65"/>
  <c r="AF4" i="65"/>
  <c r="BK46" i="65"/>
  <c r="AE46" i="65"/>
  <c r="AE50" i="65"/>
  <c r="BK48" i="65"/>
  <c r="BK52" i="65"/>
  <c r="AE56" i="65"/>
  <c r="BK53" i="65"/>
  <c r="AE61" i="65"/>
  <c r="BK60" i="65"/>
  <c r="H29" i="63"/>
  <c r="CH35" i="16"/>
  <c r="CH60" i="16"/>
  <c r="CO36" i="16"/>
  <c r="CO45" i="16"/>
  <c r="CO52" i="16"/>
  <c r="CH56" i="16"/>
  <c r="CH57" i="16"/>
  <c r="P40" i="16"/>
  <c r="Q40" i="16"/>
  <c r="Q36" i="16"/>
  <c r="P36" i="16"/>
  <c r="Q50" i="16"/>
  <c r="P50" i="16"/>
  <c r="P33" i="16"/>
  <c r="Q33" i="16"/>
  <c r="Q24" i="16"/>
  <c r="P24" i="16"/>
  <c r="Q43" i="16"/>
  <c r="P43" i="16"/>
  <c r="Q30" i="16"/>
  <c r="P30" i="16"/>
  <c r="Q39" i="16"/>
  <c r="P39" i="16"/>
  <c r="Q48" i="16"/>
  <c r="P48" i="16"/>
  <c r="P53" i="16"/>
  <c r="Q53" i="16"/>
  <c r="Q58" i="16"/>
  <c r="P58" i="16"/>
  <c r="P28" i="16"/>
  <c r="Q28" i="16"/>
  <c r="P61" i="16"/>
  <c r="Q61" i="16"/>
  <c r="P47" i="16"/>
  <c r="Q47" i="16"/>
  <c r="Q22" i="16"/>
  <c r="P22" i="16"/>
  <c r="CH46" i="16"/>
  <c r="Q55" i="16"/>
  <c r="P55" i="16"/>
  <c r="Q26" i="16"/>
  <c r="P26" i="16"/>
  <c r="Q44" i="16"/>
  <c r="P44" i="16"/>
  <c r="Q62" i="16"/>
  <c r="P62" i="16"/>
  <c r="Q38" i="16"/>
  <c r="P38" i="16"/>
  <c r="P27" i="16"/>
  <c r="Q27" i="16"/>
  <c r="P41" i="16"/>
  <c r="Q41" i="16"/>
  <c r="Q23" i="16"/>
  <c r="P23" i="16"/>
  <c r="Q32" i="16"/>
  <c r="P32" i="16"/>
  <c r="P37" i="16"/>
  <c r="Q37" i="16"/>
  <c r="Q60" i="16"/>
  <c r="P60" i="16"/>
  <c r="Q46" i="16"/>
  <c r="P46" i="16"/>
  <c r="P59" i="16"/>
  <c r="Q59" i="16"/>
  <c r="Q31" i="16"/>
  <c r="P31" i="16"/>
  <c r="CA16" i="16"/>
  <c r="CH47" i="16"/>
  <c r="CH23" i="16"/>
  <c r="CO50" i="16"/>
  <c r="CO53" i="16"/>
  <c r="P29" i="16"/>
  <c r="Q29" i="16"/>
  <c r="P35" i="16"/>
  <c r="Q35" i="16"/>
  <c r="Q34" i="16"/>
  <c r="P34" i="16"/>
  <c r="P45" i="16"/>
  <c r="Q45" i="16"/>
  <c r="Q52" i="16"/>
  <c r="P52" i="16"/>
  <c r="P25" i="16"/>
  <c r="Q25" i="16"/>
  <c r="P56" i="16"/>
  <c r="Q56" i="16"/>
  <c r="Q54" i="16"/>
  <c r="P54" i="16"/>
  <c r="Q51" i="16"/>
  <c r="P51" i="16"/>
  <c r="Q42" i="16"/>
  <c r="P42" i="16"/>
  <c r="P49" i="16"/>
  <c r="Q49" i="16"/>
  <c r="P57" i="16"/>
  <c r="Q57" i="16"/>
  <c r="CH32" i="16"/>
  <c r="CH30" i="16"/>
  <c r="AJ59" i="16"/>
  <c r="AJ36" i="16"/>
  <c r="AJ55" i="16"/>
  <c r="CO49" i="16"/>
  <c r="AJ30" i="16"/>
  <c r="AJ53" i="16"/>
  <c r="AJ45" i="16"/>
  <c r="AJ31" i="16"/>
  <c r="AJ49" i="16"/>
  <c r="AJ61" i="16"/>
  <c r="AJ56" i="16"/>
  <c r="AJ58" i="16"/>
  <c r="AJ43" i="16"/>
  <c r="AJ52" i="16"/>
  <c r="AJ62" i="16"/>
  <c r="AJ51" i="16"/>
  <c r="AJ50" i="16"/>
  <c r="AJ39" i="16"/>
  <c r="AJ48" i="16"/>
  <c r="AJ42" i="16"/>
  <c r="AJ60" i="16"/>
  <c r="AJ41" i="16"/>
  <c r="AJ46" i="16"/>
  <c r="AJ38" i="16"/>
  <c r="AJ32" i="16"/>
  <c r="AJ35" i="16"/>
  <c r="CH31" i="16"/>
  <c r="AJ37" i="16"/>
  <c r="AJ44" i="16"/>
  <c r="AJ57" i="16"/>
  <c r="AJ33" i="16"/>
  <c r="AJ54" i="16"/>
  <c r="AJ47" i="16"/>
  <c r="AJ40" i="16"/>
  <c r="AJ34" i="16"/>
  <c r="CO41" i="16"/>
  <c r="CO57" i="16"/>
  <c r="CH27" i="16"/>
  <c r="CH38" i="16"/>
  <c r="CH52" i="16"/>
  <c r="CO56" i="16"/>
  <c r="CO61" i="16"/>
  <c r="CO42" i="16"/>
  <c r="CO59" i="16"/>
  <c r="CH55" i="16"/>
  <c r="CH28" i="16"/>
  <c r="CO60" i="16"/>
  <c r="CO62" i="16"/>
  <c r="CO35" i="16"/>
  <c r="CO58" i="16"/>
  <c r="CO33" i="16"/>
  <c r="CO47" i="16"/>
  <c r="CO32" i="16"/>
  <c r="CH61" i="16"/>
  <c r="CO55" i="16"/>
  <c r="CO54" i="16"/>
  <c r="CO48" i="16"/>
  <c r="CO37" i="16"/>
  <c r="CH48" i="16"/>
  <c r="CH42" i="16"/>
  <c r="CA28" i="16"/>
  <c r="CH49" i="16"/>
  <c r="CA25" i="16"/>
  <c r="CH26" i="16"/>
  <c r="CH24" i="16"/>
  <c r="CH25" i="16"/>
  <c r="CH40" i="16"/>
  <c r="CH45" i="16"/>
  <c r="CA26" i="16"/>
  <c r="CA13" i="16"/>
  <c r="CH54" i="16"/>
  <c r="CH34" i="16"/>
  <c r="CA27" i="16"/>
  <c r="CA23" i="16"/>
  <c r="I16" i="16"/>
  <c r="CA14" i="16"/>
  <c r="CA20" i="16"/>
  <c r="CH44" i="16"/>
  <c r="CA17" i="16"/>
  <c r="CA18" i="16"/>
  <c r="CH43" i="16"/>
  <c r="CH58" i="16"/>
  <c r="CH59" i="16"/>
  <c r="CA12" i="16"/>
  <c r="CH53" i="16"/>
  <c r="CA29" i="16"/>
  <c r="CA24" i="16"/>
  <c r="CA21" i="16"/>
  <c r="CH36" i="16"/>
  <c r="CH29" i="16"/>
  <c r="CH50" i="16"/>
  <c r="CH51" i="16"/>
  <c r="BT34" i="16"/>
  <c r="BT55" i="16"/>
  <c r="BT23" i="16"/>
  <c r="BT62" i="16"/>
  <c r="BT12" i="16"/>
  <c r="BT25" i="16"/>
  <c r="BY30" i="16"/>
  <c r="BZ30" i="16"/>
  <c r="BT19" i="16"/>
  <c r="BT38" i="16"/>
  <c r="BT58" i="16"/>
  <c r="BT52" i="16"/>
  <c r="BT46" i="16"/>
  <c r="BT40" i="16"/>
  <c r="BT60" i="16"/>
  <c r="BT14" i="16"/>
  <c r="BT16" i="16"/>
  <c r="BT18" i="16"/>
  <c r="BT28" i="16"/>
  <c r="BT48" i="16"/>
  <c r="BT26" i="16"/>
  <c r="BT22" i="16"/>
  <c r="BT30" i="16"/>
  <c r="BT44" i="16"/>
  <c r="BT54" i="16"/>
  <c r="BT49" i="16"/>
  <c r="BT15" i="16"/>
  <c r="BT33" i="16"/>
  <c r="BT61" i="16"/>
  <c r="BT20" i="16"/>
  <c r="BT24" i="16"/>
  <c r="BT32" i="16"/>
  <c r="BT17" i="16"/>
  <c r="BT39" i="16"/>
  <c r="BT27" i="16"/>
  <c r="BT29" i="16"/>
  <c r="BT13" i="16"/>
  <c r="BT41" i="16"/>
  <c r="BT21" i="16"/>
  <c r="BT51" i="16"/>
  <c r="BT50" i="16"/>
  <c r="BT47" i="16"/>
  <c r="BT43" i="16"/>
  <c r="BT37" i="16"/>
  <c r="BT45" i="16"/>
  <c r="BT36" i="16"/>
  <c r="BT42" i="16"/>
  <c r="BT56" i="16"/>
  <c r="BT31" i="16"/>
  <c r="BT53" i="16"/>
  <c r="BT59" i="16"/>
  <c r="BT57" i="16"/>
  <c r="BT35" i="16"/>
  <c r="BN23" i="16"/>
  <c r="BP22" i="16"/>
  <c r="AP28" i="16"/>
  <c r="AN40" i="16"/>
  <c r="AN41" i="16" s="1"/>
  <c r="AM42" i="16"/>
  <c r="AW43" i="16"/>
  <c r="AV27" i="16"/>
  <c r="AV37" i="16"/>
  <c r="AW54" i="16"/>
  <c r="AV40" i="16"/>
  <c r="AW55" i="16"/>
  <c r="AV44" i="16"/>
  <c r="AV45" i="16"/>
  <c r="AV17" i="16"/>
  <c r="AW36" i="16"/>
  <c r="AW30" i="16"/>
  <c r="AV25" i="16"/>
  <c r="AV39" i="16"/>
  <c r="AW48" i="16"/>
  <c r="AV26" i="16"/>
  <c r="AW60" i="16"/>
  <c r="AW24" i="16"/>
  <c r="AW59" i="16"/>
  <c r="AV36" i="16"/>
  <c r="AW46" i="16"/>
  <c r="AW53" i="16"/>
  <c r="AW21" i="16"/>
  <c r="AV54" i="16"/>
  <c r="AW57" i="16"/>
  <c r="AV48" i="16"/>
  <c r="AV42" i="16"/>
  <c r="AW17" i="16"/>
  <c r="AW35" i="16"/>
  <c r="AV60" i="16"/>
  <c r="AW38" i="16"/>
  <c r="AV22" i="16"/>
  <c r="AW29" i="16"/>
  <c r="AW56" i="16"/>
  <c r="AV24" i="16"/>
  <c r="AV59" i="16"/>
  <c r="AV52" i="16"/>
  <c r="AW62" i="16"/>
  <c r="AV46" i="16"/>
  <c r="AV53" i="16"/>
  <c r="AV21" i="16"/>
  <c r="AW19" i="16"/>
  <c r="AV28" i="16"/>
  <c r="AV47" i="16"/>
  <c r="AW34" i="16"/>
  <c r="AV57" i="16"/>
  <c r="AW23" i="16"/>
  <c r="AV58" i="16"/>
  <c r="AW33" i="16"/>
  <c r="AW51" i="16"/>
  <c r="AV35" i="16"/>
  <c r="AV38" i="16"/>
  <c r="AV29" i="16"/>
  <c r="AX29" i="16" s="1"/>
  <c r="AW31" i="16"/>
  <c r="AV56" i="16"/>
  <c r="AW50" i="16"/>
  <c r="AV18" i="16"/>
  <c r="AW41" i="16"/>
  <c r="AV20" i="16"/>
  <c r="AV61" i="16"/>
  <c r="AV32" i="16"/>
  <c r="AW42" i="16"/>
  <c r="AW49" i="16"/>
  <c r="AW22" i="16"/>
  <c r="AV43" i="16"/>
  <c r="AW52" i="16"/>
  <c r="AV30" i="16"/>
  <c r="AW28" i="16"/>
  <c r="AW47" i="16"/>
  <c r="AV55" i="16"/>
  <c r="AW58" i="16"/>
  <c r="AV49" i="16"/>
  <c r="AW18" i="16"/>
  <c r="AW27" i="16"/>
  <c r="AW20" i="16"/>
  <c r="AV62" i="16"/>
  <c r="AW37" i="16"/>
  <c r="AV19" i="16"/>
  <c r="AX19" i="16" s="1"/>
  <c r="AW61" i="16"/>
  <c r="AW40" i="16"/>
  <c r="AV34" i="16"/>
  <c r="AW25" i="16"/>
  <c r="AW39" i="16"/>
  <c r="AV23" i="16"/>
  <c r="AW32" i="16"/>
  <c r="AW26" i="16"/>
  <c r="AV33" i="16"/>
  <c r="AV51" i="16"/>
  <c r="AW44" i="16"/>
  <c r="AW45" i="16"/>
  <c r="AV31" i="16"/>
  <c r="AV50" i="16"/>
  <c r="AX50" i="16" s="1"/>
  <c r="AV41" i="16"/>
  <c r="P13" i="28"/>
  <c r="P14" i="28"/>
  <c r="AV14" i="28"/>
  <c r="AV13" i="28"/>
  <c r="J3" i="15"/>
  <c r="J4" i="15" s="1"/>
  <c r="J5" i="15" s="1"/>
  <c r="J6" i="15" s="1"/>
  <c r="J7" i="15" s="1"/>
  <c r="J8" i="15" s="1"/>
  <c r="J9" i="15" s="1"/>
  <c r="J10" i="15" s="1"/>
  <c r="J11" i="15" s="1"/>
  <c r="J12" i="15" s="1"/>
  <c r="J13" i="15" s="1"/>
  <c r="J14" i="15" s="1"/>
  <c r="J15" i="15" s="1"/>
  <c r="J16" i="15" s="1"/>
  <c r="J17" i="15" s="1"/>
  <c r="J18" i="15" s="1"/>
  <c r="J19" i="15" s="1"/>
  <c r="J20" i="15" s="1"/>
  <c r="J21" i="15" s="1"/>
  <c r="J22" i="15" s="1"/>
  <c r="J23" i="15" s="1"/>
  <c r="J24" i="15" s="1"/>
  <c r="J25" i="15" s="1"/>
  <c r="J26" i="15" s="1"/>
  <c r="J27" i="15" s="1"/>
  <c r="J28" i="15" s="1"/>
  <c r="J29" i="15" s="1"/>
  <c r="J30" i="15" s="1"/>
  <c r="J31" i="15" s="1"/>
  <c r="J32" i="15" s="1"/>
  <c r="J33" i="15" s="1"/>
  <c r="J34" i="15" s="1"/>
  <c r="J35" i="15" s="1"/>
  <c r="J36" i="15" s="1"/>
  <c r="J37" i="15" s="1"/>
  <c r="J38" i="15" s="1"/>
  <c r="J39" i="15" s="1"/>
  <c r="J40" i="15" s="1"/>
  <c r="J41" i="15" s="1"/>
  <c r="J42" i="15" s="1"/>
  <c r="J43" i="15" s="1"/>
  <c r="J44" i="15" s="1"/>
  <c r="J45" i="15" s="1"/>
  <c r="J46" i="15" s="1"/>
  <c r="J47" i="15" s="1"/>
  <c r="J48" i="15" s="1"/>
  <c r="J49" i="15" s="1"/>
  <c r="J50" i="15" s="1"/>
  <c r="J51" i="15" s="1"/>
  <c r="J52" i="15" s="1"/>
  <c r="J53" i="15" s="1"/>
  <c r="J54" i="15" s="1"/>
  <c r="J55" i="15" s="1"/>
  <c r="J56" i="15" s="1"/>
  <c r="J57" i="15" s="1"/>
  <c r="J58" i="15" s="1"/>
  <c r="J59" i="15" s="1"/>
  <c r="J60" i="15" s="1"/>
  <c r="J61" i="15" s="1"/>
  <c r="E56" i="15"/>
  <c r="BK24" i="16"/>
  <c r="BM23" i="16"/>
  <c r="BH24" i="16"/>
  <c r="BJ23" i="16"/>
  <c r="G7" i="28"/>
  <c r="Q2" i="28"/>
  <c r="P52" i="28"/>
  <c r="P33" i="28"/>
  <c r="AV58" i="28"/>
  <c r="P22" i="28"/>
  <c r="P59" i="28"/>
  <c r="AV34" i="28"/>
  <c r="AV56" i="28"/>
  <c r="AV24" i="28"/>
  <c r="AV43" i="28"/>
  <c r="AV23" i="28"/>
  <c r="P49" i="28"/>
  <c r="P36" i="28"/>
  <c r="P61" i="28"/>
  <c r="AV42" i="28"/>
  <c r="P38" i="28"/>
  <c r="P18" i="28"/>
  <c r="P25" i="28"/>
  <c r="P55" i="28"/>
  <c r="P31" i="28"/>
  <c r="AV54" i="28"/>
  <c r="AV26" i="28"/>
  <c r="AV52" i="28"/>
  <c r="AV61" i="28"/>
  <c r="AV51" i="28"/>
  <c r="AV41" i="28"/>
  <c r="AV31" i="28"/>
  <c r="AV20" i="28"/>
  <c r="AU62" i="28"/>
  <c r="I6" i="28" s="1"/>
  <c r="AV22" i="28"/>
  <c r="P28" i="28"/>
  <c r="P48" i="28"/>
  <c r="P53" i="28"/>
  <c r="P54" i="28"/>
  <c r="P34" i="28"/>
  <c r="P17" i="28"/>
  <c r="P21" i="28"/>
  <c r="P47" i="28"/>
  <c r="P27" i="28"/>
  <c r="AV46" i="28"/>
  <c r="AV44" i="28"/>
  <c r="AV32" i="28"/>
  <c r="AV59" i="28"/>
  <c r="AV49" i="28"/>
  <c r="AV37" i="28"/>
  <c r="AV29" i="28"/>
  <c r="AV21" i="28"/>
  <c r="O62" i="28"/>
  <c r="H6" i="28" s="1"/>
  <c r="P40" i="28"/>
  <c r="P60" i="28"/>
  <c r="P24" i="28"/>
  <c r="P32" i="28"/>
  <c r="P37" i="28"/>
  <c r="P50" i="28"/>
  <c r="P30" i="28"/>
  <c r="P43" i="28"/>
  <c r="P23" i="28"/>
  <c r="P16" i="28"/>
  <c r="AV60" i="28"/>
  <c r="AV40" i="28"/>
  <c r="AV28" i="28"/>
  <c r="AV57" i="28"/>
  <c r="AV45" i="28"/>
  <c r="AV27" i="28"/>
  <c r="AV17" i="28"/>
  <c r="P57" i="28"/>
  <c r="P29" i="28"/>
  <c r="P46" i="28"/>
  <c r="AV30" i="28"/>
  <c r="P39" i="28"/>
  <c r="P15" i="28"/>
  <c r="AV36" i="28"/>
  <c r="AV53" i="28"/>
  <c r="AV35" i="28"/>
  <c r="AV18" i="28"/>
  <c r="AV15" i="28"/>
  <c r="AW4" i="28"/>
  <c r="AW6" i="28"/>
  <c r="AW8" i="28"/>
  <c r="AW10" i="28"/>
  <c r="AW12" i="28"/>
  <c r="AW14" i="28"/>
  <c r="AW16" i="28"/>
  <c r="AW5" i="28"/>
  <c r="AW7" i="28"/>
  <c r="AW9" i="28"/>
  <c r="AW11" i="28"/>
  <c r="AW13" i="28"/>
  <c r="AW15" i="28"/>
  <c r="AW3" i="28"/>
  <c r="AW2" i="28"/>
  <c r="Q5" i="28"/>
  <c r="Q9" i="28"/>
  <c r="Q13" i="28"/>
  <c r="Q4" i="28"/>
  <c r="Q8" i="28"/>
  <c r="Q12" i="28"/>
  <c r="Q16" i="28"/>
  <c r="Q11" i="28"/>
  <c r="Q15" i="28"/>
  <c r="Q10" i="28"/>
  <c r="Q3" i="28"/>
  <c r="Q7" i="28"/>
  <c r="Q6" i="28"/>
  <c r="Q14" i="28"/>
  <c r="P56" i="28"/>
  <c r="P20" i="28"/>
  <c r="P44" i="28"/>
  <c r="P41" i="28"/>
  <c r="P45" i="28"/>
  <c r="P58" i="28"/>
  <c r="P42" i="28"/>
  <c r="P26" i="28"/>
  <c r="AV50" i="28"/>
  <c r="P51" i="28"/>
  <c r="P35" i="28"/>
  <c r="P19" i="28"/>
  <c r="AV38" i="28"/>
  <c r="AV48" i="28"/>
  <c r="AV16" i="28"/>
  <c r="AV55" i="28"/>
  <c r="AV47" i="28"/>
  <c r="AV39" i="28"/>
  <c r="AV33" i="28"/>
  <c r="AV25" i="28"/>
  <c r="AV19" i="28"/>
  <c r="F8" i="28"/>
  <c r="E9" i="28" s="1"/>
  <c r="BL30" i="16"/>
  <c r="E34" i="15"/>
  <c r="E29" i="15"/>
  <c r="E39" i="15"/>
  <c r="AA18" i="16"/>
  <c r="AA46" i="16"/>
  <c r="Z59" i="16"/>
  <c r="Z19" i="16"/>
  <c r="Z47" i="16"/>
  <c r="Z18" i="16"/>
  <c r="AA27" i="16"/>
  <c r="Z43" i="16"/>
  <c r="Z50" i="16"/>
  <c r="AA60" i="16"/>
  <c r="AA41" i="16"/>
  <c r="Z37" i="16"/>
  <c r="AA59" i="16"/>
  <c r="AA51" i="16"/>
  <c r="Z41" i="16"/>
  <c r="Z38" i="16"/>
  <c r="AA54" i="16"/>
  <c r="AA31" i="16"/>
  <c r="Z39" i="16"/>
  <c r="AA45" i="16"/>
  <c r="Z20" i="16"/>
  <c r="Z49" i="16"/>
  <c r="Z23" i="16"/>
  <c r="AA48" i="16"/>
  <c r="Z54" i="16"/>
  <c r="Z22" i="16"/>
  <c r="Z56" i="16"/>
  <c r="AA40" i="16"/>
  <c r="Z36" i="16"/>
  <c r="AA36" i="16"/>
  <c r="Z58" i="16"/>
  <c r="Z60" i="16"/>
  <c r="AA55" i="16"/>
  <c r="AA38" i="16"/>
  <c r="AA53" i="16"/>
  <c r="AA47" i="16"/>
  <c r="AA20" i="16"/>
  <c r="Z45" i="16"/>
  <c r="AA32" i="16"/>
  <c r="AA19" i="16"/>
  <c r="Z44" i="16"/>
  <c r="AA39" i="16"/>
  <c r="AA62" i="16"/>
  <c r="AA30" i="16"/>
  <c r="AA57" i="16"/>
  <c r="AA25" i="16"/>
  <c r="AA28" i="16"/>
  <c r="Z31" i="16"/>
  <c r="Z53" i="16"/>
  <c r="Z21" i="16"/>
  <c r="AA50" i="16"/>
  <c r="AA49" i="16"/>
  <c r="Z17" i="16"/>
  <c r="Z51" i="16"/>
  <c r="AB51" i="16" s="1"/>
  <c r="Z42" i="16"/>
  <c r="AA61" i="16"/>
  <c r="AA29" i="16"/>
  <c r="Z40" i="16"/>
  <c r="AA34" i="16"/>
  <c r="AA33" i="16"/>
  <c r="Z32" i="16"/>
  <c r="Z26" i="16"/>
  <c r="AA35" i="16"/>
  <c r="AA44" i="16"/>
  <c r="Z62" i="16"/>
  <c r="Z30" i="16"/>
  <c r="AA21" i="16"/>
  <c r="AA24" i="16"/>
  <c r="AA58" i="16"/>
  <c r="AA26" i="16"/>
  <c r="AA17" i="16"/>
  <c r="Z27" i="16"/>
  <c r="Z28" i="16"/>
  <c r="AA23" i="16"/>
  <c r="AA22" i="16"/>
  <c r="Z57" i="16"/>
  <c r="Z25" i="16"/>
  <c r="Z46" i="16"/>
  <c r="AB46" i="16" s="1"/>
  <c r="AA37" i="16"/>
  <c r="AA56" i="16"/>
  <c r="AA43" i="16"/>
  <c r="Z52" i="16"/>
  <c r="AA42" i="16"/>
  <c r="Z33" i="16"/>
  <c r="AB33" i="16" s="1"/>
  <c r="Z48" i="16"/>
  <c r="Z35" i="16"/>
  <c r="AA52" i="16"/>
  <c r="Z55" i="16"/>
  <c r="Z34" i="16"/>
  <c r="Z61" i="16"/>
  <c r="Z29" i="16"/>
  <c r="Z24" i="16"/>
  <c r="AB24" i="16" s="1"/>
  <c r="E14" i="15"/>
  <c r="E31" i="15"/>
  <c r="E44" i="15"/>
  <c r="E58" i="15"/>
  <c r="E48" i="15"/>
  <c r="E49" i="15"/>
  <c r="E37" i="15"/>
  <c r="E33" i="15"/>
  <c r="E32" i="15"/>
  <c r="E30" i="15"/>
  <c r="E55" i="15"/>
  <c r="E54" i="15"/>
  <c r="E53" i="15"/>
  <c r="E60" i="15"/>
  <c r="E59" i="15"/>
  <c r="E57" i="15"/>
  <c r="E47" i="15"/>
  <c r="E41" i="15"/>
  <c r="E52" i="15"/>
  <c r="E17" i="15"/>
  <c r="E16" i="15"/>
  <c r="E13" i="15"/>
  <c r="E12" i="15"/>
  <c r="E15" i="15"/>
  <c r="E28" i="15"/>
  <c r="E7" i="15"/>
  <c r="E6" i="15"/>
  <c r="E9" i="15"/>
  <c r="E10" i="15"/>
  <c r="E18" i="15"/>
  <c r="E23" i="15"/>
  <c r="E5" i="15"/>
  <c r="E8" i="15"/>
  <c r="E61" i="15"/>
  <c r="E11" i="15"/>
  <c r="E4" i="15"/>
  <c r="E3" i="15"/>
  <c r="E2" i="15"/>
  <c r="F2" i="15" s="1"/>
  <c r="D19" i="2"/>
  <c r="C19" i="2"/>
  <c r="D18" i="2"/>
  <c r="C18" i="2"/>
  <c r="D16" i="2"/>
  <c r="C16" i="2"/>
  <c r="D15" i="2"/>
  <c r="C15" i="2"/>
  <c r="D11" i="2"/>
  <c r="C11" i="2"/>
  <c r="D9" i="2"/>
  <c r="C9" i="2"/>
  <c r="D7" i="2"/>
  <c r="C7" i="2"/>
  <c r="D5" i="2"/>
  <c r="C5" i="2"/>
  <c r="D6" i="2"/>
  <c r="C6" i="2"/>
  <c r="D10" i="2"/>
  <c r="C10" i="2"/>
  <c r="D13" i="2"/>
  <c r="C13" i="2"/>
  <c r="D14" i="2"/>
  <c r="C14" i="2"/>
  <c r="D21" i="2"/>
  <c r="C21" i="2"/>
  <c r="D20" i="2"/>
  <c r="C20" i="2"/>
  <c r="D17" i="2"/>
  <c r="C17" i="2"/>
  <c r="D8" i="2"/>
  <c r="C8" i="2"/>
  <c r="D12" i="2"/>
  <c r="C12" i="2"/>
  <c r="D4" i="2"/>
  <c r="C4" i="2"/>
  <c r="D3" i="2"/>
  <c r="C3" i="2"/>
  <c r="G2" i="2"/>
  <c r="B21" i="2"/>
  <c r="B20" i="2" s="1"/>
  <c r="B19" i="2" s="1"/>
  <c r="B18" i="2" s="1"/>
  <c r="B17" i="2" s="1"/>
  <c r="B16" i="2" s="1"/>
  <c r="B15" i="2" s="1"/>
  <c r="B14" i="2" s="1"/>
  <c r="B13" i="2" s="1"/>
  <c r="B12" i="2" s="1"/>
  <c r="B11" i="2" s="1"/>
  <c r="B10" i="2" s="1"/>
  <c r="B9" i="2" s="1"/>
  <c r="B8" i="2" s="1"/>
  <c r="B7" i="2" s="1"/>
  <c r="B6" i="2" s="1"/>
  <c r="B5" i="2" s="1"/>
  <c r="B4" i="2" s="1"/>
  <c r="B3" i="2" s="1"/>
  <c r="B2" i="2" s="1"/>
  <c r="BL44" i="65" l="1"/>
  <c r="AF44" i="65"/>
  <c r="BL45" i="65"/>
  <c r="AF45" i="65"/>
  <c r="BL46" i="65"/>
  <c r="AF46" i="65"/>
  <c r="BK62" i="65"/>
  <c r="I22" i="65" s="1"/>
  <c r="AE62" i="65"/>
  <c r="H22" i="65" s="1"/>
  <c r="G23" i="65"/>
  <c r="BL50" i="65"/>
  <c r="AF48" i="65"/>
  <c r="AF49" i="65"/>
  <c r="BL53" i="65"/>
  <c r="AF55" i="65"/>
  <c r="AF59" i="65"/>
  <c r="BL58" i="65"/>
  <c r="BL55" i="65"/>
  <c r="BL48" i="65"/>
  <c r="AF50" i="65"/>
  <c r="BL56" i="65"/>
  <c r="AF56" i="65"/>
  <c r="AF60" i="65"/>
  <c r="BL59" i="65"/>
  <c r="BM46" i="65"/>
  <c r="BM43" i="65"/>
  <c r="BM42" i="65"/>
  <c r="BM41" i="65"/>
  <c r="BM40" i="65"/>
  <c r="BM39" i="65"/>
  <c r="AG45" i="65"/>
  <c r="AG41" i="65"/>
  <c r="BM30" i="65"/>
  <c r="AG42" i="65"/>
  <c r="AG38" i="65"/>
  <c r="AG37" i="65"/>
  <c r="AG36" i="65"/>
  <c r="AG35" i="65"/>
  <c r="AG34" i="65"/>
  <c r="AG33" i="65"/>
  <c r="AG32" i="65"/>
  <c r="AG31" i="65"/>
  <c r="AG43" i="65"/>
  <c r="AG39" i="65"/>
  <c r="AG40" i="65"/>
  <c r="BM36" i="65"/>
  <c r="BM32" i="65"/>
  <c r="AG28" i="65"/>
  <c r="BM26" i="65"/>
  <c r="AG24" i="65"/>
  <c r="BM22" i="65"/>
  <c r="BM37" i="65"/>
  <c r="BM33" i="65"/>
  <c r="BM29" i="65"/>
  <c r="AG27" i="65"/>
  <c r="BM25" i="65"/>
  <c r="AG23" i="65"/>
  <c r="BM38" i="65"/>
  <c r="BM34" i="65"/>
  <c r="AG30" i="65"/>
  <c r="BM28" i="65"/>
  <c r="AG26" i="65"/>
  <c r="BM24" i="65"/>
  <c r="F24" i="65"/>
  <c r="E25" i="65" s="1"/>
  <c r="BM31" i="65"/>
  <c r="AG29" i="65"/>
  <c r="AG22" i="65"/>
  <c r="BM20" i="65"/>
  <c r="AG18" i="65"/>
  <c r="BM16" i="65"/>
  <c r="AG14" i="65"/>
  <c r="BM12" i="65"/>
  <c r="AG10" i="65"/>
  <c r="BM8" i="65"/>
  <c r="AG6" i="65"/>
  <c r="BM4" i="65"/>
  <c r="BM35" i="65"/>
  <c r="BM27" i="65"/>
  <c r="AG25" i="65"/>
  <c r="AG21" i="65"/>
  <c r="BM19" i="65"/>
  <c r="AG17" i="65"/>
  <c r="BM15" i="65"/>
  <c r="AG13" i="65"/>
  <c r="BM11" i="65"/>
  <c r="AG9" i="65"/>
  <c r="BM7" i="65"/>
  <c r="AG5" i="65"/>
  <c r="BM23" i="65"/>
  <c r="AG20" i="65"/>
  <c r="BM18" i="65"/>
  <c r="AG16" i="65"/>
  <c r="BM14" i="65"/>
  <c r="AG12" i="65"/>
  <c r="BM10" i="65"/>
  <c r="AG8" i="65"/>
  <c r="BM6" i="65"/>
  <c r="AG4" i="65"/>
  <c r="BM13" i="65"/>
  <c r="AG11" i="65"/>
  <c r="AG2" i="65"/>
  <c r="BM9" i="65"/>
  <c r="AG7" i="65"/>
  <c r="BM3" i="65"/>
  <c r="AG3" i="65"/>
  <c r="BM21" i="65"/>
  <c r="AG19" i="65"/>
  <c r="BM5" i="65"/>
  <c r="BM2" i="65"/>
  <c r="BM17" i="65"/>
  <c r="AG15" i="65"/>
  <c r="BL51" i="65"/>
  <c r="BL49" i="65"/>
  <c r="BL52" i="65"/>
  <c r="AF51" i="65"/>
  <c r="AF53" i="65"/>
  <c r="AF57" i="65"/>
  <c r="AF61" i="65"/>
  <c r="BL60" i="65"/>
  <c r="BL47" i="65"/>
  <c r="AF47" i="65"/>
  <c r="BL54" i="65"/>
  <c r="AF52" i="65"/>
  <c r="AF54" i="65"/>
  <c r="AF58" i="65"/>
  <c r="BL57" i="65"/>
  <c r="BL61" i="65"/>
  <c r="H30" i="63"/>
  <c r="AB41" i="16"/>
  <c r="AB17" i="16"/>
  <c r="AB53" i="16"/>
  <c r="AB50" i="16"/>
  <c r="AK62" i="16"/>
  <c r="AB34" i="16"/>
  <c r="AB28" i="16"/>
  <c r="AB62" i="16"/>
  <c r="AB32" i="16"/>
  <c r="AB54" i="16"/>
  <c r="AK56" i="16"/>
  <c r="AB48" i="16"/>
  <c r="AB25" i="16"/>
  <c r="AB44" i="16"/>
  <c r="AB36" i="16"/>
  <c r="AB47" i="16"/>
  <c r="AK34" i="16"/>
  <c r="AK48" i="16"/>
  <c r="AB31" i="16"/>
  <c r="AB60" i="16"/>
  <c r="AB27" i="16"/>
  <c r="AB38" i="16"/>
  <c r="AB37" i="16"/>
  <c r="AK58" i="16"/>
  <c r="AK46" i="16"/>
  <c r="AK54" i="16"/>
  <c r="AK49" i="16"/>
  <c r="AK53" i="16"/>
  <c r="AK52" i="16"/>
  <c r="AB35" i="16"/>
  <c r="AB52" i="16"/>
  <c r="AK35" i="16"/>
  <c r="AK44" i="16"/>
  <c r="AB21" i="16"/>
  <c r="AB22" i="16"/>
  <c r="AK42" i="16"/>
  <c r="AB20" i="16"/>
  <c r="AK57" i="16"/>
  <c r="AB19" i="16"/>
  <c r="AB55" i="16"/>
  <c r="AB57" i="16"/>
  <c r="AB43" i="16"/>
  <c r="AK40" i="16"/>
  <c r="AK33" i="16"/>
  <c r="AK60" i="16"/>
  <c r="AK39" i="16"/>
  <c r="AK51" i="16"/>
  <c r="AB29" i="16"/>
  <c r="AB42" i="16"/>
  <c r="AB58" i="16"/>
  <c r="AB56" i="16"/>
  <c r="AB23" i="16"/>
  <c r="AB39" i="16"/>
  <c r="AB59" i="16"/>
  <c r="AK41" i="16"/>
  <c r="AK32" i="16"/>
  <c r="AK38" i="16"/>
  <c r="AK36" i="16"/>
  <c r="AK47" i="16"/>
  <c r="AK31" i="16"/>
  <c r="AK50" i="16"/>
  <c r="AK43" i="16"/>
  <c r="AK37" i="16"/>
  <c r="AB61" i="16"/>
  <c r="AB30" i="16"/>
  <c r="AB26" i="16"/>
  <c r="AB40" i="16"/>
  <c r="AB45" i="16"/>
  <c r="AB49" i="16"/>
  <c r="AB18" i="16"/>
  <c r="AK55" i="16"/>
  <c r="AK59" i="16"/>
  <c r="AK61" i="16"/>
  <c r="AK45" i="16"/>
  <c r="AK30" i="16"/>
  <c r="I17" i="16"/>
  <c r="CA30" i="16"/>
  <c r="BY31" i="16"/>
  <c r="BZ31" i="16"/>
  <c r="AX23" i="16"/>
  <c r="AY23" i="16" s="1"/>
  <c r="AX49" i="16"/>
  <c r="AY49" i="16" s="1"/>
  <c r="AX38" i="16"/>
  <c r="AY38" i="16" s="1"/>
  <c r="AX59" i="16"/>
  <c r="AY59" i="16" s="1"/>
  <c r="AX36" i="16"/>
  <c r="AY36" i="16" s="1"/>
  <c r="AX34" i="16"/>
  <c r="AY34" i="16" s="1"/>
  <c r="BN24" i="16"/>
  <c r="BP23" i="16"/>
  <c r="AX55" i="16"/>
  <c r="AY55" i="16" s="1"/>
  <c r="AP29" i="16"/>
  <c r="AP30" i="16" s="1"/>
  <c r="AP31" i="16" s="1"/>
  <c r="AP32" i="16" s="1"/>
  <c r="AP33" i="16" s="1"/>
  <c r="AP34" i="16" s="1"/>
  <c r="AP35" i="16" s="1"/>
  <c r="AP36" i="16" s="1"/>
  <c r="AP37" i="16" s="1"/>
  <c r="AP38" i="16" s="1"/>
  <c r="AP39" i="16" s="1"/>
  <c r="AP40" i="16" s="1"/>
  <c r="AP41" i="16" s="1"/>
  <c r="AX41" i="16"/>
  <c r="AY41" i="16" s="1"/>
  <c r="AX43" i="16"/>
  <c r="AY43" i="16" s="1"/>
  <c r="AX51" i="16"/>
  <c r="AY51" i="16" s="1"/>
  <c r="AX62" i="16"/>
  <c r="AY62" i="16" s="1"/>
  <c r="AX53" i="16"/>
  <c r="AY53" i="16" s="1"/>
  <c r="AX31" i="16"/>
  <c r="AY31" i="16" s="1"/>
  <c r="AX56" i="16"/>
  <c r="AY56" i="16" s="1"/>
  <c r="AX24" i="16"/>
  <c r="AY24" i="16" s="1"/>
  <c r="AM43" i="16"/>
  <c r="AN42" i="16"/>
  <c r="AX54" i="16"/>
  <c r="AY54" i="16" s="1"/>
  <c r="AX45" i="16"/>
  <c r="AY45" i="16" s="1"/>
  <c r="AX30" i="16"/>
  <c r="AY30" i="16" s="1"/>
  <c r="AX48" i="16"/>
  <c r="AY48" i="16" s="1"/>
  <c r="AX17" i="16"/>
  <c r="AY17" i="16" s="1"/>
  <c r="AX21" i="16"/>
  <c r="AY21" i="16" s="1"/>
  <c r="AX52" i="16"/>
  <c r="AY52" i="16" s="1"/>
  <c r="AX25" i="16"/>
  <c r="AY25" i="16" s="1"/>
  <c r="AX18" i="16"/>
  <c r="AY18" i="16" s="1"/>
  <c r="AY29" i="16"/>
  <c r="AX61" i="16"/>
  <c r="AY61" i="16" s="1"/>
  <c r="AY50" i="16"/>
  <c r="AX58" i="16"/>
  <c r="AY58" i="16" s="1"/>
  <c r="AX47" i="16"/>
  <c r="AY47" i="16" s="1"/>
  <c r="AX22" i="16"/>
  <c r="AY22" i="16" s="1"/>
  <c r="AX26" i="16"/>
  <c r="AY26" i="16" s="1"/>
  <c r="AX40" i="16"/>
  <c r="AY40" i="16" s="1"/>
  <c r="AX32" i="16"/>
  <c r="AY32" i="16" s="1"/>
  <c r="AX33" i="16"/>
  <c r="AY33" i="16" s="1"/>
  <c r="AX20" i="16"/>
  <c r="AY20" i="16" s="1"/>
  <c r="AX35" i="16"/>
  <c r="AY35" i="16" s="1"/>
  <c r="AX28" i="16"/>
  <c r="AY28" i="16" s="1"/>
  <c r="AX46" i="16"/>
  <c r="AY46" i="16" s="1"/>
  <c r="AX42" i="16"/>
  <c r="AY42" i="16" s="1"/>
  <c r="AX37" i="16"/>
  <c r="AY37" i="16" s="1"/>
  <c r="AX57" i="16"/>
  <c r="AY57" i="16" s="1"/>
  <c r="AY19" i="16"/>
  <c r="AX60" i="16"/>
  <c r="AY60" i="16" s="1"/>
  <c r="AX39" i="16"/>
  <c r="AY39" i="16" s="1"/>
  <c r="AX44" i="16"/>
  <c r="AY44" i="16" s="1"/>
  <c r="AX27" i="16"/>
  <c r="AY27" i="16" s="1"/>
  <c r="Q19" i="28"/>
  <c r="AW19" i="28"/>
  <c r="AW20" i="28"/>
  <c r="Q17" i="28"/>
  <c r="AW17" i="28"/>
  <c r="Q21" i="28"/>
  <c r="Q18" i="28"/>
  <c r="AW18" i="28"/>
  <c r="Q20" i="28"/>
  <c r="AW21" i="28"/>
  <c r="Q22" i="28"/>
  <c r="AW22" i="28"/>
  <c r="BK25" i="16"/>
  <c r="BM24" i="16"/>
  <c r="E21" i="2"/>
  <c r="F21" i="2"/>
  <c r="BH25" i="16"/>
  <c r="BJ24" i="16"/>
  <c r="G8" i="28"/>
  <c r="R2" i="28"/>
  <c r="AV62" i="28"/>
  <c r="I7" i="28" s="1"/>
  <c r="P62" i="28"/>
  <c r="H7" i="28" s="1"/>
  <c r="Q53" i="28"/>
  <c r="Q55" i="28"/>
  <c r="Q23" i="28"/>
  <c r="Q48" i="28"/>
  <c r="AW48" i="28"/>
  <c r="AW59" i="28"/>
  <c r="AW43" i="28"/>
  <c r="AW28" i="28"/>
  <c r="Q45" i="28"/>
  <c r="Q46" i="28"/>
  <c r="Q35" i="28"/>
  <c r="AW38" i="28"/>
  <c r="Q28" i="28"/>
  <c r="AW57" i="28"/>
  <c r="AW49" i="28"/>
  <c r="AW41" i="28"/>
  <c r="AW34" i="28"/>
  <c r="Q54" i="28"/>
  <c r="AW29" i="28"/>
  <c r="AW23" i="28"/>
  <c r="Q50" i="28"/>
  <c r="AW42" i="28"/>
  <c r="Q60" i="28"/>
  <c r="AW44" i="28"/>
  <c r="AW35" i="28"/>
  <c r="Q57" i="28"/>
  <c r="Q34" i="28"/>
  <c r="AW50" i="28"/>
  <c r="Q37" i="28"/>
  <c r="Q49" i="28"/>
  <c r="Q58" i="28"/>
  <c r="Q38" i="28"/>
  <c r="Q47" i="28"/>
  <c r="Q31" i="28"/>
  <c r="Q56" i="28"/>
  <c r="Q40" i="28"/>
  <c r="Q24" i="28"/>
  <c r="AW56" i="28"/>
  <c r="AW40" i="28"/>
  <c r="AW25" i="28"/>
  <c r="AW55" i="28"/>
  <c r="AW47" i="28"/>
  <c r="AW39" i="28"/>
  <c r="AW31" i="28"/>
  <c r="AW32" i="28"/>
  <c r="AW24" i="28"/>
  <c r="AX4" i="28"/>
  <c r="AX6" i="28"/>
  <c r="AX8" i="28"/>
  <c r="AX10" i="28"/>
  <c r="AX12" i="28"/>
  <c r="AX14" i="28"/>
  <c r="AX16" i="28"/>
  <c r="AX18" i="28"/>
  <c r="AX20" i="28"/>
  <c r="AX9" i="28"/>
  <c r="AX17" i="28"/>
  <c r="AX11" i="28"/>
  <c r="AX19" i="28"/>
  <c r="AX5" i="28"/>
  <c r="AX7" i="28"/>
  <c r="AX2" i="28"/>
  <c r="R6" i="28"/>
  <c r="R10" i="28"/>
  <c r="R14" i="28"/>
  <c r="AX15" i="28"/>
  <c r="R5" i="28"/>
  <c r="R9" i="28"/>
  <c r="R13" i="28"/>
  <c r="R17" i="28"/>
  <c r="AX13" i="28"/>
  <c r="R4" i="28"/>
  <c r="R12" i="28"/>
  <c r="R8" i="28"/>
  <c r="R11" i="28"/>
  <c r="R20" i="28"/>
  <c r="R16" i="28"/>
  <c r="R19" i="28"/>
  <c r="AX3" i="28"/>
  <c r="R15" i="28"/>
  <c r="R3" i="28"/>
  <c r="R7" i="28"/>
  <c r="R18" i="28"/>
  <c r="Q25" i="28"/>
  <c r="Q39" i="28"/>
  <c r="AW46" i="28"/>
  <c r="Q32" i="28"/>
  <c r="AW51" i="28"/>
  <c r="AW58" i="28"/>
  <c r="Q51" i="28"/>
  <c r="Q44" i="28"/>
  <c r="AW60" i="28"/>
  <c r="AW33" i="28"/>
  <c r="AW26" i="28"/>
  <c r="Q41" i="28"/>
  <c r="Q26" i="28"/>
  <c r="Q61" i="28"/>
  <c r="Q29" i="28"/>
  <c r="Q33" i="28"/>
  <c r="Q42" i="28"/>
  <c r="Q30" i="28"/>
  <c r="Q59" i="28"/>
  <c r="Q43" i="28"/>
  <c r="Q27" i="28"/>
  <c r="AW54" i="28"/>
  <c r="Q52" i="28"/>
  <c r="Q36" i="28"/>
  <c r="AW52" i="28"/>
  <c r="AW36" i="28"/>
  <c r="AW61" i="28"/>
  <c r="AW53" i="28"/>
  <c r="AW45" i="28"/>
  <c r="AW37" i="28"/>
  <c r="AW27" i="28"/>
  <c r="AW30" i="28"/>
  <c r="F9" i="28"/>
  <c r="E10" i="28" s="1"/>
  <c r="BL31" i="16"/>
  <c r="F3" i="15"/>
  <c r="F4" i="15" s="1"/>
  <c r="F5" i="15" s="1"/>
  <c r="F6" i="15" s="1"/>
  <c r="F7" i="15" s="1"/>
  <c r="F8" i="15" s="1"/>
  <c r="F9" i="15" s="1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F39" i="15" s="1"/>
  <c r="F40" i="15" s="1"/>
  <c r="F41" i="15" s="1"/>
  <c r="F42" i="15" s="1"/>
  <c r="F43" i="15" s="1"/>
  <c r="F44" i="15" s="1"/>
  <c r="F45" i="15" s="1"/>
  <c r="F46" i="15" s="1"/>
  <c r="F47" i="15" s="1"/>
  <c r="F48" i="15" s="1"/>
  <c r="F49" i="15" s="1"/>
  <c r="F50" i="15" s="1"/>
  <c r="F51" i="15" s="1"/>
  <c r="F52" i="15" s="1"/>
  <c r="F53" i="15" s="1"/>
  <c r="F54" i="15" s="1"/>
  <c r="F55" i="15" s="1"/>
  <c r="F56" i="15" s="1"/>
  <c r="F57" i="15" s="1"/>
  <c r="F58" i="15" s="1"/>
  <c r="F59" i="15" s="1"/>
  <c r="F60" i="15" s="1"/>
  <c r="F61" i="15" s="1"/>
  <c r="G3" i="2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H2" i="2"/>
  <c r="K2" i="2" s="1"/>
  <c r="D61" i="2"/>
  <c r="D22" i="2"/>
  <c r="F22" i="2" s="1"/>
  <c r="C22" i="2"/>
  <c r="D23" i="2"/>
  <c r="C23" i="2"/>
  <c r="D24" i="2"/>
  <c r="C24" i="2"/>
  <c r="D25" i="2"/>
  <c r="C25" i="2"/>
  <c r="D26" i="2"/>
  <c r="C26" i="2"/>
  <c r="D27" i="2"/>
  <c r="C27" i="2"/>
  <c r="D28" i="2"/>
  <c r="C28" i="2"/>
  <c r="D29" i="2"/>
  <c r="C29" i="2"/>
  <c r="D30" i="2"/>
  <c r="C30" i="2"/>
  <c r="D31" i="2"/>
  <c r="C31" i="2"/>
  <c r="D32" i="2"/>
  <c r="C32" i="2"/>
  <c r="D33" i="2"/>
  <c r="C33" i="2"/>
  <c r="D34" i="2"/>
  <c r="C34" i="2"/>
  <c r="D35" i="2"/>
  <c r="C35" i="2"/>
  <c r="D36" i="2"/>
  <c r="C36" i="2"/>
  <c r="D37" i="2"/>
  <c r="C37" i="2"/>
  <c r="D38" i="2"/>
  <c r="C38" i="2"/>
  <c r="D39" i="2"/>
  <c r="C39" i="2"/>
  <c r="D40" i="2"/>
  <c r="C40" i="2"/>
  <c r="D41" i="2"/>
  <c r="C41" i="2"/>
  <c r="D42" i="2"/>
  <c r="C42" i="2"/>
  <c r="D43" i="2"/>
  <c r="C43" i="2"/>
  <c r="D44" i="2"/>
  <c r="C44" i="2"/>
  <c r="D45" i="2"/>
  <c r="C45" i="2"/>
  <c r="D46" i="2"/>
  <c r="C46" i="2"/>
  <c r="D47" i="2"/>
  <c r="C47" i="2"/>
  <c r="D48" i="2"/>
  <c r="C48" i="2"/>
  <c r="D49" i="2"/>
  <c r="C49" i="2"/>
  <c r="D50" i="2"/>
  <c r="C50" i="2"/>
  <c r="D51" i="2"/>
  <c r="C51" i="2"/>
  <c r="D52" i="2"/>
  <c r="C52" i="2"/>
  <c r="D53" i="2"/>
  <c r="C53" i="2"/>
  <c r="D54" i="2"/>
  <c r="C54" i="2"/>
  <c r="D55" i="2"/>
  <c r="C55" i="2"/>
  <c r="D56" i="2"/>
  <c r="C56" i="2"/>
  <c r="D57" i="2"/>
  <c r="C57" i="2"/>
  <c r="D58" i="2"/>
  <c r="C58" i="2"/>
  <c r="D59" i="2"/>
  <c r="C59" i="2"/>
  <c r="D60" i="2"/>
  <c r="C60" i="2"/>
  <c r="C61" i="2"/>
  <c r="AG46" i="65" l="1"/>
  <c r="BL62" i="65"/>
  <c r="I23" i="65" s="1"/>
  <c r="AG44" i="65"/>
  <c r="BM44" i="65"/>
  <c r="BM45" i="65"/>
  <c r="AF62" i="65"/>
  <c r="H23" i="65" s="1"/>
  <c r="AG48" i="65"/>
  <c r="BM47" i="65"/>
  <c r="BM50" i="65"/>
  <c r="AG50" i="65"/>
  <c r="BM54" i="65"/>
  <c r="BM58" i="65"/>
  <c r="AG56" i="65"/>
  <c r="AG58" i="65"/>
  <c r="BN46" i="65"/>
  <c r="BN45" i="65"/>
  <c r="BN43" i="65"/>
  <c r="BN42" i="65"/>
  <c r="BN41" i="65"/>
  <c r="BN40" i="65"/>
  <c r="BN39" i="65"/>
  <c r="AH46" i="65"/>
  <c r="AH45" i="65"/>
  <c r="AH43" i="65"/>
  <c r="AH42" i="65"/>
  <c r="AH41" i="65"/>
  <c r="AH40" i="65"/>
  <c r="AH39" i="65"/>
  <c r="AH38" i="65"/>
  <c r="AH37" i="65"/>
  <c r="AH36" i="65"/>
  <c r="AH35" i="65"/>
  <c r="AH34" i="65"/>
  <c r="AH33" i="65"/>
  <c r="AH32" i="65"/>
  <c r="AH31" i="65"/>
  <c r="BN38" i="65"/>
  <c r="BN37" i="65"/>
  <c r="BN36" i="65"/>
  <c r="BN35" i="65"/>
  <c r="BN34" i="65"/>
  <c r="BN33" i="65"/>
  <c r="BN32" i="65"/>
  <c r="BN31" i="65"/>
  <c r="BN29" i="65"/>
  <c r="AH27" i="65"/>
  <c r="BN25" i="65"/>
  <c r="AH23" i="65"/>
  <c r="AH30" i="65"/>
  <c r="BN28" i="65"/>
  <c r="AH26" i="65"/>
  <c r="F25" i="65"/>
  <c r="E26" i="65" s="1"/>
  <c r="BN24" i="65"/>
  <c r="AH29" i="65"/>
  <c r="BN27" i="65"/>
  <c r="AH25" i="65"/>
  <c r="BN23" i="65"/>
  <c r="BN30" i="65"/>
  <c r="AH28" i="65"/>
  <c r="AH21" i="65"/>
  <c r="BN19" i="65"/>
  <c r="AH17" i="65"/>
  <c r="BN15" i="65"/>
  <c r="AH13" i="65"/>
  <c r="BN11" i="65"/>
  <c r="AH9" i="65"/>
  <c r="BN7" i="65"/>
  <c r="AH5" i="65"/>
  <c r="BN26" i="65"/>
  <c r="AH24" i="65"/>
  <c r="AH20" i="65"/>
  <c r="BN18" i="65"/>
  <c r="AH16" i="65"/>
  <c r="BN14" i="65"/>
  <c r="AH12" i="65"/>
  <c r="BN10" i="65"/>
  <c r="AH8" i="65"/>
  <c r="BN6" i="65"/>
  <c r="AH4" i="65"/>
  <c r="BN22" i="65"/>
  <c r="BN21" i="65"/>
  <c r="AH19" i="65"/>
  <c r="BN17" i="65"/>
  <c r="AH15" i="65"/>
  <c r="BN13" i="65"/>
  <c r="AH11" i="65"/>
  <c r="BN9" i="65"/>
  <c r="AH7" i="65"/>
  <c r="BN5" i="65"/>
  <c r="BN12" i="65"/>
  <c r="AH10" i="65"/>
  <c r="BN3" i="65"/>
  <c r="AH22" i="65"/>
  <c r="BN8" i="65"/>
  <c r="AH6" i="65"/>
  <c r="BN2" i="65"/>
  <c r="AH2" i="65"/>
  <c r="BN20" i="65"/>
  <c r="AH18" i="65"/>
  <c r="BN4" i="65"/>
  <c r="AH3" i="65"/>
  <c r="BN16" i="65"/>
  <c r="AH14" i="65"/>
  <c r="BM60" i="65"/>
  <c r="BM51" i="65"/>
  <c r="AG51" i="65"/>
  <c r="BM55" i="65"/>
  <c r="AG53" i="65"/>
  <c r="BM57" i="65"/>
  <c r="AG59" i="65"/>
  <c r="G24" i="65"/>
  <c r="AG47" i="65"/>
  <c r="BM48" i="65"/>
  <c r="BM52" i="65"/>
  <c r="AG52" i="65"/>
  <c r="BM56" i="65"/>
  <c r="AG54" i="65"/>
  <c r="BM61" i="65"/>
  <c r="AG60" i="65"/>
  <c r="BM49" i="65"/>
  <c r="AG49" i="65"/>
  <c r="BM53" i="65"/>
  <c r="BM59" i="65"/>
  <c r="AG55" i="65"/>
  <c r="AG57" i="65"/>
  <c r="AG61" i="65"/>
  <c r="H31" i="63"/>
  <c r="AC45" i="16"/>
  <c r="AC61" i="16"/>
  <c r="AC36" i="16"/>
  <c r="AC41" i="16"/>
  <c r="AC32" i="16"/>
  <c r="AC35" i="16"/>
  <c r="AC38" i="16"/>
  <c r="AC44" i="16"/>
  <c r="AC33" i="16"/>
  <c r="AC46" i="16"/>
  <c r="AC31" i="16"/>
  <c r="AC40" i="16"/>
  <c r="AC56" i="16"/>
  <c r="AC54" i="16"/>
  <c r="AC59" i="16"/>
  <c r="AC58" i="16"/>
  <c r="AC43" i="16"/>
  <c r="AC53" i="16"/>
  <c r="AC37" i="16"/>
  <c r="AC55" i="16"/>
  <c r="AC50" i="16"/>
  <c r="AC48" i="16"/>
  <c r="AC34" i="16"/>
  <c r="AC52" i="16"/>
  <c r="AD54" i="16" s="1"/>
  <c r="AC49" i="16"/>
  <c r="AC30" i="16"/>
  <c r="AC39" i="16"/>
  <c r="AC42" i="16"/>
  <c r="AC57" i="16"/>
  <c r="AC51" i="16"/>
  <c r="AC60" i="16"/>
  <c r="AC62" i="16"/>
  <c r="AC47" i="16"/>
  <c r="AD49" i="16" s="1"/>
  <c r="I18" i="16"/>
  <c r="CA31" i="16"/>
  <c r="BY32" i="16"/>
  <c r="BZ32" i="16"/>
  <c r="BN25" i="16"/>
  <c r="BP24" i="16"/>
  <c r="AQ40" i="16"/>
  <c r="AR40" i="16" s="1"/>
  <c r="AP42" i="16"/>
  <c r="AM44" i="16"/>
  <c r="AN43" i="16"/>
  <c r="R22" i="28"/>
  <c r="R21" i="28"/>
  <c r="AX22" i="28"/>
  <c r="AX21" i="28"/>
  <c r="R24" i="28"/>
  <c r="AX27" i="28"/>
  <c r="R26" i="28"/>
  <c r="R25" i="28"/>
  <c r="AX23" i="28"/>
  <c r="AX28" i="28"/>
  <c r="R27" i="28"/>
  <c r="AX25" i="28"/>
  <c r="AX26" i="28"/>
  <c r="R28" i="28"/>
  <c r="R23" i="28"/>
  <c r="AX24" i="28"/>
  <c r="E23" i="2"/>
  <c r="E32" i="2"/>
  <c r="E37" i="2"/>
  <c r="E36" i="2"/>
  <c r="F30" i="2"/>
  <c r="E29" i="2"/>
  <c r="E26" i="2"/>
  <c r="BK26" i="16"/>
  <c r="BM25" i="16"/>
  <c r="F58" i="2"/>
  <c r="F54" i="2"/>
  <c r="F50" i="2"/>
  <c r="F46" i="2"/>
  <c r="F37" i="2"/>
  <c r="F23" i="2"/>
  <c r="E57" i="2"/>
  <c r="E33" i="2"/>
  <c r="E25" i="2"/>
  <c r="F34" i="2"/>
  <c r="F61" i="2"/>
  <c r="F59" i="2"/>
  <c r="F57" i="2"/>
  <c r="F55" i="2"/>
  <c r="F53" i="2"/>
  <c r="F51" i="2"/>
  <c r="F49" i="2"/>
  <c r="F47" i="2"/>
  <c r="F45" i="2"/>
  <c r="F43" i="2"/>
  <c r="F41" i="2"/>
  <c r="E28" i="2"/>
  <c r="E39" i="2"/>
  <c r="F35" i="2"/>
  <c r="E35" i="2"/>
  <c r="F28" i="2"/>
  <c r="F39" i="2"/>
  <c r="F26" i="2"/>
  <c r="F36" i="2"/>
  <c r="F60" i="2"/>
  <c r="F56" i="2"/>
  <c r="F52" i="2"/>
  <c r="F48" i="2"/>
  <c r="F44" i="2"/>
  <c r="F42" i="2"/>
  <c r="F29" i="2"/>
  <c r="F32" i="2"/>
  <c r="E61" i="2"/>
  <c r="E59" i="2"/>
  <c r="E55" i="2"/>
  <c r="E53" i="2"/>
  <c r="E51" i="2"/>
  <c r="E49" i="2"/>
  <c r="E47" i="2"/>
  <c r="E45" i="2"/>
  <c r="E43" i="2"/>
  <c r="E41" i="2"/>
  <c r="E34" i="2"/>
  <c r="F38" i="2"/>
  <c r="E38" i="2"/>
  <c r="E31" i="2"/>
  <c r="F33" i="2"/>
  <c r="F40" i="2"/>
  <c r="E60" i="2"/>
  <c r="E58" i="2"/>
  <c r="E56" i="2"/>
  <c r="E54" i="2"/>
  <c r="E52" i="2"/>
  <c r="E50" i="2"/>
  <c r="E48" i="2"/>
  <c r="E46" i="2"/>
  <c r="E44" i="2"/>
  <c r="E42" i="2"/>
  <c r="E24" i="2"/>
  <c r="E27" i="2"/>
  <c r="E30" i="2"/>
  <c r="E40" i="2"/>
  <c r="E22" i="2"/>
  <c r="F24" i="2"/>
  <c r="F27" i="2"/>
  <c r="F25" i="2"/>
  <c r="F31" i="2"/>
  <c r="H3" i="2"/>
  <c r="K3" i="2" s="1"/>
  <c r="BH26" i="16"/>
  <c r="BJ25" i="16"/>
  <c r="G9" i="28"/>
  <c r="S2" i="28"/>
  <c r="AX45" i="28"/>
  <c r="R52" i="28"/>
  <c r="AX48" i="28"/>
  <c r="R54" i="28"/>
  <c r="R47" i="28"/>
  <c r="R49" i="28"/>
  <c r="AX47" i="28"/>
  <c r="R35" i="28"/>
  <c r="R59" i="28"/>
  <c r="R45" i="28"/>
  <c r="AX37" i="28"/>
  <c r="AX40" i="28"/>
  <c r="R58" i="28"/>
  <c r="R51" i="28"/>
  <c r="AX49" i="28"/>
  <c r="R36" i="28"/>
  <c r="AX41" i="28"/>
  <c r="R33" i="28"/>
  <c r="AX35" i="28"/>
  <c r="Q62" i="28"/>
  <c r="H8" i="28" s="1"/>
  <c r="R46" i="28"/>
  <c r="R39" i="28"/>
  <c r="R48" i="28"/>
  <c r="R42" i="28"/>
  <c r="R50" i="28"/>
  <c r="R32" i="28"/>
  <c r="R61" i="28"/>
  <c r="R29" i="28"/>
  <c r="AX56" i="28"/>
  <c r="AX34" i="28"/>
  <c r="AW62" i="28"/>
  <c r="I8" i="28" s="1"/>
  <c r="AX59" i="28"/>
  <c r="AX43" i="28"/>
  <c r="AX31" i="28"/>
  <c r="AX54" i="28"/>
  <c r="AX46" i="28"/>
  <c r="AX38" i="28"/>
  <c r="AX32" i="28"/>
  <c r="R38" i="28"/>
  <c r="R34" i="28"/>
  <c r="R31" i="28"/>
  <c r="R60" i="28"/>
  <c r="R44" i="28"/>
  <c r="R57" i="28"/>
  <c r="R41" i="28"/>
  <c r="AX61" i="28"/>
  <c r="AX55" i="28"/>
  <c r="AX39" i="28"/>
  <c r="AX60" i="28"/>
  <c r="AX52" i="28"/>
  <c r="AX44" i="28"/>
  <c r="AX36" i="28"/>
  <c r="AX30" i="28"/>
  <c r="AY5" i="28"/>
  <c r="AY7" i="28"/>
  <c r="AY9" i="28"/>
  <c r="AY11" i="28"/>
  <c r="AY13" i="28"/>
  <c r="AY15" i="28"/>
  <c r="AY17" i="28"/>
  <c r="AY19" i="28"/>
  <c r="AY4" i="28"/>
  <c r="AY6" i="28"/>
  <c r="AY8" i="28"/>
  <c r="AY10" i="28"/>
  <c r="AY12" i="28"/>
  <c r="AY14" i="28"/>
  <c r="AY16" i="28"/>
  <c r="AY18" i="28"/>
  <c r="AY20" i="28"/>
  <c r="AY2" i="28"/>
  <c r="S7" i="28"/>
  <c r="S11" i="28"/>
  <c r="S15" i="28"/>
  <c r="S6" i="28"/>
  <c r="S10" i="28"/>
  <c r="S14" i="28"/>
  <c r="S5" i="28"/>
  <c r="S13" i="28"/>
  <c r="S18" i="28"/>
  <c r="S4" i="28"/>
  <c r="S12" i="28"/>
  <c r="AY3" i="28"/>
  <c r="S9" i="28"/>
  <c r="S17" i="28"/>
  <c r="S20" i="28"/>
  <c r="S3" i="28"/>
  <c r="S16" i="28"/>
  <c r="S8" i="28"/>
  <c r="S19" i="28"/>
  <c r="R43" i="28"/>
  <c r="AX29" i="28"/>
  <c r="R30" i="28"/>
  <c r="R55" i="28"/>
  <c r="AX57" i="28"/>
  <c r="R56" i="28"/>
  <c r="R40" i="28"/>
  <c r="R53" i="28"/>
  <c r="R37" i="28"/>
  <c r="AX53" i="28"/>
  <c r="AX33" i="28"/>
  <c r="AX51" i="28"/>
  <c r="AX58" i="28"/>
  <c r="AX50" i="28"/>
  <c r="AX42" i="28"/>
  <c r="F10" i="28"/>
  <c r="E11" i="28" s="1"/>
  <c r="BL32" i="16"/>
  <c r="G22" i="2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AD60" i="16" l="1"/>
  <c r="AD46" i="16"/>
  <c r="AH44" i="65"/>
  <c r="BN44" i="65"/>
  <c r="BM62" i="65"/>
  <c r="I24" i="65" s="1"/>
  <c r="AG62" i="65"/>
  <c r="H24" i="65" s="1"/>
  <c r="AH50" i="65"/>
  <c r="AH55" i="65"/>
  <c r="BN51" i="65"/>
  <c r="BN53" i="65"/>
  <c r="AH57" i="65"/>
  <c r="BN60" i="65"/>
  <c r="AH60" i="65"/>
  <c r="G25" i="65"/>
  <c r="AH47" i="65"/>
  <c r="BN47" i="65"/>
  <c r="BN48" i="65"/>
  <c r="BN52" i="65"/>
  <c r="BN54" i="65"/>
  <c r="BN57" i="65"/>
  <c r="BN61" i="65"/>
  <c r="AH61" i="65"/>
  <c r="AH48" i="65"/>
  <c r="AH49" i="65"/>
  <c r="BN49" i="65"/>
  <c r="AH54" i="65"/>
  <c r="BN55" i="65"/>
  <c r="BN58" i="65"/>
  <c r="AH58" i="65"/>
  <c r="BO50" i="65"/>
  <c r="AI50" i="65"/>
  <c r="AI47" i="65"/>
  <c r="AI46" i="65"/>
  <c r="AI45" i="65"/>
  <c r="AI44" i="65"/>
  <c r="AI43" i="65"/>
  <c r="AI42" i="65"/>
  <c r="AI41" i="65"/>
  <c r="AI40" i="65"/>
  <c r="AI39" i="65"/>
  <c r="BO45" i="65"/>
  <c r="BO41" i="65"/>
  <c r="BO46" i="65"/>
  <c r="BO42" i="65"/>
  <c r="BO38" i="65"/>
  <c r="BO37" i="65"/>
  <c r="BO36" i="65"/>
  <c r="BO35" i="65"/>
  <c r="BO34" i="65"/>
  <c r="BO33" i="65"/>
  <c r="BO32" i="65"/>
  <c r="BO31" i="65"/>
  <c r="BO47" i="65"/>
  <c r="BO43" i="65"/>
  <c r="BO39" i="65"/>
  <c r="BO30" i="65"/>
  <c r="AI37" i="65"/>
  <c r="AI33" i="65"/>
  <c r="AI30" i="65"/>
  <c r="BO28" i="65"/>
  <c r="AI26" i="65"/>
  <c r="F26" i="65"/>
  <c r="E27" i="65" s="1"/>
  <c r="BO24" i="65"/>
  <c r="AI38" i="65"/>
  <c r="AI34" i="65"/>
  <c r="AI29" i="65"/>
  <c r="BO27" i="65"/>
  <c r="AI25" i="65"/>
  <c r="BO23" i="65"/>
  <c r="BO40" i="65"/>
  <c r="AI35" i="65"/>
  <c r="AI31" i="65"/>
  <c r="AI28" i="65"/>
  <c r="BO26" i="65"/>
  <c r="AI24" i="65"/>
  <c r="BO22" i="65"/>
  <c r="BO44" i="65"/>
  <c r="BO29" i="65"/>
  <c r="AI27" i="65"/>
  <c r="AI20" i="65"/>
  <c r="BO18" i="65"/>
  <c r="AI16" i="65"/>
  <c r="BO14" i="65"/>
  <c r="AI12" i="65"/>
  <c r="BO10" i="65"/>
  <c r="AI8" i="65"/>
  <c r="BO6" i="65"/>
  <c r="BO25" i="65"/>
  <c r="AI23" i="65"/>
  <c r="BO21" i="65"/>
  <c r="AI19" i="65"/>
  <c r="BO17" i="65"/>
  <c r="AI15" i="65"/>
  <c r="BO13" i="65"/>
  <c r="AI11" i="65"/>
  <c r="BO9" i="65"/>
  <c r="AI7" i="65"/>
  <c r="BO5" i="65"/>
  <c r="AI32" i="65"/>
  <c r="AI22" i="65"/>
  <c r="BO20" i="65"/>
  <c r="AI18" i="65"/>
  <c r="BO16" i="65"/>
  <c r="AI14" i="65"/>
  <c r="BO12" i="65"/>
  <c r="AI10" i="65"/>
  <c r="BO8" i="65"/>
  <c r="AI6" i="65"/>
  <c r="BO4" i="65"/>
  <c r="AI36" i="65"/>
  <c r="BO11" i="65"/>
  <c r="AI9" i="65"/>
  <c r="BO2" i="65"/>
  <c r="AI21" i="65"/>
  <c r="BO7" i="65"/>
  <c r="AI5" i="65"/>
  <c r="AI3" i="65"/>
  <c r="BO3" i="65"/>
  <c r="BO19" i="65"/>
  <c r="AI17" i="65"/>
  <c r="AI4" i="65"/>
  <c r="AI2" i="65"/>
  <c r="BO15" i="65"/>
  <c r="AI13" i="65"/>
  <c r="AH52" i="65"/>
  <c r="AH51" i="65"/>
  <c r="AH56" i="65"/>
  <c r="BN50" i="65"/>
  <c r="AH53" i="65"/>
  <c r="BN56" i="65"/>
  <c r="BN59" i="65"/>
  <c r="AH59" i="65"/>
  <c r="H32" i="63"/>
  <c r="AD32" i="16"/>
  <c r="AD40" i="16"/>
  <c r="AD37" i="16"/>
  <c r="AD59" i="16"/>
  <c r="AD51" i="16"/>
  <c r="AD52" i="16"/>
  <c r="AD45" i="16"/>
  <c r="AD35" i="16"/>
  <c r="AD58" i="16"/>
  <c r="AD44" i="16"/>
  <c r="AD57" i="16"/>
  <c r="AD42" i="16"/>
  <c r="AD62" i="16"/>
  <c r="AD41" i="16"/>
  <c r="AD36" i="16"/>
  <c r="AD39" i="16"/>
  <c r="AD61" i="16"/>
  <c r="AD33" i="16"/>
  <c r="AD38" i="16"/>
  <c r="AD34" i="16"/>
  <c r="AD53" i="16"/>
  <c r="AD50" i="16"/>
  <c r="AD55" i="16"/>
  <c r="AD56" i="16"/>
  <c r="AD48" i="16"/>
  <c r="AD47" i="16"/>
  <c r="AD43" i="16"/>
  <c r="CA32" i="16"/>
  <c r="I19" i="16"/>
  <c r="BY33" i="16"/>
  <c r="BZ33" i="16"/>
  <c r="BN26" i="16"/>
  <c r="BP25" i="16"/>
  <c r="AQ41" i="16"/>
  <c r="AQ42" i="16" s="1"/>
  <c r="AR42" i="16" s="1"/>
  <c r="AP43" i="16"/>
  <c r="AM45" i="16"/>
  <c r="AN44" i="16"/>
  <c r="S21" i="28"/>
  <c r="AY21" i="28"/>
  <c r="S28" i="28"/>
  <c r="AY26" i="28"/>
  <c r="S23" i="28"/>
  <c r="S24" i="28"/>
  <c r="S22" i="28"/>
  <c r="AY22" i="28"/>
  <c r="AY23" i="28"/>
  <c r="S27" i="28"/>
  <c r="S25" i="28"/>
  <c r="S26" i="28"/>
  <c r="AY24" i="28"/>
  <c r="AY27" i="28"/>
  <c r="AY28" i="28"/>
  <c r="AY25" i="28"/>
  <c r="BK27" i="16"/>
  <c r="BM26" i="16"/>
  <c r="H4" i="2"/>
  <c r="K4" i="2" s="1"/>
  <c r="BH27" i="16"/>
  <c r="BJ26" i="16"/>
  <c r="T2" i="28"/>
  <c r="G10" i="28"/>
  <c r="AX62" i="28"/>
  <c r="I9" i="28" s="1"/>
  <c r="R62" i="28"/>
  <c r="H9" i="28" s="1"/>
  <c r="S44" i="28"/>
  <c r="S36" i="28"/>
  <c r="S29" i="28"/>
  <c r="S50" i="28"/>
  <c r="AY39" i="28"/>
  <c r="AY32" i="28"/>
  <c r="AY48" i="28"/>
  <c r="AY34" i="28"/>
  <c r="S59" i="28"/>
  <c r="S55" i="28"/>
  <c r="AY49" i="28"/>
  <c r="S32" i="28"/>
  <c r="S57" i="28"/>
  <c r="S41" i="28"/>
  <c r="AY61" i="28"/>
  <c r="S46" i="28"/>
  <c r="S30" i="28"/>
  <c r="AY51" i="28"/>
  <c r="AY54" i="28"/>
  <c r="AY46" i="28"/>
  <c r="AY38" i="28"/>
  <c r="AY30" i="28"/>
  <c r="AY33" i="28"/>
  <c r="S40" i="28"/>
  <c r="S45" i="28"/>
  <c r="AY37" i="28"/>
  <c r="S34" i="28"/>
  <c r="AY55" i="28"/>
  <c r="AY56" i="28"/>
  <c r="AY40" i="28"/>
  <c r="AY35" i="28"/>
  <c r="S43" i="28"/>
  <c r="S60" i="28"/>
  <c r="S47" i="28"/>
  <c r="S51" i="28"/>
  <c r="S56" i="28"/>
  <c r="AY41" i="28"/>
  <c r="S53" i="28"/>
  <c r="S37" i="28"/>
  <c r="AY53" i="28"/>
  <c r="S58" i="28"/>
  <c r="S42" i="28"/>
  <c r="AY47" i="28"/>
  <c r="AY60" i="28"/>
  <c r="AY52" i="28"/>
  <c r="AY44" i="28"/>
  <c r="AY36" i="28"/>
  <c r="AY31" i="28"/>
  <c r="AZ5" i="28"/>
  <c r="AZ7" i="28"/>
  <c r="AZ9" i="28"/>
  <c r="AZ11" i="28"/>
  <c r="AZ13" i="28"/>
  <c r="AZ15" i="28"/>
  <c r="AZ17" i="28"/>
  <c r="AZ19" i="28"/>
  <c r="AZ21" i="28"/>
  <c r="AZ8" i="28"/>
  <c r="AZ16" i="28"/>
  <c r="AZ10" i="28"/>
  <c r="AZ18" i="28"/>
  <c r="AZ12" i="28"/>
  <c r="AZ14" i="28"/>
  <c r="AZ3" i="28"/>
  <c r="AZ4" i="28"/>
  <c r="T4" i="28"/>
  <c r="T8" i="28"/>
  <c r="T12" i="28"/>
  <c r="T16" i="28"/>
  <c r="T7" i="28"/>
  <c r="T11" i="28"/>
  <c r="T15" i="28"/>
  <c r="AZ20" i="28"/>
  <c r="T6" i="28"/>
  <c r="T14" i="28"/>
  <c r="T19" i="28"/>
  <c r="T3" i="28"/>
  <c r="AZ6" i="28"/>
  <c r="T5" i="28"/>
  <c r="T13" i="28"/>
  <c r="T18" i="28"/>
  <c r="T10" i="28"/>
  <c r="T21" i="28"/>
  <c r="T17" i="28"/>
  <c r="T20" i="28"/>
  <c r="AZ2" i="28"/>
  <c r="T9" i="28"/>
  <c r="S31" i="28"/>
  <c r="S61" i="28"/>
  <c r="S52" i="28"/>
  <c r="AY57" i="28"/>
  <c r="S39" i="28"/>
  <c r="S35" i="28"/>
  <c r="S48" i="28"/>
  <c r="S49" i="28"/>
  <c r="S33" i="28"/>
  <c r="AY45" i="28"/>
  <c r="S54" i="28"/>
  <c r="S38" i="28"/>
  <c r="AY59" i="28"/>
  <c r="AY43" i="28"/>
  <c r="AY58" i="28"/>
  <c r="AY50" i="28"/>
  <c r="AY42" i="28"/>
  <c r="AY29" i="28"/>
  <c r="F11" i="28"/>
  <c r="E12" i="28" s="1"/>
  <c r="BL33" i="16"/>
  <c r="G26" i="65" l="1"/>
  <c r="BO52" i="65"/>
  <c r="AI52" i="65"/>
  <c r="BN62" i="65"/>
  <c r="I25" i="65" s="1"/>
  <c r="AI48" i="65"/>
  <c r="BO48" i="65"/>
  <c r="AI54" i="65"/>
  <c r="AI49" i="65"/>
  <c r="BO49" i="65"/>
  <c r="AH62" i="65"/>
  <c r="H25" i="65" s="1"/>
  <c r="AJ47" i="65"/>
  <c r="AJ46" i="65"/>
  <c r="AJ45" i="65"/>
  <c r="AJ44" i="65"/>
  <c r="AJ43" i="65"/>
  <c r="AJ42" i="65"/>
  <c r="AJ41" i="65"/>
  <c r="AJ40" i="65"/>
  <c r="AJ39" i="65"/>
  <c r="BP47" i="65"/>
  <c r="BP46" i="65"/>
  <c r="BP45" i="65"/>
  <c r="BP44" i="65"/>
  <c r="BP43" i="65"/>
  <c r="BP42" i="65"/>
  <c r="BP41" i="65"/>
  <c r="BP40" i="65"/>
  <c r="BP39" i="65"/>
  <c r="BP38" i="65"/>
  <c r="BP37" i="65"/>
  <c r="BP36" i="65"/>
  <c r="BP35" i="65"/>
  <c r="BP34" i="65"/>
  <c r="BP33" i="65"/>
  <c r="BP32" i="65"/>
  <c r="BP31" i="65"/>
  <c r="BP30" i="65"/>
  <c r="AJ38" i="65"/>
  <c r="AJ37" i="65"/>
  <c r="AJ36" i="65"/>
  <c r="AJ35" i="65"/>
  <c r="AJ34" i="65"/>
  <c r="AJ33" i="65"/>
  <c r="AJ32" i="65"/>
  <c r="AJ31" i="65"/>
  <c r="AJ29" i="65"/>
  <c r="BP27" i="65"/>
  <c r="AJ25" i="65"/>
  <c r="BP23" i="65"/>
  <c r="AJ28" i="65"/>
  <c r="BP26" i="65"/>
  <c r="AJ24" i="65"/>
  <c r="BP22" i="65"/>
  <c r="BP29" i="65"/>
  <c r="AJ27" i="65"/>
  <c r="BP25" i="65"/>
  <c r="AJ23" i="65"/>
  <c r="BP28" i="65"/>
  <c r="AJ26" i="65"/>
  <c r="BP21" i="65"/>
  <c r="AJ19" i="65"/>
  <c r="BP17" i="65"/>
  <c r="AJ15" i="65"/>
  <c r="BP13" i="65"/>
  <c r="AJ11" i="65"/>
  <c r="BP9" i="65"/>
  <c r="AJ7" i="65"/>
  <c r="BP5" i="65"/>
  <c r="BP24" i="65"/>
  <c r="AJ22" i="65"/>
  <c r="BP20" i="65"/>
  <c r="AJ18" i="65"/>
  <c r="BP16" i="65"/>
  <c r="AJ14" i="65"/>
  <c r="BP12" i="65"/>
  <c r="AJ10" i="65"/>
  <c r="BP8" i="65"/>
  <c r="AJ6" i="65"/>
  <c r="BP4" i="65"/>
  <c r="AJ21" i="65"/>
  <c r="BP19" i="65"/>
  <c r="AJ17" i="65"/>
  <c r="BP15" i="65"/>
  <c r="AJ13" i="65"/>
  <c r="BP11" i="65"/>
  <c r="AJ9" i="65"/>
  <c r="BP7" i="65"/>
  <c r="AJ5" i="65"/>
  <c r="F27" i="65"/>
  <c r="E28" i="65" s="1"/>
  <c r="BP10" i="65"/>
  <c r="AJ8" i="65"/>
  <c r="AJ3" i="65"/>
  <c r="AJ20" i="65"/>
  <c r="BP6" i="65"/>
  <c r="AJ4" i="65"/>
  <c r="AJ2" i="65"/>
  <c r="AJ30" i="65"/>
  <c r="BP18" i="65"/>
  <c r="AJ16" i="65"/>
  <c r="BP3" i="65"/>
  <c r="BP14" i="65"/>
  <c r="AJ12" i="65"/>
  <c r="BP2" i="65"/>
  <c r="AI61" i="65"/>
  <c r="BO51" i="65"/>
  <c r="AI55" i="65"/>
  <c r="BO53" i="65"/>
  <c r="AI57" i="65"/>
  <c r="BO59" i="65"/>
  <c r="AI56" i="65"/>
  <c r="BO54" i="65"/>
  <c r="AI58" i="65"/>
  <c r="BO60" i="65"/>
  <c r="AI51" i="65"/>
  <c r="AI53" i="65"/>
  <c r="AI60" i="65"/>
  <c r="BO55" i="65"/>
  <c r="BO57" i="65"/>
  <c r="BO61" i="65"/>
  <c r="AI59" i="65"/>
  <c r="BO56" i="65"/>
  <c r="BO58" i="65"/>
  <c r="H33" i="63"/>
  <c r="CA33" i="16"/>
  <c r="I20" i="16"/>
  <c r="AR41" i="16"/>
  <c r="BY34" i="16"/>
  <c r="BZ34" i="16"/>
  <c r="BN27" i="16"/>
  <c r="BP26" i="16"/>
  <c r="AP44" i="16"/>
  <c r="AQ43" i="16"/>
  <c r="AR43" i="16" s="1"/>
  <c r="AM46" i="16"/>
  <c r="AM47" i="16" s="1"/>
  <c r="AM48" i="16" s="1"/>
  <c r="AM49" i="16" s="1"/>
  <c r="AM50" i="16" s="1"/>
  <c r="AM51" i="16" s="1"/>
  <c r="AM52" i="16" s="1"/>
  <c r="AM53" i="16" s="1"/>
  <c r="AM54" i="16" s="1"/>
  <c r="AM55" i="16" s="1"/>
  <c r="AM56" i="16" s="1"/>
  <c r="AM57" i="16" s="1"/>
  <c r="AM58" i="16" s="1"/>
  <c r="AM59" i="16" s="1"/>
  <c r="AM60" i="16" s="1"/>
  <c r="AM61" i="16" s="1"/>
  <c r="AM62" i="16" s="1"/>
  <c r="AN45" i="16"/>
  <c r="T22" i="28"/>
  <c r="T25" i="28"/>
  <c r="AZ27" i="28"/>
  <c r="T24" i="28"/>
  <c r="AZ28" i="28"/>
  <c r="AZ22" i="28"/>
  <c r="AZ25" i="28"/>
  <c r="T28" i="28"/>
  <c r="T23" i="28"/>
  <c r="AZ24" i="28"/>
  <c r="AZ23" i="28"/>
  <c r="T29" i="28"/>
  <c r="T26" i="28"/>
  <c r="T27" i="28"/>
  <c r="AZ26" i="28"/>
  <c r="AZ29" i="28"/>
  <c r="BK28" i="16"/>
  <c r="BM27" i="16"/>
  <c r="H5" i="2"/>
  <c r="K5" i="2" s="1"/>
  <c r="BH28" i="16"/>
  <c r="BJ27" i="16"/>
  <c r="G11" i="28"/>
  <c r="U2" i="28"/>
  <c r="S62" i="28"/>
  <c r="H10" i="28" s="1"/>
  <c r="AY62" i="28"/>
  <c r="I10" i="28" s="1"/>
  <c r="T32" i="28"/>
  <c r="AZ34" i="28"/>
  <c r="T58" i="28"/>
  <c r="AZ42" i="28"/>
  <c r="T47" i="28"/>
  <c r="T53" i="28"/>
  <c r="T41" i="28"/>
  <c r="T31" i="28"/>
  <c r="AZ58" i="28"/>
  <c r="T52" i="28"/>
  <c r="T42" i="28"/>
  <c r="AZ44" i="28"/>
  <c r="AZ47" i="28"/>
  <c r="AZ33" i="28"/>
  <c r="T44" i="28"/>
  <c r="T45" i="28"/>
  <c r="T56" i="28"/>
  <c r="T37" i="28"/>
  <c r="T33" i="28"/>
  <c r="T54" i="28"/>
  <c r="T38" i="28"/>
  <c r="T59" i="28"/>
  <c r="T43" i="28"/>
  <c r="AZ36" i="28"/>
  <c r="AZ54" i="28"/>
  <c r="AZ38" i="28"/>
  <c r="AZ30" i="28"/>
  <c r="AZ61" i="28"/>
  <c r="AZ53" i="28"/>
  <c r="AZ45" i="28"/>
  <c r="AZ37" i="28"/>
  <c r="AZ31" i="28"/>
  <c r="AZ55" i="28"/>
  <c r="AZ39" i="28"/>
  <c r="T48" i="28"/>
  <c r="T57" i="28"/>
  <c r="AZ56" i="28"/>
  <c r="T50" i="28"/>
  <c r="T34" i="28"/>
  <c r="T55" i="28"/>
  <c r="T39" i="28"/>
  <c r="AZ60" i="28"/>
  <c r="AZ32" i="28"/>
  <c r="AZ50" i="28"/>
  <c r="AZ59" i="28"/>
  <c r="AZ51" i="28"/>
  <c r="AZ43" i="28"/>
  <c r="BA4" i="28"/>
  <c r="BA6" i="28"/>
  <c r="BA8" i="28"/>
  <c r="BA10" i="28"/>
  <c r="BA12" i="28"/>
  <c r="BA14" i="28"/>
  <c r="BA16" i="28"/>
  <c r="BA18" i="28"/>
  <c r="BA20" i="28"/>
  <c r="BA5" i="28"/>
  <c r="BA7" i="28"/>
  <c r="BA9" i="28"/>
  <c r="BA11" i="28"/>
  <c r="BA13" i="28"/>
  <c r="BA15" i="28"/>
  <c r="BA17" i="28"/>
  <c r="BA19" i="28"/>
  <c r="BA21" i="28"/>
  <c r="BA3" i="28"/>
  <c r="U5" i="28"/>
  <c r="U9" i="28"/>
  <c r="U13" i="28"/>
  <c r="U17" i="28"/>
  <c r="U4" i="28"/>
  <c r="U8" i="28"/>
  <c r="U12" i="28"/>
  <c r="U16" i="28"/>
  <c r="U7" i="28"/>
  <c r="U15" i="28"/>
  <c r="U20" i="28"/>
  <c r="U6" i="28"/>
  <c r="U14" i="28"/>
  <c r="U19" i="28"/>
  <c r="U3" i="28"/>
  <c r="BA2" i="28"/>
  <c r="U11" i="28"/>
  <c r="U18" i="28"/>
  <c r="U10" i="28"/>
  <c r="U21" i="28"/>
  <c r="T60" i="28"/>
  <c r="T61" i="28"/>
  <c r="T40" i="28"/>
  <c r="T36" i="28"/>
  <c r="T49" i="28"/>
  <c r="AZ40" i="28"/>
  <c r="T46" i="28"/>
  <c r="T30" i="28"/>
  <c r="AZ48" i="28"/>
  <c r="T51" i="28"/>
  <c r="T35" i="28"/>
  <c r="AZ52" i="28"/>
  <c r="AZ46" i="28"/>
  <c r="AZ57" i="28"/>
  <c r="AZ49" i="28"/>
  <c r="AZ41" i="28"/>
  <c r="AZ35" i="28"/>
  <c r="F12" i="28"/>
  <c r="E13" i="28" s="1"/>
  <c r="BL34" i="16"/>
  <c r="AJ50" i="65" l="1"/>
  <c r="AI62" i="65"/>
  <c r="H26" i="65" s="1"/>
  <c r="AJ48" i="65"/>
  <c r="AJ51" i="65"/>
  <c r="BP51" i="65"/>
  <c r="BP49" i="65"/>
  <c r="BP48" i="65"/>
  <c r="BP50" i="65"/>
  <c r="AJ49" i="65"/>
  <c r="BO62" i="65"/>
  <c r="I26" i="65" s="1"/>
  <c r="BP53" i="65"/>
  <c r="AJ56" i="65"/>
  <c r="AJ60" i="65"/>
  <c r="BP59" i="65"/>
  <c r="G27" i="65"/>
  <c r="BP52" i="65"/>
  <c r="BP56" i="65"/>
  <c r="AJ53" i="65"/>
  <c r="AJ57" i="65"/>
  <c r="AJ61" i="65"/>
  <c r="BP60" i="65"/>
  <c r="BP55" i="65"/>
  <c r="AJ52" i="65"/>
  <c r="AJ54" i="65"/>
  <c r="AJ58" i="65"/>
  <c r="BP57" i="65"/>
  <c r="BP61" i="65"/>
  <c r="AK52" i="65"/>
  <c r="BQ52" i="65"/>
  <c r="BQ47" i="65"/>
  <c r="BQ46" i="65"/>
  <c r="BQ45" i="65"/>
  <c r="BQ44" i="65"/>
  <c r="BQ43" i="65"/>
  <c r="BQ42" i="65"/>
  <c r="BQ41" i="65"/>
  <c r="BQ40" i="65"/>
  <c r="BQ39" i="65"/>
  <c r="BQ38" i="65"/>
  <c r="AK46" i="65"/>
  <c r="AK42" i="65"/>
  <c r="BQ30" i="65"/>
  <c r="AK47" i="65"/>
  <c r="AK43" i="65"/>
  <c r="AK39" i="65"/>
  <c r="AK38" i="65"/>
  <c r="AK37" i="65"/>
  <c r="AK36" i="65"/>
  <c r="AK35" i="65"/>
  <c r="AK34" i="65"/>
  <c r="AK33" i="65"/>
  <c r="AK32" i="65"/>
  <c r="AK31" i="65"/>
  <c r="AK44" i="65"/>
  <c r="AK40" i="65"/>
  <c r="AK41" i="65"/>
  <c r="BQ37" i="65"/>
  <c r="BQ33" i="65"/>
  <c r="AK28" i="65"/>
  <c r="BQ26" i="65"/>
  <c r="AK24" i="65"/>
  <c r="BQ22" i="65"/>
  <c r="AK45" i="65"/>
  <c r="BQ34" i="65"/>
  <c r="BQ29" i="65"/>
  <c r="AK27" i="65"/>
  <c r="BQ25" i="65"/>
  <c r="AK23" i="65"/>
  <c r="BQ35" i="65"/>
  <c r="BQ31" i="65"/>
  <c r="AK30" i="65"/>
  <c r="BQ28" i="65"/>
  <c r="F28" i="65"/>
  <c r="E29" i="65" s="1"/>
  <c r="AK26" i="65"/>
  <c r="BQ24" i="65"/>
  <c r="BQ32" i="65"/>
  <c r="BQ27" i="65"/>
  <c r="AK25" i="65"/>
  <c r="AK22" i="65"/>
  <c r="BQ20" i="65"/>
  <c r="AK18" i="65"/>
  <c r="BQ16" i="65"/>
  <c r="AK14" i="65"/>
  <c r="BQ12" i="65"/>
  <c r="AK10" i="65"/>
  <c r="BQ8" i="65"/>
  <c r="AK6" i="65"/>
  <c r="BQ4" i="65"/>
  <c r="BQ36" i="65"/>
  <c r="BQ23" i="65"/>
  <c r="AK21" i="65"/>
  <c r="BQ19" i="65"/>
  <c r="AK17" i="65"/>
  <c r="BQ15" i="65"/>
  <c r="AK13" i="65"/>
  <c r="BQ11" i="65"/>
  <c r="AK9" i="65"/>
  <c r="BQ7" i="65"/>
  <c r="AK5" i="65"/>
  <c r="AK20" i="65"/>
  <c r="BQ18" i="65"/>
  <c r="AK16" i="65"/>
  <c r="BQ14" i="65"/>
  <c r="AK12" i="65"/>
  <c r="BQ10" i="65"/>
  <c r="AK8" i="65"/>
  <c r="BQ6" i="65"/>
  <c r="AK4" i="65"/>
  <c r="BQ9" i="65"/>
  <c r="AK7" i="65"/>
  <c r="AK2" i="65"/>
  <c r="BQ21" i="65"/>
  <c r="AK19" i="65"/>
  <c r="BQ5" i="65"/>
  <c r="BQ3" i="65"/>
  <c r="AK3" i="65"/>
  <c r="AK29" i="65"/>
  <c r="BQ17" i="65"/>
  <c r="AK15" i="65"/>
  <c r="BQ2" i="65"/>
  <c r="BQ13" i="65"/>
  <c r="AK11" i="65"/>
  <c r="BP54" i="65"/>
  <c r="AJ55" i="65"/>
  <c r="AJ59" i="65"/>
  <c r="BP58" i="65"/>
  <c r="H34" i="63"/>
  <c r="I21" i="16"/>
  <c r="CA34" i="16"/>
  <c r="BY35" i="16"/>
  <c r="BZ35" i="16"/>
  <c r="BN28" i="16"/>
  <c r="BP27" i="16"/>
  <c r="AN46" i="16"/>
  <c r="AP45" i="16"/>
  <c r="AQ44" i="16"/>
  <c r="AR44" i="16" s="1"/>
  <c r="U22" i="28"/>
  <c r="BA22" i="28"/>
  <c r="BA24" i="28"/>
  <c r="U31" i="28"/>
  <c r="U28" i="28"/>
  <c r="BA29" i="28"/>
  <c r="U27" i="28"/>
  <c r="U24" i="28"/>
  <c r="BA32" i="28"/>
  <c r="U30" i="28"/>
  <c r="U23" i="28"/>
  <c r="BA27" i="28"/>
  <c r="BA23" i="28"/>
  <c r="BA30" i="28"/>
  <c r="BA31" i="28"/>
  <c r="U29" i="28"/>
  <c r="U32" i="28"/>
  <c r="BA28" i="28"/>
  <c r="BA26" i="28"/>
  <c r="U25" i="28"/>
  <c r="BA25" i="28"/>
  <c r="U26" i="28"/>
  <c r="BK29" i="16"/>
  <c r="BM28" i="16"/>
  <c r="H6" i="2"/>
  <c r="K6" i="2" s="1"/>
  <c r="BH29" i="16"/>
  <c r="BJ28" i="16"/>
  <c r="V2" i="28"/>
  <c r="G12" i="28"/>
  <c r="U53" i="28"/>
  <c r="U47" i="28"/>
  <c r="U42" i="28"/>
  <c r="U56" i="28"/>
  <c r="BA35" i="28"/>
  <c r="U41" i="28"/>
  <c r="U40" i="28"/>
  <c r="BA46" i="28"/>
  <c r="BA47" i="28"/>
  <c r="BA55" i="28"/>
  <c r="T62" i="28"/>
  <c r="H11" i="28" s="1"/>
  <c r="U61" i="28"/>
  <c r="U38" i="28"/>
  <c r="BA44" i="28"/>
  <c r="BA39" i="28"/>
  <c r="AZ62" i="28"/>
  <c r="I11" i="28" s="1"/>
  <c r="BB4" i="28"/>
  <c r="BB6" i="28"/>
  <c r="BB8" i="28"/>
  <c r="BB10" i="28"/>
  <c r="BB12" i="28"/>
  <c r="BB14" i="28"/>
  <c r="BB16" i="28"/>
  <c r="BB18" i="28"/>
  <c r="BB20" i="28"/>
  <c r="BB7" i="28"/>
  <c r="BB15" i="28"/>
  <c r="BB9" i="28"/>
  <c r="BB17" i="28"/>
  <c r="BB21" i="28"/>
  <c r="BB22" i="28"/>
  <c r="BB19" i="28"/>
  <c r="BB5" i="28"/>
  <c r="BB2" i="28"/>
  <c r="BB11" i="28"/>
  <c r="V6" i="28"/>
  <c r="V10" i="28"/>
  <c r="V14" i="28"/>
  <c r="BB3" i="28"/>
  <c r="V5" i="28"/>
  <c r="V9" i="28"/>
  <c r="V13" i="28"/>
  <c r="V8" i="28"/>
  <c r="V16" i="28"/>
  <c r="V17" i="28"/>
  <c r="V21" i="28"/>
  <c r="V12" i="28"/>
  <c r="BB13" i="28"/>
  <c r="V7" i="28"/>
  <c r="V15" i="28"/>
  <c r="V20" i="28"/>
  <c r="V4" i="28"/>
  <c r="V19" i="28"/>
  <c r="V18" i="28"/>
  <c r="V3" i="28"/>
  <c r="V11" i="28"/>
  <c r="V22" i="28"/>
  <c r="U45" i="28"/>
  <c r="BA40" i="28"/>
  <c r="U33" i="28"/>
  <c r="U34" i="28"/>
  <c r="U59" i="28"/>
  <c r="U43" i="28"/>
  <c r="BA36" i="28"/>
  <c r="U52" i="28"/>
  <c r="U36" i="28"/>
  <c r="BA58" i="28"/>
  <c r="BA42" i="28"/>
  <c r="BA61" i="28"/>
  <c r="BA53" i="28"/>
  <c r="BA45" i="28"/>
  <c r="BA37" i="28"/>
  <c r="U54" i="28"/>
  <c r="U57" i="28"/>
  <c r="BA56" i="28"/>
  <c r="U58" i="28"/>
  <c r="U55" i="28"/>
  <c r="U39" i="28"/>
  <c r="BA60" i="28"/>
  <c r="U48" i="28"/>
  <c r="BA54" i="28"/>
  <c r="BA38" i="28"/>
  <c r="BA59" i="28"/>
  <c r="BA51" i="28"/>
  <c r="BA43" i="28"/>
  <c r="BA34" i="28"/>
  <c r="U46" i="28"/>
  <c r="U49" i="28"/>
  <c r="U37" i="28"/>
  <c r="U50" i="28"/>
  <c r="BA48" i="28"/>
  <c r="U51" i="28"/>
  <c r="U35" i="28"/>
  <c r="BA52" i="28"/>
  <c r="U60" i="28"/>
  <c r="U44" i="28"/>
  <c r="BA50" i="28"/>
  <c r="BA57" i="28"/>
  <c r="BA49" i="28"/>
  <c r="BA41" i="28"/>
  <c r="BA33" i="28"/>
  <c r="F13" i="28"/>
  <c r="E14" i="28" s="1"/>
  <c r="BL35" i="16"/>
  <c r="BQ48" i="65" l="1"/>
  <c r="BQ49" i="65"/>
  <c r="AK49" i="65"/>
  <c r="BQ50" i="65"/>
  <c r="AK50" i="65"/>
  <c r="AK48" i="65"/>
  <c r="BQ51" i="65"/>
  <c r="AK51" i="65"/>
  <c r="BP62" i="65"/>
  <c r="I27" i="65" s="1"/>
  <c r="AJ62" i="65"/>
  <c r="H27" i="65" s="1"/>
  <c r="BR53" i="65"/>
  <c r="BR52" i="65"/>
  <c r="BR47" i="65"/>
  <c r="BR46" i="65"/>
  <c r="BR45" i="65"/>
  <c r="BR44" i="65"/>
  <c r="BR43" i="65"/>
  <c r="BR42" i="65"/>
  <c r="BR41" i="65"/>
  <c r="BR40" i="65"/>
  <c r="BR39" i="65"/>
  <c r="BR38" i="65"/>
  <c r="AL52" i="65"/>
  <c r="AL47" i="65"/>
  <c r="AL46" i="65"/>
  <c r="AL45" i="65"/>
  <c r="AL44" i="65"/>
  <c r="AL43" i="65"/>
  <c r="AL42" i="65"/>
  <c r="AL41" i="65"/>
  <c r="AL40" i="65"/>
  <c r="AL39" i="65"/>
  <c r="AL53" i="65"/>
  <c r="AL38" i="65"/>
  <c r="AL37" i="65"/>
  <c r="AL36" i="65"/>
  <c r="AL35" i="65"/>
  <c r="AL34" i="65"/>
  <c r="AL33" i="65"/>
  <c r="AL32" i="65"/>
  <c r="AL31" i="65"/>
  <c r="BR37" i="65"/>
  <c r="BR36" i="65"/>
  <c r="BR35" i="65"/>
  <c r="BR34" i="65"/>
  <c r="BR33" i="65"/>
  <c r="BR32" i="65"/>
  <c r="BR31" i="65"/>
  <c r="BR29" i="65"/>
  <c r="AL27" i="65"/>
  <c r="BR25" i="65"/>
  <c r="AL23" i="65"/>
  <c r="AL30" i="65"/>
  <c r="F29" i="65"/>
  <c r="E30" i="65" s="1"/>
  <c r="BR28" i="65"/>
  <c r="AL26" i="65"/>
  <c r="BR24" i="65"/>
  <c r="BR30" i="65"/>
  <c r="AL29" i="65"/>
  <c r="BR27" i="65"/>
  <c r="AL25" i="65"/>
  <c r="BR23" i="65"/>
  <c r="BR26" i="65"/>
  <c r="AL24" i="65"/>
  <c r="AL21" i="65"/>
  <c r="BR19" i="65"/>
  <c r="AL17" i="65"/>
  <c r="BR15" i="65"/>
  <c r="AL13" i="65"/>
  <c r="BR11" i="65"/>
  <c r="AL9" i="65"/>
  <c r="BR7" i="65"/>
  <c r="AL5" i="65"/>
  <c r="BR22" i="65"/>
  <c r="AL20" i="65"/>
  <c r="BR18" i="65"/>
  <c r="AL16" i="65"/>
  <c r="BR14" i="65"/>
  <c r="AL12" i="65"/>
  <c r="BR10" i="65"/>
  <c r="AL8" i="65"/>
  <c r="BR6" i="65"/>
  <c r="AL4" i="65"/>
  <c r="BR21" i="65"/>
  <c r="AL19" i="65"/>
  <c r="BR17" i="65"/>
  <c r="AL15" i="65"/>
  <c r="BR13" i="65"/>
  <c r="AL11" i="65"/>
  <c r="BR9" i="65"/>
  <c r="AL7" i="65"/>
  <c r="BR5" i="65"/>
  <c r="AL22" i="65"/>
  <c r="BR8" i="65"/>
  <c r="AL6" i="65"/>
  <c r="BR3" i="65"/>
  <c r="AL2" i="65"/>
  <c r="BR20" i="65"/>
  <c r="AL18" i="65"/>
  <c r="BR4" i="65"/>
  <c r="BR2" i="65"/>
  <c r="AL28" i="65"/>
  <c r="BR16" i="65"/>
  <c r="AL14" i="65"/>
  <c r="AL3" i="65"/>
  <c r="BR12" i="65"/>
  <c r="AL10" i="65"/>
  <c r="G28" i="65"/>
  <c r="BQ57" i="65"/>
  <c r="BQ56" i="65"/>
  <c r="AK54" i="65"/>
  <c r="AK57" i="65"/>
  <c r="AK61" i="65"/>
  <c r="BQ53" i="65"/>
  <c r="BQ60" i="65"/>
  <c r="AK55" i="65"/>
  <c r="AK58" i="65"/>
  <c r="BQ61" i="65"/>
  <c r="BQ54" i="65"/>
  <c r="BQ59" i="65"/>
  <c r="AK56" i="65"/>
  <c r="AK59" i="65"/>
  <c r="BQ55" i="65"/>
  <c r="AK53" i="65"/>
  <c r="BQ58" i="65"/>
  <c r="AK60" i="65"/>
  <c r="H35" i="63"/>
  <c r="I22" i="16"/>
  <c r="CA35" i="16"/>
  <c r="BY36" i="16"/>
  <c r="BZ36" i="16"/>
  <c r="BN29" i="16"/>
  <c r="BP28" i="16"/>
  <c r="AN47" i="16"/>
  <c r="AP46" i="16"/>
  <c r="AP47" i="16" s="1"/>
  <c r="AP48" i="16" s="1"/>
  <c r="AP49" i="16" s="1"/>
  <c r="AP50" i="16" s="1"/>
  <c r="AP51" i="16" s="1"/>
  <c r="AP52" i="16" s="1"/>
  <c r="AP53" i="16" s="1"/>
  <c r="AP54" i="16" s="1"/>
  <c r="AP55" i="16" s="1"/>
  <c r="AP56" i="16" s="1"/>
  <c r="AP57" i="16" s="1"/>
  <c r="AP58" i="16" s="1"/>
  <c r="AP59" i="16" s="1"/>
  <c r="AP60" i="16" s="1"/>
  <c r="AP61" i="16" s="1"/>
  <c r="AP62" i="16" s="1"/>
  <c r="AQ45" i="16"/>
  <c r="V38" i="28"/>
  <c r="V24" i="28"/>
  <c r="BB35" i="28"/>
  <c r="BB32" i="28"/>
  <c r="V41" i="28"/>
  <c r="V42" i="28"/>
  <c r="BB40" i="28"/>
  <c r="V34" i="28"/>
  <c r="V29" i="28"/>
  <c r="BB29" i="28"/>
  <c r="BB38" i="28"/>
  <c r="BB26" i="28"/>
  <c r="V30" i="28"/>
  <c r="V27" i="28"/>
  <c r="V40" i="28"/>
  <c r="V25" i="28"/>
  <c r="BB37" i="28"/>
  <c r="BB25" i="28"/>
  <c r="BB24" i="28"/>
  <c r="BB27" i="28"/>
  <c r="V28" i="28"/>
  <c r="BB39" i="28"/>
  <c r="BB34" i="28"/>
  <c r="V39" i="28"/>
  <c r="V26" i="28"/>
  <c r="V23" i="28"/>
  <c r="V36" i="28"/>
  <c r="V37" i="28"/>
  <c r="BB31" i="28"/>
  <c r="BB36" i="28"/>
  <c r="BB30" i="28"/>
  <c r="V31" i="28"/>
  <c r="V35" i="28"/>
  <c r="V32" i="28"/>
  <c r="V33" i="28"/>
  <c r="BB23" i="28"/>
  <c r="BB41" i="28"/>
  <c r="BB33" i="28"/>
  <c r="BB42" i="28"/>
  <c r="BB28" i="28"/>
  <c r="BB43" i="28"/>
  <c r="V44" i="28"/>
  <c r="BB44" i="28"/>
  <c r="V43" i="28"/>
  <c r="BK30" i="16"/>
  <c r="BM29" i="16"/>
  <c r="H7" i="2"/>
  <c r="K7" i="2" s="1"/>
  <c r="BH30" i="16"/>
  <c r="BJ29" i="16"/>
  <c r="G13" i="28"/>
  <c r="W2" i="28"/>
  <c r="V48" i="28"/>
  <c r="V54" i="28"/>
  <c r="BB45" i="28"/>
  <c r="BA62" i="28"/>
  <c r="I12" i="28" s="1"/>
  <c r="BB59" i="28"/>
  <c r="V46" i="28"/>
  <c r="V53" i="28"/>
  <c r="BB46" i="28"/>
  <c r="BB54" i="28"/>
  <c r="U62" i="28"/>
  <c r="H12" i="28" s="1"/>
  <c r="V47" i="28"/>
  <c r="BB61" i="28"/>
  <c r="BC5" i="28"/>
  <c r="BC7" i="28"/>
  <c r="BC9" i="28"/>
  <c r="BC11" i="28"/>
  <c r="BC13" i="28"/>
  <c r="BC15" i="28"/>
  <c r="BC17" i="28"/>
  <c r="BC19" i="28"/>
  <c r="BC4" i="28"/>
  <c r="BC6" i="28"/>
  <c r="BC8" i="28"/>
  <c r="BC10" i="28"/>
  <c r="BC12" i="28"/>
  <c r="BC14" i="28"/>
  <c r="BC16" i="28"/>
  <c r="BC18" i="28"/>
  <c r="BC20" i="28"/>
  <c r="BC2" i="28"/>
  <c r="BC21" i="28"/>
  <c r="BC22" i="28"/>
  <c r="BC3" i="28"/>
  <c r="W7" i="28"/>
  <c r="W11" i="28"/>
  <c r="W15" i="28"/>
  <c r="W6" i="28"/>
  <c r="W10" i="28"/>
  <c r="W14" i="28"/>
  <c r="W9" i="28"/>
  <c r="W18" i="28"/>
  <c r="W22" i="28"/>
  <c r="W13" i="28"/>
  <c r="W8" i="28"/>
  <c r="W16" i="28"/>
  <c r="W17" i="28"/>
  <c r="W21" i="28"/>
  <c r="W5" i="28"/>
  <c r="W20" i="28"/>
  <c r="W4" i="28"/>
  <c r="W19" i="28"/>
  <c r="W12" i="28"/>
  <c r="W3" i="28"/>
  <c r="V58" i="28"/>
  <c r="V59" i="28"/>
  <c r="V60" i="28"/>
  <c r="V49" i="28"/>
  <c r="BB51" i="28"/>
  <c r="BB57" i="28"/>
  <c r="BB60" i="28"/>
  <c r="BB52" i="28"/>
  <c r="V50" i="28"/>
  <c r="V51" i="28"/>
  <c r="BB55" i="28"/>
  <c r="V56" i="28"/>
  <c r="V61" i="28"/>
  <c r="V45" i="28"/>
  <c r="BB53" i="28"/>
  <c r="BB58" i="28"/>
  <c r="BB50" i="28"/>
  <c r="V55" i="28"/>
  <c r="BB47" i="28"/>
  <c r="V52" i="28"/>
  <c r="V57" i="28"/>
  <c r="BB49" i="28"/>
  <c r="BB56" i="28"/>
  <c r="BB48" i="28"/>
  <c r="F14" i="28"/>
  <c r="E15" i="28" s="1"/>
  <c r="BL36" i="16"/>
  <c r="G29" i="65" l="1"/>
  <c r="AL48" i="65"/>
  <c r="BR50" i="65"/>
  <c r="AK62" i="65"/>
  <c r="H28" i="65" s="1"/>
  <c r="AL49" i="65"/>
  <c r="AL50" i="65"/>
  <c r="BR51" i="65"/>
  <c r="BR54" i="65"/>
  <c r="AL51" i="65"/>
  <c r="BR48" i="65"/>
  <c r="BR49" i="65"/>
  <c r="AL54" i="65"/>
  <c r="BQ62" i="65"/>
  <c r="I28" i="65" s="1"/>
  <c r="AL55" i="65"/>
  <c r="BR58" i="65"/>
  <c r="AL58" i="65"/>
  <c r="BR55" i="65"/>
  <c r="BR59" i="65"/>
  <c r="AL59" i="65"/>
  <c r="AL56" i="65"/>
  <c r="AL57" i="65"/>
  <c r="BR56" i="65"/>
  <c r="BR60" i="65"/>
  <c r="AL60" i="65"/>
  <c r="BS54" i="65"/>
  <c r="BS53" i="65"/>
  <c r="AM54" i="65"/>
  <c r="AM53" i="65"/>
  <c r="BS52" i="65"/>
  <c r="BS51" i="65"/>
  <c r="BS48" i="65"/>
  <c r="AM52" i="65"/>
  <c r="AM51" i="65"/>
  <c r="AM49" i="65"/>
  <c r="AM48" i="65"/>
  <c r="AM47" i="65"/>
  <c r="AM46" i="65"/>
  <c r="AM45" i="65"/>
  <c r="AM44" i="65"/>
  <c r="AM43" i="65"/>
  <c r="AM42" i="65"/>
  <c r="AM41" i="65"/>
  <c r="AM40" i="65"/>
  <c r="AM39" i="65"/>
  <c r="BS46" i="65"/>
  <c r="BS42" i="65"/>
  <c r="BS38" i="65"/>
  <c r="BS47" i="65"/>
  <c r="BS43" i="65"/>
  <c r="BS39" i="65"/>
  <c r="BS37" i="65"/>
  <c r="BS36" i="65"/>
  <c r="BS35" i="65"/>
  <c r="BS34" i="65"/>
  <c r="BS33" i="65"/>
  <c r="BS32" i="65"/>
  <c r="BS31" i="65"/>
  <c r="BS44" i="65"/>
  <c r="BS40" i="65"/>
  <c r="BS30" i="65"/>
  <c r="AM38" i="65"/>
  <c r="AM34" i="65"/>
  <c r="AM30" i="65"/>
  <c r="F30" i="65"/>
  <c r="E31" i="65" s="1"/>
  <c r="BS28" i="65"/>
  <c r="AM26" i="65"/>
  <c r="BS24" i="65"/>
  <c r="AM35" i="65"/>
  <c r="AM31" i="65"/>
  <c r="AM29" i="65"/>
  <c r="BS27" i="65"/>
  <c r="AM25" i="65"/>
  <c r="BS23" i="65"/>
  <c r="BS41" i="65"/>
  <c r="AM36" i="65"/>
  <c r="AM32" i="65"/>
  <c r="AM28" i="65"/>
  <c r="BS26" i="65"/>
  <c r="AM24" i="65"/>
  <c r="BS22" i="65"/>
  <c r="BS25" i="65"/>
  <c r="AM23" i="65"/>
  <c r="AM20" i="65"/>
  <c r="BS18" i="65"/>
  <c r="AM16" i="65"/>
  <c r="BS14" i="65"/>
  <c r="AM12" i="65"/>
  <c r="BS10" i="65"/>
  <c r="AM8" i="65"/>
  <c r="BS6" i="65"/>
  <c r="BS21" i="65"/>
  <c r="AM19" i="65"/>
  <c r="BS17" i="65"/>
  <c r="AM15" i="65"/>
  <c r="BS13" i="65"/>
  <c r="AM11" i="65"/>
  <c r="BS9" i="65"/>
  <c r="AM7" i="65"/>
  <c r="BS5" i="65"/>
  <c r="AM33" i="65"/>
  <c r="AM22" i="65"/>
  <c r="BS20" i="65"/>
  <c r="AM18" i="65"/>
  <c r="BS16" i="65"/>
  <c r="AM14" i="65"/>
  <c r="BS12" i="65"/>
  <c r="AM10" i="65"/>
  <c r="BS8" i="65"/>
  <c r="AM6" i="65"/>
  <c r="BS4" i="65"/>
  <c r="BS45" i="65"/>
  <c r="BS29" i="65"/>
  <c r="AM21" i="65"/>
  <c r="BS7" i="65"/>
  <c r="AM5" i="65"/>
  <c r="AM4" i="65"/>
  <c r="BS2" i="65"/>
  <c r="BS19" i="65"/>
  <c r="AM17" i="65"/>
  <c r="AM3" i="65"/>
  <c r="AM27" i="65"/>
  <c r="BS15" i="65"/>
  <c r="AM13" i="65"/>
  <c r="AM2" i="65"/>
  <c r="AM37" i="65"/>
  <c r="BS11" i="65"/>
  <c r="AM9" i="65"/>
  <c r="BS3" i="65"/>
  <c r="BR57" i="65"/>
  <c r="BR61" i="65"/>
  <c r="AL61" i="65"/>
  <c r="H36" i="63"/>
  <c r="I23" i="16"/>
  <c r="CA36" i="16"/>
  <c r="BY37" i="16"/>
  <c r="BZ37" i="16"/>
  <c r="BN30" i="16"/>
  <c r="BP29" i="16"/>
  <c r="AQ46" i="16"/>
  <c r="AR45" i="16"/>
  <c r="AN48" i="16"/>
  <c r="W25" i="28"/>
  <c r="BC24" i="28"/>
  <c r="W23" i="28"/>
  <c r="W24" i="28"/>
  <c r="BC25" i="28"/>
  <c r="BC23" i="28"/>
  <c r="BC27" i="28"/>
  <c r="BC42" i="28"/>
  <c r="BC37" i="28"/>
  <c r="W41" i="28"/>
  <c r="W38" i="28"/>
  <c r="W35" i="28"/>
  <c r="BC35" i="28"/>
  <c r="W40" i="28"/>
  <c r="W27" i="28"/>
  <c r="W36" i="28"/>
  <c r="W37" i="28"/>
  <c r="W34" i="28"/>
  <c r="BC30" i="28"/>
  <c r="BC40" i="28"/>
  <c r="BC32" i="28"/>
  <c r="BC33" i="28"/>
  <c r="W32" i="28"/>
  <c r="W28" i="28"/>
  <c r="W33" i="28"/>
  <c r="W30" i="28"/>
  <c r="BC38" i="28"/>
  <c r="BC28" i="28"/>
  <c r="BC31" i="28"/>
  <c r="W31" i="28"/>
  <c r="BC39" i="28"/>
  <c r="W39" i="28"/>
  <c r="BC34" i="28"/>
  <c r="W29" i="28"/>
  <c r="W42" i="28"/>
  <c r="W26" i="28"/>
  <c r="BC26" i="28"/>
  <c r="BC41" i="28"/>
  <c r="BC36" i="28"/>
  <c r="BC29" i="28"/>
  <c r="BC44" i="28"/>
  <c r="W44" i="28"/>
  <c r="W49" i="28"/>
  <c r="BC45" i="28"/>
  <c r="BC47" i="28"/>
  <c r="W43" i="28"/>
  <c r="W45" i="28"/>
  <c r="W47" i="28"/>
  <c r="W46" i="28"/>
  <c r="BC48" i="28"/>
  <c r="W48" i="28"/>
  <c r="BC43" i="28"/>
  <c r="BC49" i="28"/>
  <c r="BC46" i="28"/>
  <c r="BK31" i="16"/>
  <c r="BM30" i="16"/>
  <c r="H8" i="2"/>
  <c r="K8" i="2" s="1"/>
  <c r="BH31" i="16"/>
  <c r="BJ30" i="16"/>
  <c r="G14" i="28"/>
  <c r="X2" i="28"/>
  <c r="BB62" i="28"/>
  <c r="I13" i="28" s="1"/>
  <c r="BC61" i="28"/>
  <c r="BC56" i="28"/>
  <c r="W55" i="28"/>
  <c r="V62" i="28"/>
  <c r="H13" i="28" s="1"/>
  <c r="BC55" i="28"/>
  <c r="W61" i="28"/>
  <c r="W58" i="28"/>
  <c r="BD5" i="28"/>
  <c r="BD7" i="28"/>
  <c r="BD9" i="28"/>
  <c r="BD11" i="28"/>
  <c r="BD13" i="28"/>
  <c r="BD15" i="28"/>
  <c r="BD17" i="28"/>
  <c r="BD19" i="28"/>
  <c r="BD21" i="28"/>
  <c r="BD6" i="28"/>
  <c r="BD14" i="28"/>
  <c r="BD8" i="28"/>
  <c r="BD16" i="28"/>
  <c r="BD23" i="28"/>
  <c r="BD10" i="28"/>
  <c r="BD12" i="28"/>
  <c r="BD3" i="28"/>
  <c r="BD18" i="28"/>
  <c r="X4" i="28"/>
  <c r="X8" i="28"/>
  <c r="X12" i="28"/>
  <c r="X16" i="28"/>
  <c r="BD4" i="28"/>
  <c r="BD22" i="28"/>
  <c r="BD2" i="28"/>
  <c r="X7" i="28"/>
  <c r="X11" i="28"/>
  <c r="X15" i="28"/>
  <c r="X10" i="28"/>
  <c r="X19" i="28"/>
  <c r="X23" i="28"/>
  <c r="X3" i="28"/>
  <c r="X17" i="28"/>
  <c r="X21" i="28"/>
  <c r="BD20" i="28"/>
  <c r="X9" i="28"/>
  <c r="X18" i="28"/>
  <c r="X22" i="28"/>
  <c r="X6" i="28"/>
  <c r="X14" i="28"/>
  <c r="X20" i="28"/>
  <c r="X13" i="28"/>
  <c r="X5" i="28"/>
  <c r="W60" i="28"/>
  <c r="W57" i="28"/>
  <c r="W54" i="28"/>
  <c r="BC57" i="28"/>
  <c r="BC54" i="28"/>
  <c r="W59" i="28"/>
  <c r="W52" i="28"/>
  <c r="W53" i="28"/>
  <c r="BC59" i="28"/>
  <c r="W50" i="28"/>
  <c r="BC53" i="28"/>
  <c r="BC60" i="28"/>
  <c r="BC52" i="28"/>
  <c r="W51" i="28"/>
  <c r="W56" i="28"/>
  <c r="BC51" i="28"/>
  <c r="BC58" i="28"/>
  <c r="BC50" i="28"/>
  <c r="F15" i="28"/>
  <c r="E16" i="28" s="1"/>
  <c r="BL37" i="16"/>
  <c r="G30" i="65" l="1"/>
  <c r="AM50" i="65"/>
  <c r="BS49" i="65"/>
  <c r="BS50" i="65"/>
  <c r="BR62" i="65"/>
  <c r="I29" i="65" s="1"/>
  <c r="AL62" i="65"/>
  <c r="H29" i="65" s="1"/>
  <c r="AM55" i="65"/>
  <c r="AM60" i="65"/>
  <c r="BS56" i="65"/>
  <c r="BS59" i="65"/>
  <c r="AM58" i="65"/>
  <c r="AM56" i="65"/>
  <c r="AM59" i="65"/>
  <c r="BS60" i="65"/>
  <c r="BT57" i="65"/>
  <c r="AN57" i="65"/>
  <c r="AN54" i="65"/>
  <c r="AN53" i="65"/>
  <c r="BT54" i="65"/>
  <c r="AN52" i="65"/>
  <c r="AN51" i="65"/>
  <c r="AN48" i="65"/>
  <c r="AN47" i="65"/>
  <c r="AN46" i="65"/>
  <c r="AN45" i="65"/>
  <c r="AN44" i="65"/>
  <c r="AN43" i="65"/>
  <c r="AN42" i="65"/>
  <c r="AN41" i="65"/>
  <c r="AN40" i="65"/>
  <c r="AN39" i="65"/>
  <c r="BT53" i="65"/>
  <c r="BT51" i="65"/>
  <c r="BT52" i="65"/>
  <c r="BT48" i="65"/>
  <c r="BT47" i="65"/>
  <c r="BT46" i="65"/>
  <c r="BT45" i="65"/>
  <c r="BT44" i="65"/>
  <c r="BT43" i="65"/>
  <c r="BT42" i="65"/>
  <c r="BT41" i="65"/>
  <c r="BT40" i="65"/>
  <c r="BT39" i="65"/>
  <c r="BT38" i="65"/>
  <c r="BT37" i="65"/>
  <c r="BT36" i="65"/>
  <c r="BT35" i="65"/>
  <c r="BT34" i="65"/>
  <c r="BT33" i="65"/>
  <c r="BT32" i="65"/>
  <c r="BT31" i="65"/>
  <c r="BT30" i="65"/>
  <c r="AN38" i="65"/>
  <c r="AN37" i="65"/>
  <c r="AN36" i="65"/>
  <c r="AN35" i="65"/>
  <c r="AN34" i="65"/>
  <c r="AN33" i="65"/>
  <c r="AN32" i="65"/>
  <c r="AN31" i="65"/>
  <c r="AN29" i="65"/>
  <c r="BT27" i="65"/>
  <c r="AN25" i="65"/>
  <c r="BT23" i="65"/>
  <c r="F31" i="65"/>
  <c r="BT59" i="65" s="1"/>
  <c r="AN28" i="65"/>
  <c r="BT26" i="65"/>
  <c r="AN24" i="65"/>
  <c r="BT22" i="65"/>
  <c r="BT29" i="65"/>
  <c r="AN27" i="65"/>
  <c r="BT25" i="65"/>
  <c r="AN23" i="65"/>
  <c r="BT24" i="65"/>
  <c r="BT21" i="65"/>
  <c r="AN19" i="65"/>
  <c r="BT17" i="65"/>
  <c r="AN15" i="65"/>
  <c r="BT13" i="65"/>
  <c r="AN11" i="65"/>
  <c r="BT9" i="65"/>
  <c r="AN7" i="65"/>
  <c r="BT5" i="65"/>
  <c r="AN22" i="65"/>
  <c r="BT20" i="65"/>
  <c r="AN18" i="65"/>
  <c r="BT16" i="65"/>
  <c r="AN14" i="65"/>
  <c r="BT12" i="65"/>
  <c r="AN10" i="65"/>
  <c r="BT8" i="65"/>
  <c r="AN6" i="65"/>
  <c r="BT4" i="65"/>
  <c r="AN30" i="65"/>
  <c r="AN21" i="65"/>
  <c r="BT19" i="65"/>
  <c r="AN17" i="65"/>
  <c r="BT15" i="65"/>
  <c r="AN13" i="65"/>
  <c r="BT11" i="65"/>
  <c r="AN9" i="65"/>
  <c r="BT7" i="65"/>
  <c r="AN5" i="65"/>
  <c r="BT28" i="65"/>
  <c r="AN20" i="65"/>
  <c r="BT6" i="65"/>
  <c r="AN3" i="65"/>
  <c r="BT18" i="65"/>
  <c r="AN16" i="65"/>
  <c r="AN2" i="65"/>
  <c r="AN4" i="65"/>
  <c r="BT2" i="65"/>
  <c r="AN26" i="65"/>
  <c r="BT14" i="65"/>
  <c r="AN12" i="65"/>
  <c r="BT3" i="65"/>
  <c r="BT10" i="65"/>
  <c r="AN8" i="65"/>
  <c r="AM57" i="65"/>
  <c r="BS57" i="65"/>
  <c r="BS61" i="65"/>
  <c r="AM61" i="65"/>
  <c r="BS55" i="65"/>
  <c r="BS58" i="65"/>
  <c r="H37" i="63"/>
  <c r="I24" i="16"/>
  <c r="CA37" i="16"/>
  <c r="BY38" i="16"/>
  <c r="BZ38" i="16"/>
  <c r="BN31" i="16"/>
  <c r="BP30" i="16"/>
  <c r="AN49" i="16"/>
  <c r="AQ47" i="16"/>
  <c r="AR46" i="16"/>
  <c r="X25" i="28"/>
  <c r="X27" i="28"/>
  <c r="BD24" i="28"/>
  <c r="BD25" i="28"/>
  <c r="X24" i="28"/>
  <c r="X26" i="28"/>
  <c r="BD26" i="28"/>
  <c r="BD27" i="28"/>
  <c r="X37" i="28"/>
  <c r="X38" i="28"/>
  <c r="X28" i="28"/>
  <c r="X34" i="28"/>
  <c r="X35" i="28"/>
  <c r="BD41" i="28"/>
  <c r="X41" i="28"/>
  <c r="X31" i="28"/>
  <c r="X33" i="28"/>
  <c r="BD46" i="28"/>
  <c r="X48" i="28"/>
  <c r="BD34" i="28"/>
  <c r="X29" i="28"/>
  <c r="BD38" i="28"/>
  <c r="X30" i="28"/>
  <c r="X43" i="28"/>
  <c r="BD42" i="28"/>
  <c r="BD44" i="28"/>
  <c r="BD39" i="28"/>
  <c r="BD33" i="28"/>
  <c r="X32" i="28"/>
  <c r="X36" i="28"/>
  <c r="X40" i="28"/>
  <c r="X42" i="28"/>
  <c r="X39" i="28"/>
  <c r="BD30" i="28"/>
  <c r="BD40" i="28"/>
  <c r="BD32" i="28"/>
  <c r="BD49" i="28"/>
  <c r="BD37" i="28"/>
  <c r="BD31" i="28"/>
  <c r="BD36" i="28"/>
  <c r="BD28" i="28"/>
  <c r="BD43" i="28"/>
  <c r="BD35" i="28"/>
  <c r="BD29" i="28"/>
  <c r="BD47" i="28"/>
  <c r="X46" i="28"/>
  <c r="X47" i="28"/>
  <c r="X49" i="28"/>
  <c r="X44" i="28"/>
  <c r="X45" i="28"/>
  <c r="BD48" i="28"/>
  <c r="BD45" i="28"/>
  <c r="BK32" i="16"/>
  <c r="BM31" i="16"/>
  <c r="H9" i="2"/>
  <c r="K9" i="2" s="1"/>
  <c r="BH32" i="16"/>
  <c r="BJ31" i="16"/>
  <c r="G15" i="28"/>
  <c r="Y2" i="28"/>
  <c r="BC62" i="28"/>
  <c r="I14" i="28" s="1"/>
  <c r="X55" i="28"/>
  <c r="W62" i="28"/>
  <c r="H14" i="28" s="1"/>
  <c r="X51" i="28"/>
  <c r="X52" i="28"/>
  <c r="X58" i="28"/>
  <c r="BD57" i="28"/>
  <c r="X54" i="28"/>
  <c r="BD50" i="28"/>
  <c r="BD60" i="28"/>
  <c r="BD55" i="28"/>
  <c r="X56" i="28"/>
  <c r="X61" i="28"/>
  <c r="BD54" i="28"/>
  <c r="X50" i="28"/>
  <c r="BD56" i="28"/>
  <c r="BD61" i="28"/>
  <c r="BD53" i="28"/>
  <c r="BE4" i="28"/>
  <c r="BE6" i="28"/>
  <c r="BE8" i="28"/>
  <c r="BE10" i="28"/>
  <c r="BE12" i="28"/>
  <c r="BE14" i="28"/>
  <c r="BE16" i="28"/>
  <c r="BE18" i="28"/>
  <c r="BE20" i="28"/>
  <c r="BE5" i="28"/>
  <c r="BE7" i="28"/>
  <c r="BE9" i="28"/>
  <c r="BE11" i="28"/>
  <c r="BE13" i="28"/>
  <c r="BE15" i="28"/>
  <c r="BE17" i="28"/>
  <c r="BE19" i="28"/>
  <c r="BE21" i="28"/>
  <c r="BE22" i="28"/>
  <c r="BE26" i="28"/>
  <c r="BE28" i="28"/>
  <c r="BE30" i="28"/>
  <c r="BE32" i="28"/>
  <c r="BE34" i="28"/>
  <c r="BE23" i="28"/>
  <c r="BE27" i="28"/>
  <c r="BE31" i="28"/>
  <c r="BE3" i="28"/>
  <c r="BE35" i="28"/>
  <c r="BE37" i="28"/>
  <c r="BE29" i="28"/>
  <c r="BE2" i="28"/>
  <c r="Y5" i="28"/>
  <c r="Y9" i="28"/>
  <c r="Y13" i="28"/>
  <c r="BE36" i="28"/>
  <c r="Y4" i="28"/>
  <c r="Y8" i="28"/>
  <c r="Y12" i="28"/>
  <c r="Y16" i="28"/>
  <c r="BE33" i="28"/>
  <c r="Y11" i="28"/>
  <c r="Y20" i="28"/>
  <c r="Y28" i="28"/>
  <c r="Y32" i="28"/>
  <c r="Y36" i="28"/>
  <c r="Y22" i="28"/>
  <c r="Y10" i="28"/>
  <c r="Y19" i="28"/>
  <c r="Y23" i="28"/>
  <c r="Y27" i="28"/>
  <c r="Y31" i="28"/>
  <c r="Y35" i="28"/>
  <c r="Y3" i="28"/>
  <c r="BE25" i="28"/>
  <c r="Y7" i="28"/>
  <c r="Y15" i="28"/>
  <c r="Y18" i="28"/>
  <c r="Y6" i="28"/>
  <c r="Y21" i="28"/>
  <c r="Y30" i="28"/>
  <c r="Y34" i="28"/>
  <c r="Y17" i="28"/>
  <c r="Y29" i="28"/>
  <c r="Y37" i="28"/>
  <c r="Y26" i="28"/>
  <c r="Y14" i="28"/>
  <c r="Y25" i="28"/>
  <c r="Y33" i="28"/>
  <c r="X57" i="28"/>
  <c r="X60" i="28"/>
  <c r="X53" i="28"/>
  <c r="X59" i="28"/>
  <c r="BD58" i="28"/>
  <c r="BD52" i="28"/>
  <c r="BD59" i="28"/>
  <c r="BD51" i="28"/>
  <c r="F16" i="28"/>
  <c r="E17" i="28" s="1"/>
  <c r="BL38" i="16"/>
  <c r="BT49" i="65" l="1"/>
  <c r="AN50" i="65"/>
  <c r="AN56" i="65"/>
  <c r="BS62" i="65"/>
  <c r="I30" i="65" s="1"/>
  <c r="BT50" i="65"/>
  <c r="BT56" i="65"/>
  <c r="AN49" i="65"/>
  <c r="BT55" i="65"/>
  <c r="AN55" i="65"/>
  <c r="AM62" i="65"/>
  <c r="H30" i="65" s="1"/>
  <c r="AN61" i="65"/>
  <c r="BT60" i="65"/>
  <c r="AN58" i="65"/>
  <c r="BT61" i="65"/>
  <c r="G31" i="65"/>
  <c r="AN59" i="65"/>
  <c r="BT58" i="65"/>
  <c r="AN60" i="65"/>
  <c r="H38" i="63"/>
  <c r="I25" i="16"/>
  <c r="CA38" i="16"/>
  <c r="BZ39" i="16"/>
  <c r="BY39" i="16"/>
  <c r="BN32" i="16"/>
  <c r="BP31" i="16"/>
  <c r="AQ48" i="16"/>
  <c r="AR47" i="16"/>
  <c r="AN50" i="16"/>
  <c r="Y24" i="28"/>
  <c r="BE24" i="28"/>
  <c r="Y38" i="28"/>
  <c r="Y43" i="28"/>
  <c r="BE39" i="28"/>
  <c r="BE42" i="28"/>
  <c r="Y41" i="28"/>
  <c r="Y39" i="28"/>
  <c r="BE43" i="28"/>
  <c r="Y42" i="28"/>
  <c r="BE38" i="28"/>
  <c r="Y40" i="28"/>
  <c r="BE40" i="28"/>
  <c r="BE41" i="28"/>
  <c r="BE46" i="28"/>
  <c r="Y50" i="28"/>
  <c r="Y45" i="28"/>
  <c r="BE44" i="28"/>
  <c r="BE49" i="28"/>
  <c r="Y48" i="28"/>
  <c r="BE47" i="28"/>
  <c r="Y46" i="28"/>
  <c r="BE48" i="28"/>
  <c r="Y49" i="28"/>
  <c r="Y47" i="28"/>
  <c r="BE50" i="28"/>
  <c r="Y44" i="28"/>
  <c r="BE45" i="28"/>
  <c r="BK33" i="16"/>
  <c r="BM32" i="16"/>
  <c r="H10" i="2"/>
  <c r="K10" i="2" s="1"/>
  <c r="BH33" i="16"/>
  <c r="BJ32" i="16"/>
  <c r="G16" i="28"/>
  <c r="Z2" i="28"/>
  <c r="BD62" i="28"/>
  <c r="I15" i="28" s="1"/>
  <c r="X62" i="28"/>
  <c r="H15" i="28" s="1"/>
  <c r="BF4" i="28"/>
  <c r="BF6" i="28"/>
  <c r="BF8" i="28"/>
  <c r="BF10" i="28"/>
  <c r="BF12" i="28"/>
  <c r="BF14" i="28"/>
  <c r="BF16" i="28"/>
  <c r="BF18" i="28"/>
  <c r="BF20" i="28"/>
  <c r="BF5" i="28"/>
  <c r="BF13" i="28"/>
  <c r="BF7" i="28"/>
  <c r="BF15" i="28"/>
  <c r="BF22" i="28"/>
  <c r="BF24" i="28"/>
  <c r="BF26" i="28"/>
  <c r="BF28" i="28"/>
  <c r="BF30" i="28"/>
  <c r="BF32" i="28"/>
  <c r="BF34" i="28"/>
  <c r="BF17" i="28"/>
  <c r="BF36" i="28"/>
  <c r="BF38" i="28"/>
  <c r="BF19" i="28"/>
  <c r="BF23" i="28"/>
  <c r="BF27" i="28"/>
  <c r="BF31" i="28"/>
  <c r="BF2" i="28"/>
  <c r="BF35" i="28"/>
  <c r="BF39" i="28"/>
  <c r="Z6" i="28"/>
  <c r="Z10" i="28"/>
  <c r="Z14" i="28"/>
  <c r="BF11" i="28"/>
  <c r="BF21" i="28"/>
  <c r="BF29" i="28"/>
  <c r="Z5" i="28"/>
  <c r="Z9" i="28"/>
  <c r="Z13" i="28"/>
  <c r="Z4" i="28"/>
  <c r="Z12" i="28"/>
  <c r="Z17" i="28"/>
  <c r="Z21" i="28"/>
  <c r="Z25" i="28"/>
  <c r="Z29" i="28"/>
  <c r="Z33" i="28"/>
  <c r="Z37" i="28"/>
  <c r="BF37" i="28"/>
  <c r="Z16" i="28"/>
  <c r="Z23" i="28"/>
  <c r="BF33" i="28"/>
  <c r="BF3" i="28"/>
  <c r="Z11" i="28"/>
  <c r="Z20" i="28"/>
  <c r="Z24" i="28"/>
  <c r="Z28" i="28"/>
  <c r="Z32" i="28"/>
  <c r="Z36" i="28"/>
  <c r="BF9" i="28"/>
  <c r="Z8" i="28"/>
  <c r="Z19" i="28"/>
  <c r="BF25" i="28"/>
  <c r="Z22" i="28"/>
  <c r="Z31" i="28"/>
  <c r="Z39" i="28"/>
  <c r="Z3" i="28"/>
  <c r="Z15" i="28"/>
  <c r="Z18" i="28"/>
  <c r="Z30" i="28"/>
  <c r="Z38" i="28"/>
  <c r="Z7" i="28"/>
  <c r="Z27" i="28"/>
  <c r="Z35" i="28"/>
  <c r="Z26" i="28"/>
  <c r="Z34" i="28"/>
  <c r="BE52" i="28"/>
  <c r="BE57" i="28"/>
  <c r="Y59" i="28"/>
  <c r="Y60" i="28"/>
  <c r="BE55" i="28"/>
  <c r="Y57" i="28"/>
  <c r="Y54" i="28"/>
  <c r="Y55" i="28"/>
  <c r="Y56" i="28"/>
  <c r="BE60" i="28"/>
  <c r="BE61" i="28"/>
  <c r="BE53" i="28"/>
  <c r="Y53" i="28"/>
  <c r="BE54" i="28"/>
  <c r="BE58" i="28"/>
  <c r="Y58" i="28"/>
  <c r="Y61" i="28"/>
  <c r="Y51" i="28"/>
  <c r="Y52" i="28"/>
  <c r="BE56" i="28"/>
  <c r="BE59" i="28"/>
  <c r="BE51" i="28"/>
  <c r="F17" i="28"/>
  <c r="E18" i="28" s="1"/>
  <c r="BL39" i="16"/>
  <c r="BT62" i="65" l="1"/>
  <c r="I31" i="65" s="1"/>
  <c r="AN62" i="65"/>
  <c r="H31" i="65" s="1"/>
  <c r="H39" i="63"/>
  <c r="CA39" i="16"/>
  <c r="I26" i="16"/>
  <c r="BY40" i="16"/>
  <c r="BZ40" i="16"/>
  <c r="BN33" i="16"/>
  <c r="BP32" i="16"/>
  <c r="AN51" i="16"/>
  <c r="AQ49" i="16"/>
  <c r="AR48" i="16"/>
  <c r="BF41" i="28"/>
  <c r="Z43" i="28"/>
  <c r="BF44" i="28"/>
  <c r="Z42" i="28"/>
  <c r="BF40" i="28"/>
  <c r="Z44" i="28"/>
  <c r="BF43" i="28"/>
  <c r="Z40" i="28"/>
  <c r="Z41" i="28"/>
  <c r="BF42" i="28"/>
  <c r="BF45" i="28"/>
  <c r="Z46" i="28"/>
  <c r="Z47" i="28"/>
  <c r="Z45" i="28"/>
  <c r="BF46" i="28"/>
  <c r="Z49" i="28"/>
  <c r="BF48" i="28"/>
  <c r="Z48" i="28"/>
  <c r="BF47" i="28"/>
  <c r="Z50" i="28"/>
  <c r="BF49" i="28"/>
  <c r="BF50" i="28"/>
  <c r="BK34" i="16"/>
  <c r="BM33" i="16"/>
  <c r="H11" i="2"/>
  <c r="K11" i="2" s="1"/>
  <c r="BH34" i="16"/>
  <c r="BJ33" i="16"/>
  <c r="G17" i="28"/>
  <c r="AA2" i="28"/>
  <c r="BF54" i="28"/>
  <c r="Z55" i="28"/>
  <c r="Z60" i="28"/>
  <c r="Z61" i="28"/>
  <c r="BE62" i="28"/>
  <c r="I16" i="28" s="1"/>
  <c r="Z52" i="28"/>
  <c r="Z57" i="28"/>
  <c r="Z58" i="28"/>
  <c r="BF61" i="28"/>
  <c r="BF51" i="28"/>
  <c r="Y62" i="28"/>
  <c r="H16" i="28" s="1"/>
  <c r="Z51" i="28"/>
  <c r="Z54" i="28"/>
  <c r="BF56" i="28"/>
  <c r="BF53" i="28"/>
  <c r="Z53" i="28"/>
  <c r="BF57" i="28"/>
  <c r="BF59" i="28"/>
  <c r="BF60" i="28"/>
  <c r="BF52" i="28"/>
  <c r="BG5" i="28"/>
  <c r="BG7" i="28"/>
  <c r="BG9" i="28"/>
  <c r="BG11" i="28"/>
  <c r="BG13" i="28"/>
  <c r="BG15" i="28"/>
  <c r="BG17" i="28"/>
  <c r="BG19" i="28"/>
  <c r="BG4" i="28"/>
  <c r="BG6" i="28"/>
  <c r="BG8" i="28"/>
  <c r="BG10" i="28"/>
  <c r="BG12" i="28"/>
  <c r="BG14" i="28"/>
  <c r="BG16" i="28"/>
  <c r="BG18" i="28"/>
  <c r="BG20" i="28"/>
  <c r="BG21" i="28"/>
  <c r="BG23" i="28"/>
  <c r="BG25" i="28"/>
  <c r="BG27" i="28"/>
  <c r="BG29" i="28"/>
  <c r="BG31" i="28"/>
  <c r="BG33" i="28"/>
  <c r="BG22" i="28"/>
  <c r="BG26" i="28"/>
  <c r="BG30" i="28"/>
  <c r="BG34" i="28"/>
  <c r="BG2" i="28"/>
  <c r="BG36" i="28"/>
  <c r="BG38" i="28"/>
  <c r="BG40" i="28"/>
  <c r="BG42" i="28"/>
  <c r="BG28" i="28"/>
  <c r="AA7" i="28"/>
  <c r="AA11" i="28"/>
  <c r="AA15" i="28"/>
  <c r="BG35" i="28"/>
  <c r="BG39" i="28"/>
  <c r="AA6" i="28"/>
  <c r="AA10" i="28"/>
  <c r="AA14" i="28"/>
  <c r="BG24" i="28"/>
  <c r="BG3" i="28"/>
  <c r="AA5" i="28"/>
  <c r="AA13" i="28"/>
  <c r="AA18" i="28"/>
  <c r="AA22" i="28"/>
  <c r="AA26" i="28"/>
  <c r="AA30" i="28"/>
  <c r="AA34" i="28"/>
  <c r="AA38" i="28"/>
  <c r="AA42" i="28"/>
  <c r="BG32" i="28"/>
  <c r="BG41" i="28"/>
  <c r="AA4" i="28"/>
  <c r="AA12" i="28"/>
  <c r="AA17" i="28"/>
  <c r="AA21" i="28"/>
  <c r="AA25" i="28"/>
  <c r="AA29" i="28"/>
  <c r="AA33" i="28"/>
  <c r="AA37" i="28"/>
  <c r="AA41" i="28"/>
  <c r="AA9" i="28"/>
  <c r="AA20" i="28"/>
  <c r="AA24" i="28"/>
  <c r="BG37" i="28"/>
  <c r="AA8" i="28"/>
  <c r="AA23" i="28"/>
  <c r="AA32" i="28"/>
  <c r="AA40" i="28"/>
  <c r="AA16" i="28"/>
  <c r="AA27" i="28"/>
  <c r="AA19" i="28"/>
  <c r="AA31" i="28"/>
  <c r="AA39" i="28"/>
  <c r="AA3" i="28"/>
  <c r="AA28" i="28"/>
  <c r="AA36" i="28"/>
  <c r="AA35" i="28"/>
  <c r="Z59" i="28"/>
  <c r="Z56" i="28"/>
  <c r="BF55" i="28"/>
  <c r="BF58" i="28"/>
  <c r="F18" i="28"/>
  <c r="E19" i="28" s="1"/>
  <c r="BL40" i="16"/>
  <c r="H40" i="63" l="1"/>
  <c r="I27" i="16"/>
  <c r="CA40" i="16"/>
  <c r="BY41" i="16"/>
  <c r="BZ41" i="16"/>
  <c r="BN34" i="16"/>
  <c r="BP33" i="16"/>
  <c r="AQ50" i="16"/>
  <c r="AR49" i="16"/>
  <c r="AN52" i="16"/>
  <c r="BG44" i="28"/>
  <c r="AA44" i="28"/>
  <c r="AA46" i="28"/>
  <c r="BG45" i="28"/>
  <c r="BG43" i="28"/>
  <c r="AA43" i="28"/>
  <c r="AA45" i="28"/>
  <c r="BG46" i="28"/>
  <c r="BG48" i="28"/>
  <c r="AA47" i="28"/>
  <c r="BG51" i="28"/>
  <c r="AA49" i="28"/>
  <c r="AA51" i="28"/>
  <c r="AA50" i="28"/>
  <c r="AA48" i="28"/>
  <c r="BG49" i="28"/>
  <c r="BG47" i="28"/>
  <c r="BG50" i="28"/>
  <c r="BK35" i="16"/>
  <c r="BM34" i="16"/>
  <c r="H12" i="2"/>
  <c r="K12" i="2" s="1"/>
  <c r="BH35" i="16"/>
  <c r="BJ34" i="16"/>
  <c r="G18" i="28"/>
  <c r="BG53" i="28"/>
  <c r="AA56" i="28"/>
  <c r="BG61" i="28"/>
  <c r="AA60" i="28"/>
  <c r="AA53" i="28"/>
  <c r="BG57" i="28"/>
  <c r="BG55" i="28"/>
  <c r="Z62" i="28"/>
  <c r="H17" i="28" s="1"/>
  <c r="BF62" i="28"/>
  <c r="I17" i="28" s="1"/>
  <c r="AA59" i="28"/>
  <c r="BG56" i="28"/>
  <c r="AA58" i="28"/>
  <c r="BG54" i="28"/>
  <c r="AA55" i="28"/>
  <c r="AA52" i="28"/>
  <c r="AA61" i="28"/>
  <c r="AA54" i="28"/>
  <c r="BG60" i="28"/>
  <c r="BG52" i="28"/>
  <c r="BH5" i="28"/>
  <c r="BH7" i="28"/>
  <c r="BH9" i="28"/>
  <c r="BH11" i="28"/>
  <c r="BH13" i="28"/>
  <c r="BH15" i="28"/>
  <c r="BH17" i="28"/>
  <c r="BH19" i="28"/>
  <c r="BH4" i="28"/>
  <c r="BH12" i="28"/>
  <c r="BH20" i="28"/>
  <c r="BH6" i="28"/>
  <c r="BH14" i="28"/>
  <c r="BH21" i="28"/>
  <c r="BH23" i="28"/>
  <c r="BH25" i="28"/>
  <c r="BH27" i="28"/>
  <c r="BH29" i="28"/>
  <c r="BH31" i="28"/>
  <c r="BH33" i="28"/>
  <c r="BH8" i="28"/>
  <c r="BH35" i="28"/>
  <c r="BH37" i="28"/>
  <c r="BH39" i="28"/>
  <c r="BH41" i="28"/>
  <c r="BH10" i="28"/>
  <c r="BH22" i="28"/>
  <c r="BH26" i="28"/>
  <c r="BH30" i="28"/>
  <c r="BH34" i="28"/>
  <c r="BH3" i="28"/>
  <c r="BH38" i="28"/>
  <c r="AB4" i="28"/>
  <c r="AB8" i="28"/>
  <c r="AB12" i="28"/>
  <c r="AB16" i="28"/>
  <c r="BH18" i="28"/>
  <c r="BH28" i="28"/>
  <c r="AB7" i="28"/>
  <c r="AB11" i="28"/>
  <c r="AB15" i="28"/>
  <c r="BH40" i="28"/>
  <c r="AB6" i="28"/>
  <c r="AB14" i="28"/>
  <c r="AB19" i="28"/>
  <c r="AB23" i="28"/>
  <c r="AB27" i="28"/>
  <c r="AB31" i="28"/>
  <c r="AB35" i="28"/>
  <c r="AB39" i="28"/>
  <c r="AB3" i="28"/>
  <c r="BH16" i="28"/>
  <c r="AB10" i="28"/>
  <c r="BH24" i="28"/>
  <c r="BH2" i="28"/>
  <c r="AB5" i="28"/>
  <c r="AB13" i="28"/>
  <c r="AB18" i="28"/>
  <c r="AB22" i="28"/>
  <c r="AB26" i="28"/>
  <c r="AB30" i="28"/>
  <c r="AB34" i="28"/>
  <c r="AB38" i="28"/>
  <c r="BH36" i="28"/>
  <c r="AB17" i="28"/>
  <c r="AB21" i="28"/>
  <c r="BH32" i="28"/>
  <c r="AB24" i="28"/>
  <c r="AB25" i="28"/>
  <c r="AB33" i="28"/>
  <c r="AB41" i="28"/>
  <c r="AB28" i="28"/>
  <c r="AB20" i="28"/>
  <c r="AB32" i="28"/>
  <c r="AB40" i="28"/>
  <c r="AB2" i="28"/>
  <c r="AB9" i="28"/>
  <c r="AB29" i="28"/>
  <c r="AB37" i="28"/>
  <c r="AB36" i="28"/>
  <c r="AA57" i="28"/>
  <c r="BG59" i="28"/>
  <c r="BG58" i="28"/>
  <c r="F19" i="28"/>
  <c r="E20" i="28" s="1"/>
  <c r="BL41" i="16"/>
  <c r="H41" i="63" l="1"/>
  <c r="I28" i="16"/>
  <c r="CA41" i="16"/>
  <c r="BY42" i="16"/>
  <c r="BZ42" i="16"/>
  <c r="BN35" i="16"/>
  <c r="BP34" i="16"/>
  <c r="AN53" i="16"/>
  <c r="AQ51" i="16"/>
  <c r="AR50" i="16"/>
  <c r="BH42" i="28"/>
  <c r="AB42" i="28"/>
  <c r="AB46" i="28"/>
  <c r="BH47" i="28"/>
  <c r="AB53" i="28"/>
  <c r="BH48" i="28"/>
  <c r="AB51" i="28"/>
  <c r="BH45" i="28"/>
  <c r="AB45" i="28"/>
  <c r="BH44" i="28"/>
  <c r="AB47" i="28"/>
  <c r="BH43" i="28"/>
  <c r="AB48" i="28"/>
  <c r="AB44" i="28"/>
  <c r="AB49" i="28"/>
  <c r="BH52" i="28"/>
  <c r="AB43" i="28"/>
  <c r="BH46" i="28"/>
  <c r="BH53" i="28"/>
  <c r="AB54" i="28"/>
  <c r="BH54" i="28"/>
  <c r="BH51" i="28"/>
  <c r="AB52" i="28"/>
  <c r="AB50" i="28"/>
  <c r="BH50" i="28"/>
  <c r="BH49" i="28"/>
  <c r="BK36" i="16"/>
  <c r="BM35" i="16"/>
  <c r="H13" i="2"/>
  <c r="K13" i="2" s="1"/>
  <c r="BH36" i="16"/>
  <c r="BJ35" i="16"/>
  <c r="G19" i="28"/>
  <c r="AB55" i="28"/>
  <c r="BH56" i="28"/>
  <c r="BH58" i="28"/>
  <c r="BH61" i="28"/>
  <c r="AB56" i="28"/>
  <c r="AB58" i="28"/>
  <c r="AB57" i="28"/>
  <c r="AA62" i="28"/>
  <c r="H18" i="28" s="1"/>
  <c r="BG62" i="28"/>
  <c r="I18" i="28" s="1"/>
  <c r="AB61" i="28"/>
  <c r="BH60" i="28"/>
  <c r="BH59" i="28"/>
  <c r="BI4" i="28"/>
  <c r="BI6" i="28"/>
  <c r="BI8" i="28"/>
  <c r="BI10" i="28"/>
  <c r="BI12" i="28"/>
  <c r="BI14" i="28"/>
  <c r="BI16" i="28"/>
  <c r="BI18" i="28"/>
  <c r="BI20" i="28"/>
  <c r="BI5" i="28"/>
  <c r="BI7" i="28"/>
  <c r="BI9" i="28"/>
  <c r="BI11" i="28"/>
  <c r="BI13" i="28"/>
  <c r="BI15" i="28"/>
  <c r="BI17" i="28"/>
  <c r="BI19" i="28"/>
  <c r="BI22" i="28"/>
  <c r="BI24" i="28"/>
  <c r="BI26" i="28"/>
  <c r="BI28" i="28"/>
  <c r="BI30" i="28"/>
  <c r="BI32" i="28"/>
  <c r="BI34" i="28"/>
  <c r="BI21" i="28"/>
  <c r="BI25" i="28"/>
  <c r="BI29" i="28"/>
  <c r="BI33" i="28"/>
  <c r="BI3" i="28"/>
  <c r="BI35" i="28"/>
  <c r="BI37" i="28"/>
  <c r="BI39" i="28"/>
  <c r="BI41" i="28"/>
  <c r="BI27" i="28"/>
  <c r="AC5" i="28"/>
  <c r="AC9" i="28"/>
  <c r="AC13" i="28"/>
  <c r="BI38" i="28"/>
  <c r="BI42" i="28"/>
  <c r="AC4" i="28"/>
  <c r="AC8" i="28"/>
  <c r="AC12" i="28"/>
  <c r="AC16" i="28"/>
  <c r="BI31" i="28"/>
  <c r="BI2" i="28"/>
  <c r="AC7" i="28"/>
  <c r="AC15" i="28"/>
  <c r="AC20" i="28"/>
  <c r="AC24" i="28"/>
  <c r="AC28" i="28"/>
  <c r="AC32" i="28"/>
  <c r="AC36" i="28"/>
  <c r="AC40" i="28"/>
  <c r="BI40" i="28"/>
  <c r="AC6" i="28"/>
  <c r="AC14" i="28"/>
  <c r="AC19" i="28"/>
  <c r="AC23" i="28"/>
  <c r="AC27" i="28"/>
  <c r="AC31" i="28"/>
  <c r="AC35" i="28"/>
  <c r="AC39" i="28"/>
  <c r="AC3" i="28"/>
  <c r="BI23" i="28"/>
  <c r="AC11" i="28"/>
  <c r="AC18" i="28"/>
  <c r="AC22" i="28"/>
  <c r="AC10" i="28"/>
  <c r="AC26" i="28"/>
  <c r="AC34" i="28"/>
  <c r="AC42" i="28"/>
  <c r="AC2" i="28"/>
  <c r="AC29" i="28"/>
  <c r="AC21" i="28"/>
  <c r="AC25" i="28"/>
  <c r="AC33" i="28"/>
  <c r="AC41" i="28"/>
  <c r="AC17" i="28"/>
  <c r="AC30" i="28"/>
  <c r="AC38" i="28"/>
  <c r="BI36" i="28"/>
  <c r="AC37" i="28"/>
  <c r="AB60" i="28"/>
  <c r="BH57" i="28"/>
  <c r="AB59" i="28"/>
  <c r="BH55" i="28"/>
  <c r="F20" i="28"/>
  <c r="E21" i="28" s="1"/>
  <c r="BL42" i="16"/>
  <c r="H42" i="63" l="1"/>
  <c r="K28" i="16"/>
  <c r="I29" i="16"/>
  <c r="CA42" i="16"/>
  <c r="BZ43" i="16"/>
  <c r="BY43" i="16"/>
  <c r="BN36" i="16"/>
  <c r="BP35" i="16"/>
  <c r="AQ52" i="16"/>
  <c r="AR51" i="16"/>
  <c r="AN54" i="16"/>
  <c r="AD2" i="28"/>
  <c r="BJ2" i="28"/>
  <c r="AC43" i="28"/>
  <c r="BI51" i="28"/>
  <c r="BI46" i="28"/>
  <c r="BI44" i="28"/>
  <c r="AC44" i="28"/>
  <c r="AC45" i="28"/>
  <c r="BI48" i="28"/>
  <c r="BI47" i="28"/>
  <c r="AC54" i="28"/>
  <c r="AC51" i="28"/>
  <c r="BI45" i="28"/>
  <c r="AC53" i="28"/>
  <c r="AC46" i="28"/>
  <c r="BI52" i="28"/>
  <c r="AC50" i="28"/>
  <c r="AC47" i="28"/>
  <c r="AC48" i="28"/>
  <c r="BI54" i="28"/>
  <c r="BI53" i="28"/>
  <c r="BI43" i="28"/>
  <c r="AC57" i="28"/>
  <c r="BI50" i="28"/>
  <c r="BI57" i="28"/>
  <c r="BI49" i="28"/>
  <c r="AC56" i="28"/>
  <c r="BI55" i="28"/>
  <c r="AC49" i="28"/>
  <c r="AC55" i="28"/>
  <c r="BI56" i="28"/>
  <c r="AC52" i="28"/>
  <c r="BK37" i="16"/>
  <c r="BM36" i="16"/>
  <c r="H14" i="2"/>
  <c r="K14" i="2" s="1"/>
  <c r="BH37" i="16"/>
  <c r="BJ36" i="16"/>
  <c r="G20" i="28"/>
  <c r="BH62" i="28"/>
  <c r="I19" i="28" s="1"/>
  <c r="AC58" i="28"/>
  <c r="AB62" i="28"/>
  <c r="H19" i="28" s="1"/>
  <c r="BI60" i="28"/>
  <c r="AC61" i="28"/>
  <c r="AC59" i="28"/>
  <c r="AC60" i="28"/>
  <c r="BI61" i="28"/>
  <c r="BI59" i="28"/>
  <c r="BJ4" i="28"/>
  <c r="BJ6" i="28"/>
  <c r="BJ8" i="28"/>
  <c r="BJ10" i="28"/>
  <c r="BJ12" i="28"/>
  <c r="BJ14" i="28"/>
  <c r="BJ16" i="28"/>
  <c r="BJ18" i="28"/>
  <c r="BJ20" i="28"/>
  <c r="BJ11" i="28"/>
  <c r="BJ19" i="28"/>
  <c r="BJ5" i="28"/>
  <c r="BJ13" i="28"/>
  <c r="BJ22" i="28"/>
  <c r="BJ24" i="28"/>
  <c r="BJ26" i="28"/>
  <c r="BJ28" i="28"/>
  <c r="BJ30" i="28"/>
  <c r="BJ32" i="28"/>
  <c r="BJ34" i="28"/>
  <c r="BJ15" i="28"/>
  <c r="BJ36" i="28"/>
  <c r="BJ38" i="28"/>
  <c r="BJ40" i="28"/>
  <c r="BJ42" i="28"/>
  <c r="BJ17" i="28"/>
  <c r="BJ21" i="28"/>
  <c r="BJ25" i="28"/>
  <c r="BJ29" i="28"/>
  <c r="BJ33" i="28"/>
  <c r="BJ7" i="28"/>
  <c r="BJ37" i="28"/>
  <c r="BJ41" i="28"/>
  <c r="AD6" i="28"/>
  <c r="AD10" i="28"/>
  <c r="AD14" i="28"/>
  <c r="BJ27" i="28"/>
  <c r="BJ3" i="28"/>
  <c r="AD5" i="28"/>
  <c r="AD9" i="28"/>
  <c r="AD13" i="28"/>
  <c r="BJ39" i="28"/>
  <c r="AD8" i="28"/>
  <c r="AD16" i="28"/>
  <c r="AD17" i="28"/>
  <c r="AD21" i="28"/>
  <c r="AD25" i="28"/>
  <c r="AD29" i="28"/>
  <c r="AD33" i="28"/>
  <c r="AD37" i="28"/>
  <c r="AD41" i="28"/>
  <c r="BJ35" i="28"/>
  <c r="AD19" i="28"/>
  <c r="BJ31" i="28"/>
  <c r="AD7" i="28"/>
  <c r="AD15" i="28"/>
  <c r="AD20" i="28"/>
  <c r="AD24" i="28"/>
  <c r="AD28" i="28"/>
  <c r="AD32" i="28"/>
  <c r="AD36" i="28"/>
  <c r="AD40" i="28"/>
  <c r="AD4" i="28"/>
  <c r="AD12" i="28"/>
  <c r="AD23" i="28"/>
  <c r="BJ9" i="28"/>
  <c r="AD27" i="28"/>
  <c r="AD35" i="28"/>
  <c r="AD39" i="28"/>
  <c r="AD30" i="28"/>
  <c r="AD22" i="28"/>
  <c r="AD26" i="28"/>
  <c r="AD34" i="28"/>
  <c r="AD42" i="28"/>
  <c r="AD11" i="28"/>
  <c r="AD18" i="28"/>
  <c r="AD31" i="28"/>
  <c r="AD3" i="28"/>
  <c r="BJ23" i="28"/>
  <c r="AD38" i="28"/>
  <c r="BI58" i="28"/>
  <c r="F21" i="28"/>
  <c r="BJ48" i="28" s="1"/>
  <c r="BL43" i="16"/>
  <c r="H43" i="63" l="1"/>
  <c r="CA43" i="16"/>
  <c r="K29" i="16"/>
  <c r="I30" i="16"/>
  <c r="BY44" i="16"/>
  <c r="BZ44" i="16"/>
  <c r="BN37" i="16"/>
  <c r="BP36" i="16"/>
  <c r="AN55" i="16"/>
  <c r="AQ53" i="16"/>
  <c r="AR52" i="16"/>
  <c r="AS52" i="16" s="1"/>
  <c r="AD43" i="28"/>
  <c r="AD44" i="28"/>
  <c r="BJ44" i="28"/>
  <c r="BJ43" i="28"/>
  <c r="AD54" i="28"/>
  <c r="AD55" i="28"/>
  <c r="BJ47" i="28"/>
  <c r="BJ60" i="28"/>
  <c r="E22" i="28"/>
  <c r="AD49" i="28"/>
  <c r="BJ45" i="28"/>
  <c r="AD47" i="28"/>
  <c r="AD46" i="28"/>
  <c r="AD52" i="28"/>
  <c r="AD45" i="28"/>
  <c r="BJ46" i="28"/>
  <c r="AD48" i="28"/>
  <c r="BJ53" i="28"/>
  <c r="BJ54" i="28"/>
  <c r="AD53" i="28"/>
  <c r="BJ55" i="28"/>
  <c r="BJ49" i="28"/>
  <c r="BJ52" i="28"/>
  <c r="BJ58" i="28"/>
  <c r="AD58" i="28"/>
  <c r="AD56" i="28"/>
  <c r="AD57" i="28"/>
  <c r="BJ57" i="28"/>
  <c r="BJ50" i="28"/>
  <c r="AD50" i="28"/>
  <c r="AD51" i="28"/>
  <c r="BJ51" i="28"/>
  <c r="BJ56" i="28"/>
  <c r="BK38" i="16"/>
  <c r="BM37" i="16"/>
  <c r="H15" i="2"/>
  <c r="K15" i="2" s="1"/>
  <c r="BH38" i="16"/>
  <c r="BJ37" i="16"/>
  <c r="AC62" i="28"/>
  <c r="H20" i="28" s="1"/>
  <c r="G21" i="28"/>
  <c r="BJ59" i="28"/>
  <c r="BI62" i="28"/>
  <c r="I20" i="28" s="1"/>
  <c r="AD61" i="28"/>
  <c r="BJ61" i="28"/>
  <c r="AD59" i="28"/>
  <c r="AD60" i="28"/>
  <c r="BL44" i="16"/>
  <c r="H44" i="63" l="1"/>
  <c r="I31" i="16"/>
  <c r="K30" i="16"/>
  <c r="CA44" i="16"/>
  <c r="BY45" i="16"/>
  <c r="BZ45" i="16"/>
  <c r="BN38" i="16"/>
  <c r="BP37" i="16"/>
  <c r="AQ54" i="16"/>
  <c r="AR53" i="16"/>
  <c r="AS53" i="16" s="1"/>
  <c r="AN56" i="16"/>
  <c r="AE2" i="28"/>
  <c r="BK4" i="28"/>
  <c r="BK6" i="28"/>
  <c r="BK8" i="28"/>
  <c r="BK10" i="28"/>
  <c r="BK12" i="28"/>
  <c r="BK14" i="28"/>
  <c r="BK16" i="28"/>
  <c r="BK18" i="28"/>
  <c r="BK20" i="28"/>
  <c r="BK22" i="28"/>
  <c r="BK24" i="28"/>
  <c r="BK5" i="28"/>
  <c r="BK13" i="28"/>
  <c r="BK31" i="28"/>
  <c r="BK32" i="28"/>
  <c r="BK37" i="28"/>
  <c r="BK39" i="28"/>
  <c r="BK41" i="28"/>
  <c r="BK7" i="28"/>
  <c r="BK15" i="28"/>
  <c r="BK21" i="28"/>
  <c r="BK29" i="28"/>
  <c r="BK30" i="28"/>
  <c r="BK11" i="28"/>
  <c r="BK23" i="28"/>
  <c r="BK33" i="28"/>
  <c r="BK34" i="28"/>
  <c r="BK9" i="28"/>
  <c r="BK27" i="28"/>
  <c r="BK28" i="28"/>
  <c r="BK38" i="28"/>
  <c r="BK42" i="28"/>
  <c r="BK2" i="28"/>
  <c r="AE5" i="28"/>
  <c r="AE7" i="28"/>
  <c r="BK36" i="28"/>
  <c r="AE8" i="28"/>
  <c r="AE9" i="28"/>
  <c r="AE11" i="28"/>
  <c r="AE13" i="28"/>
  <c r="AE15" i="28"/>
  <c r="AE17" i="28"/>
  <c r="AE19" i="28"/>
  <c r="AE21" i="28"/>
  <c r="AE23" i="28"/>
  <c r="AE25" i="28"/>
  <c r="AE27" i="28"/>
  <c r="AE29" i="28"/>
  <c r="AE31" i="28"/>
  <c r="AE33" i="28"/>
  <c r="AE35" i="28"/>
  <c r="AE37" i="28"/>
  <c r="AE39" i="28"/>
  <c r="AE41" i="28"/>
  <c r="BK26" i="28"/>
  <c r="AE6" i="28"/>
  <c r="AE3" i="28"/>
  <c r="AE12" i="28"/>
  <c r="AE16" i="28"/>
  <c r="AE32" i="28"/>
  <c r="AE36" i="28"/>
  <c r="AE40" i="28"/>
  <c r="BK17" i="28"/>
  <c r="BK40" i="28"/>
  <c r="BK3" i="28"/>
  <c r="AE4" i="28"/>
  <c r="AE10" i="28"/>
  <c r="AE14" i="28"/>
  <c r="AE18" i="28"/>
  <c r="AE22" i="28"/>
  <c r="AE26" i="28"/>
  <c r="AE30" i="28"/>
  <c r="AE34" i="28"/>
  <c r="AE38" i="28"/>
  <c r="AE42" i="28"/>
  <c r="BK19" i="28"/>
  <c r="BK25" i="28"/>
  <c r="BK35" i="28"/>
  <c r="AE20" i="28"/>
  <c r="AE24" i="28"/>
  <c r="AE28" i="28"/>
  <c r="F22" i="28"/>
  <c r="E23" i="28" s="1"/>
  <c r="BK39" i="16"/>
  <c r="BM38" i="16"/>
  <c r="H16" i="2"/>
  <c r="K16" i="2" s="1"/>
  <c r="BH39" i="16"/>
  <c r="BJ38" i="16"/>
  <c r="BJ62" i="28"/>
  <c r="I21" i="28" s="1"/>
  <c r="AD62" i="28"/>
  <c r="H21" i="28" s="1"/>
  <c r="BL45" i="16"/>
  <c r="H45" i="63" l="1"/>
  <c r="K31" i="16"/>
  <c r="I32" i="16"/>
  <c r="CA45" i="16"/>
  <c r="BY46" i="16"/>
  <c r="BZ46" i="16"/>
  <c r="BN39" i="16"/>
  <c r="BP38" i="16"/>
  <c r="AN57" i="16"/>
  <c r="AQ55" i="16"/>
  <c r="AR54" i="16"/>
  <c r="AS54" i="16" s="1"/>
  <c r="AE61" i="28"/>
  <c r="BK44" i="28"/>
  <c r="AE43" i="28"/>
  <c r="BK46" i="28"/>
  <c r="BK51" i="28"/>
  <c r="AE59" i="28"/>
  <c r="AE44" i="28"/>
  <c r="BK43" i="28"/>
  <c r="AE51" i="28"/>
  <c r="AE47" i="28"/>
  <c r="AE49" i="28"/>
  <c r="BK54" i="28"/>
  <c r="BK58" i="28"/>
  <c r="BK57" i="28"/>
  <c r="AE45" i="28"/>
  <c r="BK48" i="28"/>
  <c r="AE50" i="28"/>
  <c r="AE60" i="28"/>
  <c r="AE46" i="28"/>
  <c r="BK52" i="28"/>
  <c r="BK55" i="28"/>
  <c r="BK49" i="28"/>
  <c r="AE57" i="28"/>
  <c r="BK60" i="28"/>
  <c r="AE53" i="28"/>
  <c r="AE48" i="28"/>
  <c r="AE55" i="28"/>
  <c r="BK56" i="28"/>
  <c r="BK61" i="28"/>
  <c r="BK47" i="28"/>
  <c r="AF2" i="28"/>
  <c r="BL5" i="28"/>
  <c r="BL7" i="28"/>
  <c r="BL9" i="28"/>
  <c r="BL11" i="28"/>
  <c r="BL13" i="28"/>
  <c r="BL15" i="28"/>
  <c r="BL17" i="28"/>
  <c r="BL4" i="28"/>
  <c r="BL6" i="28"/>
  <c r="BL8" i="28"/>
  <c r="BL10" i="28"/>
  <c r="BL12" i="28"/>
  <c r="BL14" i="28"/>
  <c r="BL16" i="28"/>
  <c r="BL18" i="28"/>
  <c r="BL20" i="28"/>
  <c r="BL22" i="28"/>
  <c r="BL24" i="28"/>
  <c r="BL26" i="28"/>
  <c r="BL28" i="28"/>
  <c r="BL30" i="28"/>
  <c r="BL32" i="28"/>
  <c r="BL34" i="28"/>
  <c r="BL19" i="28"/>
  <c r="BL23" i="28"/>
  <c r="BL25" i="28"/>
  <c r="BL33" i="28"/>
  <c r="BL31" i="28"/>
  <c r="BL37" i="28"/>
  <c r="BL39" i="28"/>
  <c r="BL41" i="28"/>
  <c r="BL43" i="28"/>
  <c r="BL35" i="28"/>
  <c r="BL36" i="28"/>
  <c r="BL40" i="28"/>
  <c r="BL2" i="28"/>
  <c r="BL29" i="28"/>
  <c r="BL38" i="28"/>
  <c r="BL3" i="28"/>
  <c r="AF7" i="28"/>
  <c r="AF8" i="28"/>
  <c r="AF9" i="28"/>
  <c r="AF11" i="28"/>
  <c r="AF13" i="28"/>
  <c r="AF15" i="28"/>
  <c r="AF17" i="28"/>
  <c r="AF19" i="28"/>
  <c r="AF21" i="28"/>
  <c r="AF23" i="28"/>
  <c r="AF25" i="28"/>
  <c r="AF27" i="28"/>
  <c r="AF29" i="28"/>
  <c r="AF31" i="28"/>
  <c r="AF33" i="28"/>
  <c r="AF35" i="28"/>
  <c r="AF37" i="28"/>
  <c r="AF39" i="28"/>
  <c r="AF41" i="28"/>
  <c r="AF43" i="28"/>
  <c r="BL27" i="28"/>
  <c r="BL42" i="28"/>
  <c r="AF12" i="28"/>
  <c r="AF16" i="28"/>
  <c r="AF20" i="28"/>
  <c r="AF24" i="28"/>
  <c r="AF28" i="28"/>
  <c r="AF32" i="28"/>
  <c r="AF36" i="28"/>
  <c r="AF40" i="28"/>
  <c r="AF34" i="28"/>
  <c r="BL21" i="28"/>
  <c r="AF5" i="28"/>
  <c r="AF6" i="28"/>
  <c r="AF3" i="28"/>
  <c r="AF4" i="28"/>
  <c r="AF10" i="28"/>
  <c r="AF14" i="28"/>
  <c r="AF18" i="28"/>
  <c r="AF22" i="28"/>
  <c r="AF26" i="28"/>
  <c r="AF30" i="28"/>
  <c r="AF38" i="28"/>
  <c r="AF42" i="28"/>
  <c r="AE56" i="28"/>
  <c r="AE58" i="28"/>
  <c r="AE52" i="28"/>
  <c r="AE54" i="28"/>
  <c r="BK50" i="28"/>
  <c r="BK59" i="28"/>
  <c r="BK53" i="28"/>
  <c r="BK45" i="28"/>
  <c r="G22" i="28"/>
  <c r="F23" i="28"/>
  <c r="E24" i="28" s="1"/>
  <c r="BK40" i="16"/>
  <c r="BM39" i="16"/>
  <c r="H17" i="2"/>
  <c r="K17" i="2" s="1"/>
  <c r="BH40" i="16"/>
  <c r="BJ39" i="16"/>
  <c r="BL46" i="16"/>
  <c r="H46" i="63" l="1"/>
  <c r="I33" i="16"/>
  <c r="K32" i="16"/>
  <c r="CA46" i="16"/>
  <c r="BZ47" i="16"/>
  <c r="BY47" i="16"/>
  <c r="BN40" i="16"/>
  <c r="BP39" i="16"/>
  <c r="AQ56" i="16"/>
  <c r="AR55" i="16"/>
  <c r="AS55" i="16" s="1"/>
  <c r="AN58" i="16"/>
  <c r="BL52" i="28"/>
  <c r="AF59" i="28"/>
  <c r="BK62" i="28"/>
  <c r="I22" i="28" s="1"/>
  <c r="AE62" i="28"/>
  <c r="H22" i="28" s="1"/>
  <c r="AF50" i="28"/>
  <c r="BL56" i="28"/>
  <c r="BL50" i="28"/>
  <c r="AF56" i="28"/>
  <c r="AF51" i="28"/>
  <c r="BL55" i="28"/>
  <c r="BL44" i="28"/>
  <c r="BL49" i="28"/>
  <c r="AF52" i="28"/>
  <c r="AF44" i="28"/>
  <c r="AG2" i="28"/>
  <c r="BM5" i="28"/>
  <c r="BM7" i="28"/>
  <c r="BM9" i="28"/>
  <c r="BM11" i="28"/>
  <c r="BM13" i="28"/>
  <c r="BM15" i="28"/>
  <c r="BM17" i="28"/>
  <c r="BM19" i="28"/>
  <c r="BM21" i="28"/>
  <c r="BM23" i="28"/>
  <c r="BM8" i="28"/>
  <c r="BM16" i="28"/>
  <c r="BM26" i="28"/>
  <c r="BM27" i="28"/>
  <c r="BM34" i="28"/>
  <c r="BM35" i="28"/>
  <c r="BM36" i="28"/>
  <c r="BM38" i="28"/>
  <c r="BM40" i="28"/>
  <c r="BM42" i="28"/>
  <c r="BM10" i="28"/>
  <c r="BM18" i="28"/>
  <c r="BM20" i="28"/>
  <c r="BM24" i="28"/>
  <c r="BM25" i="28"/>
  <c r="BM32" i="28"/>
  <c r="BM33" i="28"/>
  <c r="BM14" i="28"/>
  <c r="BM12" i="28"/>
  <c r="BM30" i="28"/>
  <c r="BM31" i="28"/>
  <c r="BM37" i="28"/>
  <c r="BM41" i="28"/>
  <c r="BM3" i="28"/>
  <c r="AG4" i="28"/>
  <c r="AG6" i="28"/>
  <c r="AG8" i="28"/>
  <c r="BM39" i="28"/>
  <c r="AG10" i="28"/>
  <c r="AG12" i="28"/>
  <c r="AG14" i="28"/>
  <c r="AG16" i="28"/>
  <c r="AG18" i="28"/>
  <c r="AG20" i="28"/>
  <c r="AG22" i="28"/>
  <c r="AG24" i="28"/>
  <c r="AG26" i="28"/>
  <c r="AG28" i="28"/>
  <c r="AG30" i="28"/>
  <c r="AG32" i="28"/>
  <c r="AG34" i="28"/>
  <c r="AG36" i="28"/>
  <c r="AG38" i="28"/>
  <c r="AG40" i="28"/>
  <c r="AG42" i="28"/>
  <c r="BM28" i="28"/>
  <c r="BM22" i="28"/>
  <c r="AG3" i="28"/>
  <c r="BM2" i="28"/>
  <c r="AG19" i="28"/>
  <c r="AG23" i="28"/>
  <c r="BM4" i="28"/>
  <c r="BM43" i="28"/>
  <c r="AG7" i="28"/>
  <c r="AG9" i="28"/>
  <c r="AG13" i="28"/>
  <c r="AG17" i="28"/>
  <c r="AG21" i="28"/>
  <c r="AG25" i="28"/>
  <c r="AG29" i="28"/>
  <c r="AG33" i="28"/>
  <c r="AG37" i="28"/>
  <c r="AG41" i="28"/>
  <c r="BM6" i="28"/>
  <c r="BM29" i="28"/>
  <c r="AG5" i="28"/>
  <c r="AG11" i="28"/>
  <c r="AG15" i="28"/>
  <c r="AG27" i="28"/>
  <c r="AG31" i="28"/>
  <c r="AG35" i="28"/>
  <c r="AG39" i="28"/>
  <c r="AG43" i="28"/>
  <c r="AF60" i="28"/>
  <c r="AF54" i="28"/>
  <c r="BL58" i="28"/>
  <c r="AF48" i="28"/>
  <c r="AF57" i="28"/>
  <c r="AF49" i="28"/>
  <c r="BL46" i="28"/>
  <c r="BL61" i="28"/>
  <c r="BL48" i="28"/>
  <c r="BL47" i="28"/>
  <c r="AF46" i="28"/>
  <c r="AF58" i="28"/>
  <c r="AF61" i="28"/>
  <c r="AF55" i="28"/>
  <c r="AF47" i="28"/>
  <c r="BL59" i="28"/>
  <c r="BL53" i="28"/>
  <c r="BL45" i="28"/>
  <c r="AF53" i="28"/>
  <c r="AF45" i="28"/>
  <c r="BL60" i="28"/>
  <c r="BL57" i="28"/>
  <c r="BL54" i="28"/>
  <c r="BL51" i="28"/>
  <c r="G23" i="28"/>
  <c r="F24" i="28"/>
  <c r="E25" i="28" s="1"/>
  <c r="BK41" i="16"/>
  <c r="BM40" i="16"/>
  <c r="H18" i="2"/>
  <c r="K18" i="2" s="1"/>
  <c r="BH41" i="16"/>
  <c r="BJ40" i="16"/>
  <c r="BL47" i="16"/>
  <c r="H47" i="63" l="1"/>
  <c r="CA47" i="16"/>
  <c r="K33" i="16"/>
  <c r="I34" i="16"/>
  <c r="BY48" i="16"/>
  <c r="BZ48" i="16"/>
  <c r="BN41" i="16"/>
  <c r="BP40" i="16"/>
  <c r="AN59" i="16"/>
  <c r="AQ57" i="16"/>
  <c r="AR56" i="16"/>
  <c r="AS56" i="16" s="1"/>
  <c r="BL62" i="28"/>
  <c r="I23" i="28" s="1"/>
  <c r="AG45" i="28"/>
  <c r="AG46" i="28"/>
  <c r="BM46" i="28"/>
  <c r="AG44" i="28"/>
  <c r="AF62" i="28"/>
  <c r="H23" i="28" s="1"/>
  <c r="BM44" i="28"/>
  <c r="BM45" i="28"/>
  <c r="BM55" i="28"/>
  <c r="BM57" i="28"/>
  <c r="BM47" i="28"/>
  <c r="BM56" i="28"/>
  <c r="BM48" i="28"/>
  <c r="AG51" i="28"/>
  <c r="AG54" i="28"/>
  <c r="AG56" i="28"/>
  <c r="AG52" i="28"/>
  <c r="BM51" i="28"/>
  <c r="AG58" i="28"/>
  <c r="BM59" i="28"/>
  <c r="BM54" i="28"/>
  <c r="AH2" i="28"/>
  <c r="BN4" i="28"/>
  <c r="BN6" i="28"/>
  <c r="BN8" i="28"/>
  <c r="BN10" i="28"/>
  <c r="BN12" i="28"/>
  <c r="BN14" i="28"/>
  <c r="BN16" i="28"/>
  <c r="BN18" i="28"/>
  <c r="BN5" i="28"/>
  <c r="BN7" i="28"/>
  <c r="BN9" i="28"/>
  <c r="BN11" i="28"/>
  <c r="BN13" i="28"/>
  <c r="BN15" i="28"/>
  <c r="BN17" i="28"/>
  <c r="BN19" i="28"/>
  <c r="BN21" i="28"/>
  <c r="BN23" i="28"/>
  <c r="BN25" i="28"/>
  <c r="BN27" i="28"/>
  <c r="BN29" i="28"/>
  <c r="BN31" i="28"/>
  <c r="BN33" i="28"/>
  <c r="BN35" i="28"/>
  <c r="BN22" i="28"/>
  <c r="BN28" i="28"/>
  <c r="BN26" i="28"/>
  <c r="BN34" i="28"/>
  <c r="BN36" i="28"/>
  <c r="BN38" i="28"/>
  <c r="BN40" i="28"/>
  <c r="BN42" i="28"/>
  <c r="BN46" i="28"/>
  <c r="BN39" i="28"/>
  <c r="BN43" i="28"/>
  <c r="BN3" i="28"/>
  <c r="BN20" i="28"/>
  <c r="BN32" i="28"/>
  <c r="AH4" i="28"/>
  <c r="AH5" i="28"/>
  <c r="BN30" i="28"/>
  <c r="BN41" i="28"/>
  <c r="BN2" i="28"/>
  <c r="AH10" i="28"/>
  <c r="AH12" i="28"/>
  <c r="AH14" i="28"/>
  <c r="AH16" i="28"/>
  <c r="AH18" i="28"/>
  <c r="AH20" i="28"/>
  <c r="AH22" i="28"/>
  <c r="AH24" i="28"/>
  <c r="AH26" i="28"/>
  <c r="AH28" i="28"/>
  <c r="AH30" i="28"/>
  <c r="AH32" i="28"/>
  <c r="AH34" i="28"/>
  <c r="AH36" i="28"/>
  <c r="AH38" i="28"/>
  <c r="AH40" i="28"/>
  <c r="AH42" i="28"/>
  <c r="AH44" i="28"/>
  <c r="AH46" i="28"/>
  <c r="BN45" i="28"/>
  <c r="AH11" i="28"/>
  <c r="AH15" i="28"/>
  <c r="AH19" i="28"/>
  <c r="AH23" i="28"/>
  <c r="AH27" i="28"/>
  <c r="AH31" i="28"/>
  <c r="AH35" i="28"/>
  <c r="AH39" i="28"/>
  <c r="AH43" i="28"/>
  <c r="AH21" i="28"/>
  <c r="AH29" i="28"/>
  <c r="AH41" i="28"/>
  <c r="AH45" i="28"/>
  <c r="AH3" i="28"/>
  <c r="BN24" i="28"/>
  <c r="AH8" i="28"/>
  <c r="BN37" i="28"/>
  <c r="AH6" i="28"/>
  <c r="AH7" i="28"/>
  <c r="AH9" i="28"/>
  <c r="AH13" i="28"/>
  <c r="AH17" i="28"/>
  <c r="AH25" i="28"/>
  <c r="AH33" i="28"/>
  <c r="AH37" i="28"/>
  <c r="AG59" i="28"/>
  <c r="AG55" i="28"/>
  <c r="AG53" i="28"/>
  <c r="AG57" i="28"/>
  <c r="BM53" i="28"/>
  <c r="BM60" i="28"/>
  <c r="BM52" i="28"/>
  <c r="AG60" i="28"/>
  <c r="AG47" i="28"/>
  <c r="AG49" i="28"/>
  <c r="AG61" i="28"/>
  <c r="AG48" i="28"/>
  <c r="AG50" i="28"/>
  <c r="BM61" i="28"/>
  <c r="BM49" i="28"/>
  <c r="BM58" i="28"/>
  <c r="BM50" i="28"/>
  <c r="G24" i="28"/>
  <c r="F25" i="28"/>
  <c r="E26" i="28" s="1"/>
  <c r="BK42" i="16"/>
  <c r="BM41" i="16"/>
  <c r="H19" i="2"/>
  <c r="K19" i="2" s="1"/>
  <c r="BH42" i="16"/>
  <c r="BJ41" i="16"/>
  <c r="BL48" i="16"/>
  <c r="H48" i="63" l="1"/>
  <c r="K34" i="16"/>
  <c r="I35" i="16"/>
  <c r="CA48" i="16"/>
  <c r="BY49" i="16"/>
  <c r="BZ49" i="16"/>
  <c r="BN42" i="16"/>
  <c r="BP41" i="16"/>
  <c r="AQ58" i="16"/>
  <c r="AR57" i="16"/>
  <c r="AS57" i="16" s="1"/>
  <c r="AN60" i="16"/>
  <c r="G25" i="28"/>
  <c r="AH55" i="28"/>
  <c r="BN55" i="28"/>
  <c r="BN52" i="28"/>
  <c r="AH60" i="28"/>
  <c r="BN54" i="28"/>
  <c r="BN51" i="28"/>
  <c r="AH59" i="28"/>
  <c r="AG62" i="28"/>
  <c r="H24" i="28" s="1"/>
  <c r="AH57" i="28"/>
  <c r="AH58" i="28"/>
  <c r="BN44" i="28"/>
  <c r="BM62" i="28"/>
  <c r="I24" i="28" s="1"/>
  <c r="BN57" i="28"/>
  <c r="AH50" i="28"/>
  <c r="AH47" i="28"/>
  <c r="AH49" i="28"/>
  <c r="AH51" i="28"/>
  <c r="AH56" i="28"/>
  <c r="AH48" i="28"/>
  <c r="BN60" i="28"/>
  <c r="BN47" i="28"/>
  <c r="BN50" i="28"/>
  <c r="AI2" i="28"/>
  <c r="BO4" i="28"/>
  <c r="BO6" i="28"/>
  <c r="BO8" i="28"/>
  <c r="BO10" i="28"/>
  <c r="BO12" i="28"/>
  <c r="BO14" i="28"/>
  <c r="BO16" i="28"/>
  <c r="BO18" i="28"/>
  <c r="BO20" i="28"/>
  <c r="BO22" i="28"/>
  <c r="BO11" i="28"/>
  <c r="BO29" i="28"/>
  <c r="BO30" i="28"/>
  <c r="BO37" i="28"/>
  <c r="BO39" i="28"/>
  <c r="BO41" i="28"/>
  <c r="BO43" i="28"/>
  <c r="BO45" i="28"/>
  <c r="BO5" i="28"/>
  <c r="BO13" i="28"/>
  <c r="BO19" i="28"/>
  <c r="BO23" i="28"/>
  <c r="BO27" i="28"/>
  <c r="BO28" i="28"/>
  <c r="BO35" i="28"/>
  <c r="BO17" i="28"/>
  <c r="BO21" i="28"/>
  <c r="BO24" i="28"/>
  <c r="BO15" i="28"/>
  <c r="BO33" i="28"/>
  <c r="BO34" i="28"/>
  <c r="BO36" i="28"/>
  <c r="BO40" i="28"/>
  <c r="BO44" i="28"/>
  <c r="BO48" i="28"/>
  <c r="BO2" i="28"/>
  <c r="AI5" i="28"/>
  <c r="AI7" i="28"/>
  <c r="BO7" i="28"/>
  <c r="BO25" i="28"/>
  <c r="BO42" i="28"/>
  <c r="BO3" i="28"/>
  <c r="AI6" i="28"/>
  <c r="AI9" i="28"/>
  <c r="AI11" i="28"/>
  <c r="AI13" i="28"/>
  <c r="AI15" i="28"/>
  <c r="AI17" i="28"/>
  <c r="AI19" i="28"/>
  <c r="AI21" i="28"/>
  <c r="AI23" i="28"/>
  <c r="AI25" i="28"/>
  <c r="AI27" i="28"/>
  <c r="AI29" i="28"/>
  <c r="AI31" i="28"/>
  <c r="AI33" i="28"/>
  <c r="AI35" i="28"/>
  <c r="AI37" i="28"/>
  <c r="AI39" i="28"/>
  <c r="AI41" i="28"/>
  <c r="AI43" i="28"/>
  <c r="BO9" i="28"/>
  <c r="BO32" i="28"/>
  <c r="AI4" i="28"/>
  <c r="BO31" i="28"/>
  <c r="AI45" i="28"/>
  <c r="AI26" i="28"/>
  <c r="AI30" i="28"/>
  <c r="BO46" i="28"/>
  <c r="AI12" i="28"/>
  <c r="AI16" i="28"/>
  <c r="AI20" i="28"/>
  <c r="AI24" i="28"/>
  <c r="AI28" i="28"/>
  <c r="AI32" i="28"/>
  <c r="AI36" i="28"/>
  <c r="AI40" i="28"/>
  <c r="AI44" i="28"/>
  <c r="AI8" i="28"/>
  <c r="AI48" i="28"/>
  <c r="AI3" i="28"/>
  <c r="BO26" i="28"/>
  <c r="BO38" i="28"/>
  <c r="AI10" i="28"/>
  <c r="AI14" i="28"/>
  <c r="AI18" i="28"/>
  <c r="AI22" i="28"/>
  <c r="AI34" i="28"/>
  <c r="AI38" i="28"/>
  <c r="AI42" i="28"/>
  <c r="AI46" i="28"/>
  <c r="AI47" i="28"/>
  <c r="AH61" i="28"/>
  <c r="BN53" i="28"/>
  <c r="AH53" i="28"/>
  <c r="AH54" i="28"/>
  <c r="BN49" i="28"/>
  <c r="BN58" i="28"/>
  <c r="BN48" i="28"/>
  <c r="BN61" i="28"/>
  <c r="AH52" i="28"/>
  <c r="BN59" i="28"/>
  <c r="BN56" i="28"/>
  <c r="F26" i="28"/>
  <c r="E27" i="28" s="1"/>
  <c r="BK43" i="16"/>
  <c r="BM42" i="16"/>
  <c r="H20" i="2"/>
  <c r="K20" i="2" s="1"/>
  <c r="BH43" i="16"/>
  <c r="BJ42" i="16"/>
  <c r="BL49" i="16"/>
  <c r="H49" i="63" l="1"/>
  <c r="I36" i="16"/>
  <c r="K35" i="16"/>
  <c r="CA49" i="16"/>
  <c r="BY50" i="16"/>
  <c r="BZ50" i="16"/>
  <c r="BN43" i="16"/>
  <c r="BP42" i="16"/>
  <c r="AN61" i="16"/>
  <c r="AQ59" i="16"/>
  <c r="AR58" i="16"/>
  <c r="AS58" i="16" s="1"/>
  <c r="BO58" i="28"/>
  <c r="AI53" i="28"/>
  <c r="AH62" i="28"/>
  <c r="H25" i="28" s="1"/>
  <c r="BO51" i="28"/>
  <c r="AI54" i="28"/>
  <c r="AI50" i="28"/>
  <c r="BO55" i="28"/>
  <c r="BO47" i="28"/>
  <c r="BN62" i="28"/>
  <c r="I25" i="28" s="1"/>
  <c r="AI56" i="28"/>
  <c r="AI60" i="28"/>
  <c r="AI52" i="28"/>
  <c r="BO52" i="28"/>
  <c r="BO61" i="28"/>
  <c r="BO49" i="28"/>
  <c r="BP5" i="28"/>
  <c r="BP7" i="28"/>
  <c r="BP9" i="28"/>
  <c r="BP11" i="28"/>
  <c r="BP13" i="28"/>
  <c r="BP15" i="28"/>
  <c r="BP17" i="28"/>
  <c r="BP4" i="28"/>
  <c r="BP6" i="28"/>
  <c r="BP8" i="28"/>
  <c r="BP10" i="28"/>
  <c r="BP12" i="28"/>
  <c r="BP14" i="28"/>
  <c r="BP16" i="28"/>
  <c r="BP18" i="28"/>
  <c r="BP20" i="28"/>
  <c r="BP22" i="28"/>
  <c r="BP24" i="28"/>
  <c r="BP26" i="28"/>
  <c r="BP28" i="28"/>
  <c r="BP30" i="28"/>
  <c r="BP32" i="28"/>
  <c r="BP34" i="28"/>
  <c r="BP21" i="28"/>
  <c r="BP31" i="28"/>
  <c r="BP29" i="28"/>
  <c r="BP37" i="28"/>
  <c r="BP39" i="28"/>
  <c r="BP41" i="28"/>
  <c r="BP43" i="28"/>
  <c r="BP45" i="28"/>
  <c r="BP47" i="28"/>
  <c r="BP51" i="28"/>
  <c r="BP25" i="28"/>
  <c r="BP38" i="28"/>
  <c r="BP42" i="28"/>
  <c r="BP46" i="28"/>
  <c r="BP50" i="28"/>
  <c r="BP2" i="28"/>
  <c r="BP23" i="28"/>
  <c r="BP35" i="28"/>
  <c r="BP19" i="28"/>
  <c r="BP27" i="28"/>
  <c r="AJ7" i="28"/>
  <c r="AJ8" i="28"/>
  <c r="BP36" i="28"/>
  <c r="BP44" i="28"/>
  <c r="AJ5" i="28"/>
  <c r="AJ6" i="28"/>
  <c r="AJ9" i="28"/>
  <c r="AJ11" i="28"/>
  <c r="AJ13" i="28"/>
  <c r="AJ15" i="28"/>
  <c r="AJ17" i="28"/>
  <c r="AJ19" i="28"/>
  <c r="AJ21" i="28"/>
  <c r="AJ23" i="28"/>
  <c r="AJ25" i="28"/>
  <c r="AJ27" i="28"/>
  <c r="AJ29" i="28"/>
  <c r="AJ31" i="28"/>
  <c r="AJ33" i="28"/>
  <c r="AJ35" i="28"/>
  <c r="AJ37" i="28"/>
  <c r="AJ39" i="28"/>
  <c r="AJ41" i="28"/>
  <c r="AJ43" i="28"/>
  <c r="AJ45" i="28"/>
  <c r="AJ47" i="28"/>
  <c r="AJ49" i="28"/>
  <c r="BP3" i="28"/>
  <c r="AJ10" i="28"/>
  <c r="AJ14" i="28"/>
  <c r="AJ18" i="28"/>
  <c r="AJ22" i="28"/>
  <c r="AJ26" i="28"/>
  <c r="AJ30" i="28"/>
  <c r="AJ34" i="28"/>
  <c r="AJ38" i="28"/>
  <c r="AJ42" i="28"/>
  <c r="AJ46" i="28"/>
  <c r="AJ32" i="28"/>
  <c r="AJ36" i="28"/>
  <c r="AJ50" i="28"/>
  <c r="AJ4" i="28"/>
  <c r="AJ3" i="28"/>
  <c r="BP33" i="28"/>
  <c r="BP40" i="28"/>
  <c r="AJ12" i="28"/>
  <c r="AJ16" i="28"/>
  <c r="AJ20" i="28"/>
  <c r="AJ24" i="28"/>
  <c r="AJ28" i="28"/>
  <c r="AJ40" i="28"/>
  <c r="AJ44" i="28"/>
  <c r="AJ48" i="28"/>
  <c r="AJ2" i="28"/>
  <c r="AI61" i="28"/>
  <c r="AI58" i="28"/>
  <c r="AI57" i="28"/>
  <c r="BO60" i="28"/>
  <c r="BO50" i="28"/>
  <c r="BO59" i="28"/>
  <c r="AI55" i="28"/>
  <c r="AI51" i="28"/>
  <c r="AI59" i="28"/>
  <c r="AI49" i="28"/>
  <c r="BO54" i="28"/>
  <c r="BO56" i="28"/>
  <c r="BO57" i="28"/>
  <c r="BO53" i="28"/>
  <c r="G26" i="28"/>
  <c r="F27" i="28"/>
  <c r="E28" i="28" s="1"/>
  <c r="BK44" i="16"/>
  <c r="BM43" i="16"/>
  <c r="H21" i="2"/>
  <c r="K21" i="2" s="1"/>
  <c r="BH44" i="16"/>
  <c r="BJ43" i="16"/>
  <c r="BL50" i="16"/>
  <c r="H50" i="63" l="1"/>
  <c r="I37" i="16"/>
  <c r="K36" i="16"/>
  <c r="CA50" i="16"/>
  <c r="BY51" i="16"/>
  <c r="BZ51" i="16"/>
  <c r="BN44" i="16"/>
  <c r="BP43" i="16"/>
  <c r="AQ60" i="16"/>
  <c r="AR59" i="16"/>
  <c r="AS59" i="16" s="1"/>
  <c r="AN62" i="16"/>
  <c r="BP48" i="28"/>
  <c r="BP49" i="28"/>
  <c r="AI62" i="28"/>
  <c r="H26" i="28" s="1"/>
  <c r="AJ51" i="28"/>
  <c r="BO62" i="28"/>
  <c r="I26" i="28" s="1"/>
  <c r="BQ5" i="28"/>
  <c r="BQ7" i="28"/>
  <c r="BQ9" i="28"/>
  <c r="BQ11" i="28"/>
  <c r="BQ13" i="28"/>
  <c r="BQ15" i="28"/>
  <c r="BQ17" i="28"/>
  <c r="BQ19" i="28"/>
  <c r="BQ21" i="28"/>
  <c r="BQ23" i="28"/>
  <c r="BQ6" i="28"/>
  <c r="BQ14" i="28"/>
  <c r="BQ24" i="28"/>
  <c r="BQ25" i="28"/>
  <c r="BQ32" i="28"/>
  <c r="BQ33" i="28"/>
  <c r="BQ36" i="28"/>
  <c r="BQ38" i="28"/>
  <c r="BQ40" i="28"/>
  <c r="BQ42" i="28"/>
  <c r="BQ44" i="28"/>
  <c r="BQ46" i="28"/>
  <c r="BQ52" i="28"/>
  <c r="BQ8" i="28"/>
  <c r="BQ16" i="28"/>
  <c r="BQ22" i="28"/>
  <c r="BQ30" i="28"/>
  <c r="BQ31" i="28"/>
  <c r="BQ4" i="28"/>
  <c r="BQ26" i="28"/>
  <c r="BQ27" i="28"/>
  <c r="BQ18" i="28"/>
  <c r="BQ39" i="28"/>
  <c r="BQ43" i="28"/>
  <c r="BQ47" i="28"/>
  <c r="BQ3" i="28"/>
  <c r="AK4" i="28"/>
  <c r="AK6" i="28"/>
  <c r="AK8" i="28"/>
  <c r="BQ29" i="28"/>
  <c r="BQ37" i="28"/>
  <c r="BQ45" i="28"/>
  <c r="BQ2" i="28"/>
  <c r="AK10" i="28"/>
  <c r="AK12" i="28"/>
  <c r="AK14" i="28"/>
  <c r="AK16" i="28"/>
  <c r="AK18" i="28"/>
  <c r="AK20" i="28"/>
  <c r="AK22" i="28"/>
  <c r="AK24" i="28"/>
  <c r="AK26" i="28"/>
  <c r="AK28" i="28"/>
  <c r="AK30" i="28"/>
  <c r="AK32" i="28"/>
  <c r="AK34" i="28"/>
  <c r="AK36" i="28"/>
  <c r="AK38" i="28"/>
  <c r="AK40" i="28"/>
  <c r="AK42" i="28"/>
  <c r="AK44" i="28"/>
  <c r="BQ20" i="28"/>
  <c r="BQ34" i="28"/>
  <c r="AK7" i="28"/>
  <c r="BQ12" i="28"/>
  <c r="BQ35" i="28"/>
  <c r="AK47" i="28"/>
  <c r="AK3" i="28"/>
  <c r="BQ41" i="28"/>
  <c r="AK5" i="28"/>
  <c r="AK9" i="28"/>
  <c r="AK13" i="28"/>
  <c r="AK17" i="28"/>
  <c r="AK21" i="28"/>
  <c r="AK33" i="28"/>
  <c r="AK37" i="28"/>
  <c r="AK41" i="28"/>
  <c r="BQ28" i="28"/>
  <c r="AK11" i="28"/>
  <c r="AK15" i="28"/>
  <c r="AK19" i="28"/>
  <c r="AK23" i="28"/>
  <c r="AK27" i="28"/>
  <c r="AK31" i="28"/>
  <c r="AK35" i="28"/>
  <c r="AK39" i="28"/>
  <c r="AK43" i="28"/>
  <c r="AK45" i="28"/>
  <c r="AK46" i="28"/>
  <c r="AK52" i="28"/>
  <c r="AK2" i="28"/>
  <c r="BQ10" i="28"/>
  <c r="AK25" i="28"/>
  <c r="AK29" i="28"/>
  <c r="AJ54" i="28"/>
  <c r="BP57" i="28"/>
  <c r="AJ52" i="28"/>
  <c r="BP60" i="28"/>
  <c r="AJ57" i="28"/>
  <c r="BP58" i="28"/>
  <c r="BP55" i="28"/>
  <c r="BP52" i="28"/>
  <c r="AJ60" i="28"/>
  <c r="BP56" i="28"/>
  <c r="AJ58" i="28"/>
  <c r="AJ61" i="28"/>
  <c r="AJ55" i="28"/>
  <c r="BP54" i="28"/>
  <c r="BP61" i="28"/>
  <c r="AJ56" i="28"/>
  <c r="AJ59" i="28"/>
  <c r="AJ53" i="28"/>
  <c r="BP53" i="28"/>
  <c r="BP59" i="28"/>
  <c r="G27" i="28"/>
  <c r="F28" i="28"/>
  <c r="E29" i="28" s="1"/>
  <c r="L21" i="2"/>
  <c r="BK45" i="16"/>
  <c r="BM44" i="16"/>
  <c r="H22" i="2"/>
  <c r="K22" i="2" s="1"/>
  <c r="BH45" i="16"/>
  <c r="BJ44" i="16"/>
  <c r="BL51" i="16"/>
  <c r="H51" i="63" l="1"/>
  <c r="L36" i="16"/>
  <c r="I38" i="16"/>
  <c r="K37" i="16"/>
  <c r="CA51" i="16"/>
  <c r="BY52" i="16"/>
  <c r="BZ52" i="16"/>
  <c r="BN45" i="16"/>
  <c r="BP44" i="16"/>
  <c r="AQ61" i="16"/>
  <c r="AR60" i="16"/>
  <c r="AS60" i="16" s="1"/>
  <c r="AJ62" i="28"/>
  <c r="H27" i="28" s="1"/>
  <c r="AK50" i="28"/>
  <c r="AK49" i="28"/>
  <c r="BQ51" i="28"/>
  <c r="AK48" i="28"/>
  <c r="BQ48" i="28"/>
  <c r="BP62" i="28"/>
  <c r="I27" i="28" s="1"/>
  <c r="AK51" i="28"/>
  <c r="BQ49" i="28"/>
  <c r="BQ50" i="28"/>
  <c r="BR4" i="28"/>
  <c r="BR6" i="28"/>
  <c r="BR8" i="28"/>
  <c r="BR10" i="28"/>
  <c r="BR12" i="28"/>
  <c r="BR14" i="28"/>
  <c r="BR16" i="28"/>
  <c r="BR18" i="28"/>
  <c r="BR5" i="28"/>
  <c r="BR7" i="28"/>
  <c r="BR9" i="28"/>
  <c r="BR11" i="28"/>
  <c r="BR13" i="28"/>
  <c r="BR15" i="28"/>
  <c r="BR17" i="28"/>
  <c r="BR19" i="28"/>
  <c r="BR21" i="28"/>
  <c r="BR23" i="28"/>
  <c r="BR25" i="28"/>
  <c r="BR27" i="28"/>
  <c r="BR29" i="28"/>
  <c r="BR31" i="28"/>
  <c r="BR33" i="28"/>
  <c r="BR35" i="28"/>
  <c r="BR20" i="28"/>
  <c r="BR26" i="28"/>
  <c r="BR34" i="28"/>
  <c r="BR24" i="28"/>
  <c r="BR32" i="28"/>
  <c r="BR36" i="28"/>
  <c r="BR38" i="28"/>
  <c r="BR40" i="28"/>
  <c r="BR42" i="28"/>
  <c r="BR44" i="28"/>
  <c r="BR46" i="28"/>
  <c r="BR52" i="28"/>
  <c r="BR28" i="28"/>
  <c r="BR37" i="28"/>
  <c r="BR41" i="28"/>
  <c r="BR45" i="28"/>
  <c r="BR49" i="28"/>
  <c r="BR3" i="28"/>
  <c r="BR53" i="28"/>
  <c r="BR22" i="28"/>
  <c r="BR39" i="28"/>
  <c r="BR47" i="28"/>
  <c r="AL8" i="28"/>
  <c r="AL10" i="28"/>
  <c r="AL12" i="28"/>
  <c r="AL14" i="28"/>
  <c r="AL16" i="28"/>
  <c r="AL18" i="28"/>
  <c r="AL20" i="28"/>
  <c r="AL22" i="28"/>
  <c r="AL24" i="28"/>
  <c r="AL26" i="28"/>
  <c r="AL28" i="28"/>
  <c r="AL30" i="28"/>
  <c r="AL32" i="28"/>
  <c r="AL34" i="28"/>
  <c r="AL36" i="28"/>
  <c r="AL38" i="28"/>
  <c r="AL40" i="28"/>
  <c r="AL42" i="28"/>
  <c r="AL44" i="28"/>
  <c r="AL46" i="28"/>
  <c r="AL52" i="28"/>
  <c r="AL54" i="28"/>
  <c r="AL4" i="28"/>
  <c r="AL5" i="28"/>
  <c r="AL9" i="28"/>
  <c r="AL13" i="28"/>
  <c r="AL17" i="28"/>
  <c r="AL21" i="28"/>
  <c r="AL25" i="28"/>
  <c r="AL29" i="28"/>
  <c r="AL33" i="28"/>
  <c r="AL37" i="28"/>
  <c r="AL41" i="28"/>
  <c r="AL43" i="28"/>
  <c r="AL7" i="28"/>
  <c r="AL47" i="28"/>
  <c r="AL2" i="28"/>
  <c r="BR43" i="28"/>
  <c r="BR2" i="28"/>
  <c r="AL11" i="28"/>
  <c r="AL15" i="28"/>
  <c r="AL19" i="28"/>
  <c r="AL23" i="28"/>
  <c r="AL27" i="28"/>
  <c r="AL31" i="28"/>
  <c r="AL35" i="28"/>
  <c r="AL39" i="28"/>
  <c r="AL45" i="28"/>
  <c r="AL53" i="28"/>
  <c r="BR30" i="28"/>
  <c r="AL6" i="28"/>
  <c r="AL3" i="28"/>
  <c r="AK58" i="28"/>
  <c r="AK53" i="28"/>
  <c r="AK55" i="28"/>
  <c r="BQ56" i="28"/>
  <c r="AK57" i="28"/>
  <c r="AK61" i="28"/>
  <c r="BQ54" i="28"/>
  <c r="BQ61" i="28"/>
  <c r="BQ55" i="28"/>
  <c r="AK59" i="28"/>
  <c r="AK60" i="28"/>
  <c r="BQ60" i="28"/>
  <c r="BQ53" i="28"/>
  <c r="G28" i="28"/>
  <c r="AK54" i="28"/>
  <c r="AK56" i="28"/>
  <c r="BQ57" i="28"/>
  <c r="BQ59" i="28"/>
  <c r="BQ58" i="28"/>
  <c r="F29" i="28"/>
  <c r="E30" i="28" s="1"/>
  <c r="L22" i="2"/>
  <c r="BK46" i="16"/>
  <c r="BM45" i="16"/>
  <c r="H23" i="2"/>
  <c r="K23" i="2" s="1"/>
  <c r="BH46" i="16"/>
  <c r="BJ45" i="16"/>
  <c r="BL52" i="16"/>
  <c r="H52" i="63" l="1"/>
  <c r="I39" i="16"/>
  <c r="K38" i="16"/>
  <c r="L37" i="16"/>
  <c r="CA52" i="16"/>
  <c r="BY53" i="16"/>
  <c r="BZ53" i="16"/>
  <c r="BN46" i="16"/>
  <c r="BP45" i="16"/>
  <c r="AQ62" i="16"/>
  <c r="AR62" i="16" s="1"/>
  <c r="AR61" i="16"/>
  <c r="AS61" i="16" s="1"/>
  <c r="BR61" i="28"/>
  <c r="BR59" i="28"/>
  <c r="BR58" i="28"/>
  <c r="BQ62" i="28"/>
  <c r="I28" i="28" s="1"/>
  <c r="AK62" i="28"/>
  <c r="H28" i="28" s="1"/>
  <c r="BR54" i="28"/>
  <c r="AL50" i="28"/>
  <c r="BR50" i="28"/>
  <c r="AL51" i="28"/>
  <c r="AL49" i="28"/>
  <c r="BR51" i="28"/>
  <c r="AL48" i="28"/>
  <c r="BR48" i="28"/>
  <c r="G29" i="28"/>
  <c r="AL60" i="28"/>
  <c r="AL56" i="28"/>
  <c r="BR57" i="28"/>
  <c r="BR56" i="28"/>
  <c r="AL55" i="28"/>
  <c r="AL61" i="28"/>
  <c r="AL58" i="28"/>
  <c r="BS4" i="28"/>
  <c r="BS6" i="28"/>
  <c r="BS8" i="28"/>
  <c r="BS10" i="28"/>
  <c r="BS12" i="28"/>
  <c r="BS14" i="28"/>
  <c r="BS16" i="28"/>
  <c r="BS18" i="28"/>
  <c r="BS20" i="28"/>
  <c r="BS22" i="28"/>
  <c r="BS9" i="28"/>
  <c r="BS17" i="28"/>
  <c r="BS27" i="28"/>
  <c r="BS28" i="28"/>
  <c r="BS35" i="28"/>
  <c r="BS37" i="28"/>
  <c r="BS39" i="28"/>
  <c r="BS41" i="28"/>
  <c r="BS43" i="28"/>
  <c r="BS45" i="28"/>
  <c r="BS47" i="28"/>
  <c r="BS51" i="28"/>
  <c r="BS53" i="28"/>
  <c r="BS11" i="28"/>
  <c r="BS21" i="28"/>
  <c r="BS25" i="28"/>
  <c r="BS26" i="28"/>
  <c r="BS33" i="28"/>
  <c r="BS34" i="28"/>
  <c r="BS7" i="28"/>
  <c r="BS19" i="28"/>
  <c r="BS29" i="28"/>
  <c r="BS30" i="28"/>
  <c r="BS5" i="28"/>
  <c r="BS24" i="28"/>
  <c r="BS38" i="28"/>
  <c r="BS42" i="28"/>
  <c r="BS46" i="28"/>
  <c r="BS2" i="28"/>
  <c r="AM5" i="28"/>
  <c r="AM7" i="28"/>
  <c r="BS13" i="28"/>
  <c r="BS31" i="28"/>
  <c r="BS40" i="28"/>
  <c r="BS48" i="28"/>
  <c r="AM4" i="28"/>
  <c r="AM9" i="28"/>
  <c r="AM11" i="28"/>
  <c r="AM13" i="28"/>
  <c r="AM15" i="28"/>
  <c r="AM17" i="28"/>
  <c r="AM19" i="28"/>
  <c r="AM21" i="28"/>
  <c r="AM23" i="28"/>
  <c r="AM25" i="28"/>
  <c r="AM27" i="28"/>
  <c r="AM29" i="28"/>
  <c r="AM31" i="28"/>
  <c r="AM33" i="28"/>
  <c r="AM35" i="28"/>
  <c r="AM37" i="28"/>
  <c r="AM39" i="28"/>
  <c r="AM41" i="28"/>
  <c r="AM43" i="28"/>
  <c r="BS15" i="28"/>
  <c r="BS23" i="28"/>
  <c r="BS54" i="28"/>
  <c r="AM6" i="28"/>
  <c r="AM51" i="28"/>
  <c r="AM2" i="28"/>
  <c r="AM46" i="28"/>
  <c r="AM47" i="28"/>
  <c r="AM54" i="28"/>
  <c r="AM24" i="28"/>
  <c r="AM28" i="28"/>
  <c r="BS32" i="28"/>
  <c r="BS36" i="28"/>
  <c r="BS52" i="28"/>
  <c r="AM10" i="28"/>
  <c r="AM14" i="28"/>
  <c r="AM18" i="28"/>
  <c r="AM22" i="28"/>
  <c r="AM26" i="28"/>
  <c r="AM30" i="28"/>
  <c r="AM34" i="28"/>
  <c r="AM38" i="28"/>
  <c r="AM42" i="28"/>
  <c r="AM48" i="28"/>
  <c r="AM49" i="28"/>
  <c r="AM3" i="28"/>
  <c r="BS44" i="28"/>
  <c r="BS3" i="28"/>
  <c r="AM8" i="28"/>
  <c r="AM12" i="28"/>
  <c r="AM16" i="28"/>
  <c r="AM20" i="28"/>
  <c r="AM32" i="28"/>
  <c r="AM36" i="28"/>
  <c r="AM40" i="28"/>
  <c r="AM44" i="28"/>
  <c r="AM45" i="28"/>
  <c r="AM52" i="28"/>
  <c r="AM53" i="28"/>
  <c r="BR55" i="28"/>
  <c r="AL59" i="28"/>
  <c r="AL57" i="28"/>
  <c r="BR60" i="28"/>
  <c r="F30" i="28"/>
  <c r="E31" i="28" s="1"/>
  <c r="L23" i="2"/>
  <c r="BK47" i="16"/>
  <c r="BM46" i="16"/>
  <c r="H24" i="2"/>
  <c r="K24" i="2" s="1"/>
  <c r="BH47" i="16"/>
  <c r="BJ46" i="16"/>
  <c r="BL53" i="16"/>
  <c r="H53" i="63" l="1"/>
  <c r="K39" i="16"/>
  <c r="I40" i="16"/>
  <c r="L38" i="16"/>
  <c r="CA53" i="16"/>
  <c r="BY54" i="16"/>
  <c r="BZ54" i="16"/>
  <c r="AS62" i="16"/>
  <c r="BN47" i="16"/>
  <c r="BP46" i="16"/>
  <c r="AM58" i="28"/>
  <c r="BS60" i="28"/>
  <c r="AM59" i="28"/>
  <c r="AM55" i="28"/>
  <c r="BR62" i="28"/>
  <c r="I29" i="28" s="1"/>
  <c r="BS55" i="28"/>
  <c r="G30" i="28"/>
  <c r="BS49" i="28"/>
  <c r="AL62" i="28"/>
  <c r="H29" i="28" s="1"/>
  <c r="AM50" i="28"/>
  <c r="BS50" i="28"/>
  <c r="F31" i="28"/>
  <c r="G31" i="28" s="1"/>
  <c r="BT5" i="28"/>
  <c r="BT7" i="28"/>
  <c r="BT9" i="28"/>
  <c r="BT11" i="28"/>
  <c r="BT13" i="28"/>
  <c r="BT15" i="28"/>
  <c r="BT17" i="28"/>
  <c r="BT4" i="28"/>
  <c r="BT6" i="28"/>
  <c r="BT8" i="28"/>
  <c r="BT10" i="28"/>
  <c r="BT12" i="28"/>
  <c r="BT14" i="28"/>
  <c r="BT16" i="28"/>
  <c r="BT18" i="28"/>
  <c r="BT20" i="28"/>
  <c r="BT22" i="28"/>
  <c r="BT24" i="28"/>
  <c r="BT26" i="28"/>
  <c r="BT28" i="28"/>
  <c r="BT30" i="28"/>
  <c r="BT32" i="28"/>
  <c r="BT34" i="28"/>
  <c r="BT19" i="28"/>
  <c r="BT23" i="28"/>
  <c r="BT29" i="28"/>
  <c r="BT27" i="28"/>
  <c r="BT35" i="28"/>
  <c r="BT37" i="28"/>
  <c r="BT39" i="28"/>
  <c r="BT41" i="28"/>
  <c r="BT43" i="28"/>
  <c r="BT45" i="28"/>
  <c r="BT47" i="28"/>
  <c r="BT49" i="28"/>
  <c r="BT51" i="28"/>
  <c r="BT31" i="28"/>
  <c r="BT36" i="28"/>
  <c r="BT40" i="28"/>
  <c r="BT44" i="28"/>
  <c r="BT48" i="28"/>
  <c r="BT52" i="28"/>
  <c r="BT2" i="28"/>
  <c r="BT21" i="28"/>
  <c r="BT25" i="28"/>
  <c r="BT55" i="28"/>
  <c r="BT57" i="28"/>
  <c r="BT59" i="28"/>
  <c r="BT33" i="28"/>
  <c r="BT56" i="28"/>
  <c r="AN5" i="28"/>
  <c r="AN6" i="28"/>
  <c r="BT42" i="28"/>
  <c r="BT50" i="28"/>
  <c r="BT53" i="28"/>
  <c r="BT3" i="28"/>
  <c r="AN4" i="28"/>
  <c r="AN9" i="28"/>
  <c r="AN11" i="28"/>
  <c r="AN13" i="28"/>
  <c r="AN15" i="28"/>
  <c r="AN17" i="28"/>
  <c r="AN19" i="28"/>
  <c r="AN21" i="28"/>
  <c r="AN23" i="28"/>
  <c r="AN25" i="28"/>
  <c r="AN27" i="28"/>
  <c r="AN29" i="28"/>
  <c r="AN31" i="28"/>
  <c r="AN33" i="28"/>
  <c r="AN35" i="28"/>
  <c r="AN37" i="28"/>
  <c r="AN39" i="28"/>
  <c r="AN41" i="28"/>
  <c r="AN43" i="28"/>
  <c r="AN45" i="28"/>
  <c r="AN47" i="28"/>
  <c r="AN49" i="28"/>
  <c r="AN51" i="28"/>
  <c r="AN53" i="28"/>
  <c r="AN55" i="28"/>
  <c r="AN57" i="28"/>
  <c r="BT38" i="28"/>
  <c r="AN7" i="28"/>
  <c r="AN8" i="28"/>
  <c r="AN12" i="28"/>
  <c r="AN16" i="28"/>
  <c r="AN20" i="28"/>
  <c r="AN24" i="28"/>
  <c r="AN28" i="28"/>
  <c r="AN32" i="28"/>
  <c r="AN36" i="28"/>
  <c r="AN40" i="28"/>
  <c r="AN44" i="28"/>
  <c r="AN52" i="28"/>
  <c r="AN38" i="28"/>
  <c r="AN46" i="28"/>
  <c r="AN54" i="28"/>
  <c r="BT54" i="28"/>
  <c r="AN50" i="28"/>
  <c r="AN3" i="28"/>
  <c r="BT46" i="28"/>
  <c r="AN10" i="28"/>
  <c r="AN14" i="28"/>
  <c r="AN18" i="28"/>
  <c r="AN22" i="28"/>
  <c r="AN26" i="28"/>
  <c r="AN30" i="28"/>
  <c r="AN34" i="28"/>
  <c r="AN42" i="28"/>
  <c r="AN48" i="28"/>
  <c r="AN56" i="28"/>
  <c r="AN2" i="28"/>
  <c r="AM57" i="28"/>
  <c r="AM61" i="28"/>
  <c r="BS58" i="28"/>
  <c r="BS61" i="28"/>
  <c r="BS56" i="28"/>
  <c r="AM56" i="28"/>
  <c r="BS59" i="28"/>
  <c r="AM60" i="28"/>
  <c r="BS57" i="28"/>
  <c r="L24" i="2"/>
  <c r="BK48" i="16"/>
  <c r="BM47" i="16"/>
  <c r="H25" i="2"/>
  <c r="K25" i="2" s="1"/>
  <c r="BH48" i="16"/>
  <c r="BJ47" i="16"/>
  <c r="BL54" i="16"/>
  <c r="H54" i="63" l="1"/>
  <c r="I41" i="16"/>
  <c r="K40" i="16"/>
  <c r="L40" i="16" s="1"/>
  <c r="L39" i="16"/>
  <c r="CA54" i="16"/>
  <c r="BY55" i="16"/>
  <c r="BZ55" i="16"/>
  <c r="BN48" i="16"/>
  <c r="BP47" i="16"/>
  <c r="BT60" i="28"/>
  <c r="BT58" i="28"/>
  <c r="AN61" i="28"/>
  <c r="AN58" i="28"/>
  <c r="AN59" i="28"/>
  <c r="BS62" i="28"/>
  <c r="I30" i="28" s="1"/>
  <c r="AN60" i="28"/>
  <c r="BT61" i="28"/>
  <c r="AM62" i="28"/>
  <c r="H30" i="28" s="1"/>
  <c r="L25" i="2"/>
  <c r="BK49" i="16"/>
  <c r="BM48" i="16"/>
  <c r="H26" i="2"/>
  <c r="K26" i="2" s="1"/>
  <c r="BH49" i="16"/>
  <c r="BJ48" i="16"/>
  <c r="BL55" i="16"/>
  <c r="H55" i="63" l="1"/>
  <c r="I42" i="16"/>
  <c r="K41" i="16"/>
  <c r="CA55" i="16"/>
  <c r="BY56" i="16"/>
  <c r="BZ56" i="16"/>
  <c r="BN49" i="16"/>
  <c r="BP48" i="16"/>
  <c r="BT62" i="28"/>
  <c r="I31" i="28" s="1"/>
  <c r="AN62" i="28"/>
  <c r="H31" i="28" s="1"/>
  <c r="L26" i="2"/>
  <c r="BK50" i="16"/>
  <c r="BM49" i="16"/>
  <c r="H27" i="2"/>
  <c r="K27" i="2" s="1"/>
  <c r="BH50" i="16"/>
  <c r="BJ49" i="16"/>
  <c r="BL56" i="16"/>
  <c r="H56" i="63" l="1"/>
  <c r="I43" i="16"/>
  <c r="K42" i="16"/>
  <c r="L41" i="16"/>
  <c r="CA56" i="16"/>
  <c r="BY57" i="16"/>
  <c r="BZ57" i="16"/>
  <c r="BN50" i="16"/>
  <c r="BP49" i="16"/>
  <c r="L27" i="2"/>
  <c r="BK51" i="16"/>
  <c r="BM50" i="16"/>
  <c r="H28" i="2"/>
  <c r="K28" i="2" s="1"/>
  <c r="BH51" i="16"/>
  <c r="BJ50" i="16"/>
  <c r="BL57" i="16"/>
  <c r="H57" i="63" l="1"/>
  <c r="I44" i="16"/>
  <c r="K43" i="16"/>
  <c r="L42" i="16"/>
  <c r="CA57" i="16"/>
  <c r="BY58" i="16"/>
  <c r="BZ58" i="16"/>
  <c r="BN51" i="16"/>
  <c r="BP50" i="16"/>
  <c r="L28" i="2"/>
  <c r="BK52" i="16"/>
  <c r="BM51" i="16"/>
  <c r="H29" i="2"/>
  <c r="K29" i="2" s="1"/>
  <c r="BH52" i="16"/>
  <c r="BJ51" i="16"/>
  <c r="BL58" i="16"/>
  <c r="H58" i="63" l="1"/>
  <c r="L43" i="16"/>
  <c r="K44" i="16"/>
  <c r="I45" i="16"/>
  <c r="CA58" i="16"/>
  <c r="BY59" i="16"/>
  <c r="BZ59" i="16"/>
  <c r="BN52" i="16"/>
  <c r="BP51" i="16"/>
  <c r="L29" i="2"/>
  <c r="BK53" i="16"/>
  <c r="BM52" i="16"/>
  <c r="H30" i="2"/>
  <c r="K30" i="2" s="1"/>
  <c r="BH53" i="16"/>
  <c r="BJ52" i="16"/>
  <c r="BL59" i="16"/>
  <c r="H59" i="63" l="1"/>
  <c r="I46" i="16"/>
  <c r="K45" i="16"/>
  <c r="L45" i="16" s="1"/>
  <c r="L44" i="16"/>
  <c r="CA59" i="16"/>
  <c r="BY60" i="16"/>
  <c r="BZ60" i="16"/>
  <c r="BN53" i="16"/>
  <c r="BP52" i="16"/>
  <c r="L30" i="2"/>
  <c r="BK54" i="16"/>
  <c r="BM53" i="16"/>
  <c r="H31" i="2"/>
  <c r="K31" i="2" s="1"/>
  <c r="BH54" i="16"/>
  <c r="BJ53" i="16"/>
  <c r="BL60" i="16"/>
  <c r="H60" i="63" l="1"/>
  <c r="I47" i="16"/>
  <c r="K46" i="16"/>
  <c r="CA60" i="16"/>
  <c r="BY61" i="16"/>
  <c r="BZ61" i="16"/>
  <c r="BN54" i="16"/>
  <c r="BP53" i="16"/>
  <c r="L31" i="2"/>
  <c r="BK55" i="16"/>
  <c r="BM54" i="16"/>
  <c r="H32" i="2"/>
  <c r="K32" i="2" s="1"/>
  <c r="BH55" i="16"/>
  <c r="BJ54" i="16"/>
  <c r="BL61" i="16"/>
  <c r="H61" i="63" l="1"/>
  <c r="I48" i="16"/>
  <c r="K47" i="16"/>
  <c r="L46" i="16"/>
  <c r="CA61" i="16"/>
  <c r="BY62" i="16"/>
  <c r="BZ62" i="16"/>
  <c r="BN55" i="16"/>
  <c r="BP54" i="16"/>
  <c r="L32" i="2"/>
  <c r="BK56" i="16"/>
  <c r="BM55" i="16"/>
  <c r="H33" i="2"/>
  <c r="K33" i="2" s="1"/>
  <c r="BH56" i="16"/>
  <c r="BJ55" i="16"/>
  <c r="BL62" i="16"/>
  <c r="L47" i="16" l="1"/>
  <c r="I49" i="16"/>
  <c r="K48" i="16"/>
  <c r="CA62" i="16"/>
  <c r="BN56" i="16"/>
  <c r="BP55" i="16"/>
  <c r="L33" i="2"/>
  <c r="BK57" i="16"/>
  <c r="BM56" i="16"/>
  <c r="H34" i="2"/>
  <c r="K34" i="2" s="1"/>
  <c r="BH57" i="16"/>
  <c r="BJ56" i="16"/>
  <c r="L48" i="16" l="1"/>
  <c r="K49" i="16"/>
  <c r="I50" i="16"/>
  <c r="BN57" i="16"/>
  <c r="BP56" i="16"/>
  <c r="L34" i="2"/>
  <c r="BK58" i="16"/>
  <c r="BM57" i="16"/>
  <c r="H35" i="2"/>
  <c r="K35" i="2" s="1"/>
  <c r="BH58" i="16"/>
  <c r="BJ57" i="16"/>
  <c r="L49" i="16" l="1"/>
  <c r="I51" i="16"/>
  <c r="K50" i="16"/>
  <c r="BN58" i="16"/>
  <c r="BP57" i="16"/>
  <c r="L35" i="2"/>
  <c r="BK59" i="16"/>
  <c r="BM58" i="16"/>
  <c r="H36" i="2"/>
  <c r="K36" i="2" s="1"/>
  <c r="BH59" i="16"/>
  <c r="BJ58" i="16"/>
  <c r="K51" i="16" l="1"/>
  <c r="L51" i="16" s="1"/>
  <c r="I52" i="16"/>
  <c r="L50" i="16"/>
  <c r="BN59" i="16"/>
  <c r="BP58" i="16"/>
  <c r="L36" i="2"/>
  <c r="BK60" i="16"/>
  <c r="BM59" i="16"/>
  <c r="H37" i="2"/>
  <c r="K37" i="2" s="1"/>
  <c r="BH60" i="16"/>
  <c r="BJ59" i="16"/>
  <c r="I53" i="16" l="1"/>
  <c r="K52" i="16"/>
  <c r="BN60" i="16"/>
  <c r="BP59" i="16"/>
  <c r="L37" i="2"/>
  <c r="BK61" i="16"/>
  <c r="BM60" i="16"/>
  <c r="H38" i="2"/>
  <c r="K38" i="2" s="1"/>
  <c r="BH61" i="16"/>
  <c r="BJ60" i="16"/>
  <c r="K53" i="16" l="1"/>
  <c r="L53" i="16" s="1"/>
  <c r="I54" i="16"/>
  <c r="L52" i="16"/>
  <c r="BN61" i="16"/>
  <c r="BP60" i="16"/>
  <c r="L38" i="2"/>
  <c r="BK62" i="16"/>
  <c r="BM62" i="16" s="1"/>
  <c r="BM61" i="16"/>
  <c r="H39" i="2"/>
  <c r="K39" i="2" s="1"/>
  <c r="BH62" i="16"/>
  <c r="BJ62" i="16" s="1"/>
  <c r="BJ61" i="16"/>
  <c r="K54" i="16" l="1"/>
  <c r="I55" i="16"/>
  <c r="BN62" i="16"/>
  <c r="BP62" i="16" s="1"/>
  <c r="BP61" i="16"/>
  <c r="L39" i="2"/>
  <c r="H40" i="2"/>
  <c r="K40" i="2" s="1"/>
  <c r="K55" i="16" l="1"/>
  <c r="L55" i="16" s="1"/>
  <c r="I56" i="16"/>
  <c r="L54" i="16"/>
  <c r="L40" i="2"/>
  <c r="H41" i="2"/>
  <c r="K41" i="2" s="1"/>
  <c r="I57" i="16" l="1"/>
  <c r="K56" i="16"/>
  <c r="L41" i="2"/>
  <c r="H42" i="2"/>
  <c r="K42" i="2" s="1"/>
  <c r="K57" i="16" l="1"/>
  <c r="L57" i="16" s="1"/>
  <c r="I58" i="16"/>
  <c r="L56" i="16"/>
  <c r="L42" i="2"/>
  <c r="H43" i="2"/>
  <c r="K43" i="2" s="1"/>
  <c r="I59" i="16" l="1"/>
  <c r="K58" i="16"/>
  <c r="L43" i="2"/>
  <c r="H44" i="2"/>
  <c r="K44" i="2" s="1"/>
  <c r="L44" i="2" s="1"/>
  <c r="L58" i="16" l="1"/>
  <c r="I60" i="16"/>
  <c r="K59" i="16"/>
  <c r="L59" i="16" s="1"/>
  <c r="H45" i="2"/>
  <c r="K45" i="2" s="1"/>
  <c r="L45" i="2" s="1"/>
  <c r="I61" i="16" l="1"/>
  <c r="K60" i="16"/>
  <c r="L60" i="16" s="1"/>
  <c r="H46" i="2"/>
  <c r="K46" i="2" s="1"/>
  <c r="L46" i="2" s="1"/>
  <c r="I62" i="16" l="1"/>
  <c r="K61" i="16"/>
  <c r="H47" i="2"/>
  <c r="K47" i="2" s="1"/>
  <c r="L47" i="2" s="1"/>
  <c r="K62" i="16" l="1"/>
  <c r="L62" i="16" s="1"/>
  <c r="L61" i="16"/>
  <c r="H48" i="2"/>
  <c r="K48" i="2" s="1"/>
  <c r="L48" i="2" s="1"/>
  <c r="H49" i="2" l="1"/>
  <c r="K49" i="2" s="1"/>
  <c r="L49" i="2" s="1"/>
  <c r="H50" i="2" l="1"/>
  <c r="K50" i="2" s="1"/>
  <c r="L50" i="2" s="1"/>
  <c r="H51" i="2" l="1"/>
  <c r="K51" i="2" s="1"/>
  <c r="L51" i="2" s="1"/>
  <c r="H52" i="2" l="1"/>
  <c r="K52" i="2" s="1"/>
  <c r="L52" i="2" s="1"/>
  <c r="H53" i="2" l="1"/>
  <c r="K53" i="2" s="1"/>
  <c r="L53" i="2" s="1"/>
  <c r="H54" i="2" l="1"/>
  <c r="K54" i="2" s="1"/>
  <c r="L54" i="2" s="1"/>
  <c r="H55" i="2" l="1"/>
  <c r="K55" i="2" s="1"/>
  <c r="L55" i="2" s="1"/>
  <c r="H56" i="2" l="1"/>
  <c r="K56" i="2" s="1"/>
  <c r="L56" i="2" s="1"/>
  <c r="H57" i="2" l="1"/>
  <c r="K57" i="2" s="1"/>
  <c r="L57" i="2" s="1"/>
  <c r="H58" i="2" l="1"/>
  <c r="K58" i="2" s="1"/>
  <c r="L58" i="2" s="1"/>
  <c r="H59" i="2" l="1"/>
  <c r="K59" i="2" s="1"/>
  <c r="L59" i="2" s="1"/>
  <c r="H60" i="2" l="1"/>
  <c r="K60" i="2" s="1"/>
  <c r="L60" i="2" s="1"/>
  <c r="H61" i="2" l="1"/>
  <c r="K61" i="2" s="1"/>
  <c r="L61" i="2" s="1"/>
</calcChain>
</file>

<file path=xl/sharedStrings.xml><?xml version="1.0" encoding="utf-8"?>
<sst xmlns="http://schemas.openxmlformats.org/spreadsheetml/2006/main" count="1720" uniqueCount="497">
  <si>
    <t>خرید</t>
  </si>
  <si>
    <t>فروش</t>
  </si>
  <si>
    <t>حقیقی</t>
  </si>
  <si>
    <t>حقوقی</t>
  </si>
  <si>
    <t>بهمن</t>
  </si>
  <si>
    <t>تعداد</t>
  </si>
  <si>
    <t>حجم</t>
  </si>
  <si>
    <t> (</t>
  </si>
  <si>
    <t>%)</t>
  </si>
  <si>
    <t>ارزش</t>
  </si>
  <si>
    <t>قیمت میانگین</t>
  </si>
  <si>
    <t>تغییر مالکیت حقوقی به حقیقی</t>
  </si>
  <si>
    <t>دی</t>
  </si>
  <si>
    <t>آذر</t>
  </si>
  <si>
    <t>Cell Num.</t>
  </si>
  <si>
    <t>حقوقی هر نفر</t>
  </si>
  <si>
    <t>حقیقی هر نفر</t>
  </si>
  <si>
    <t>میانگین حقیقی</t>
  </si>
  <si>
    <t>میانگین حقوقی</t>
  </si>
  <si>
    <t>حقیقی تجمعی</t>
  </si>
  <si>
    <t>حقوقی تجمعی</t>
  </si>
  <si>
    <t>حقیقی هر نفر تجمعی</t>
  </si>
  <si>
    <t>اسفند</t>
  </si>
  <si>
    <t>162.472 B</t>
  </si>
  <si>
    <t>63.711 B</t>
  </si>
  <si>
    <t>188.676 B</t>
  </si>
  <si>
    <t>37.507 B</t>
  </si>
  <si>
    <t>93.846 B</t>
  </si>
  <si>
    <t>187.075 B</t>
  </si>
  <si>
    <t>139.707 B</t>
  </si>
  <si>
    <t>141.214 B</t>
  </si>
  <si>
    <t>176.922 B</t>
  </si>
  <si>
    <t>109.951 B</t>
  </si>
  <si>
    <t>118.941 B</t>
  </si>
  <si>
    <t>167.931 B</t>
  </si>
  <si>
    <t>110.615 B</t>
  </si>
  <si>
    <t>98.197 B</t>
  </si>
  <si>
    <t>150.93 B</t>
  </si>
  <si>
    <t>57.881 B</t>
  </si>
  <si>
    <t>96.187 B</t>
  </si>
  <si>
    <t>80.291 B</t>
  </si>
  <si>
    <t>146.872 B</t>
  </si>
  <si>
    <t>29.607 B</t>
  </si>
  <si>
    <t>173.971 B</t>
  </si>
  <si>
    <t>119.875 B</t>
  </si>
  <si>
    <t>199.022 B</t>
  </si>
  <si>
    <t>94.824 B</t>
  </si>
  <si>
    <t>274.084 B</t>
  </si>
  <si>
    <t>177.438 B</t>
  </si>
  <si>
    <t>385.359 B</t>
  </si>
  <si>
    <t>66.163 B</t>
  </si>
  <si>
    <t>518.404 B</t>
  </si>
  <si>
    <t>207.08 B</t>
  </si>
  <si>
    <t>210.731 B</t>
  </si>
  <si>
    <t>514.753 B</t>
  </si>
  <si>
    <t>477.683 B</t>
  </si>
  <si>
    <t>110.242 B</t>
  </si>
  <si>
    <t>182.701 B</t>
  </si>
  <si>
    <t>405.224 B</t>
  </si>
  <si>
    <t>96.225 B</t>
  </si>
  <si>
    <t>55.978 B</t>
  </si>
  <si>
    <t>131.996 B</t>
  </si>
  <si>
    <t>20.207 B</t>
  </si>
  <si>
    <t>94.543 B</t>
  </si>
  <si>
    <t>70.27 B</t>
  </si>
  <si>
    <t>92.824 B</t>
  </si>
  <si>
    <t>71.989 B</t>
  </si>
  <si>
    <t>68.802 B</t>
  </si>
  <si>
    <t>65.349 B</t>
  </si>
  <si>
    <t>118.26 B</t>
  </si>
  <si>
    <t>15.892 B</t>
  </si>
  <si>
    <t>90.877 B</t>
  </si>
  <si>
    <t>42.868 B</t>
  </si>
  <si>
    <t>109.01 B</t>
  </si>
  <si>
    <t>24.736 B</t>
  </si>
  <si>
    <t>72.698 B</t>
  </si>
  <si>
    <t>16.78 B</t>
  </si>
  <si>
    <t>75.637 B</t>
  </si>
  <si>
    <t>13.84 B</t>
  </si>
  <si>
    <t>98.627 B</t>
  </si>
  <si>
    <t>22.629 B</t>
  </si>
  <si>
    <t>113.272 B</t>
  </si>
  <si>
    <t>7.984 B</t>
  </si>
  <si>
    <t>73.358 B</t>
  </si>
  <si>
    <t>20.741 B</t>
  </si>
  <si>
    <t>78.399 B</t>
  </si>
  <si>
    <t>15.7 B</t>
  </si>
  <si>
    <t>76.564 B</t>
  </si>
  <si>
    <t>9.973 B</t>
  </si>
  <si>
    <t>73.959 B</t>
  </si>
  <si>
    <t>12.578 B</t>
  </si>
  <si>
    <t>121.897 B</t>
  </si>
  <si>
    <t>21.625 B</t>
  </si>
  <si>
    <t>137.726 B</t>
  </si>
  <si>
    <t>5.796 B</t>
  </si>
  <si>
    <t>105.879 B</t>
  </si>
  <si>
    <t>44.805 B</t>
  </si>
  <si>
    <t>54.655 B</t>
  </si>
  <si>
    <t>96.029 B</t>
  </si>
  <si>
    <t>124.589 B</t>
  </si>
  <si>
    <t>20.055 B</t>
  </si>
  <si>
    <t>138.421 B</t>
  </si>
  <si>
    <t>6.223 B</t>
  </si>
  <si>
    <t>185.133 B</t>
  </si>
  <si>
    <t>45.712 B</t>
  </si>
  <si>
    <t>98.236 B</t>
  </si>
  <si>
    <t>132.608 B</t>
  </si>
  <si>
    <t>158.57 B</t>
  </si>
  <si>
    <t>48.49 B</t>
  </si>
  <si>
    <t>154.476 B</t>
  </si>
  <si>
    <t>52.584 B</t>
  </si>
  <si>
    <t>92.822 B</t>
  </si>
  <si>
    <t>135.027 B</t>
  </si>
  <si>
    <t>102.269 B</t>
  </si>
  <si>
    <t>125.58 B</t>
  </si>
  <si>
    <t>71.927 B</t>
  </si>
  <si>
    <t>508.469 B</t>
  </si>
  <si>
    <t>209.615 B</t>
  </si>
  <si>
    <t>370.782 B</t>
  </si>
  <si>
    <t>68.245 B</t>
  </si>
  <si>
    <t>445.417 B</t>
  </si>
  <si>
    <t>164.813 B</t>
  </si>
  <si>
    <t>348.849 B</t>
  </si>
  <si>
    <t>121.266 B</t>
  </si>
  <si>
    <t>140.355 B</t>
  </si>
  <si>
    <t>172.205 B</t>
  </si>
  <si>
    <t>89.416 B</t>
  </si>
  <si>
    <t>227.095 B</t>
  </si>
  <si>
    <t>336.574 B</t>
  </si>
  <si>
    <t>182.829 B</t>
  </si>
  <si>
    <t>380.84 B</t>
  </si>
  <si>
    <t>199.469 B</t>
  </si>
  <si>
    <t>198.434 B</t>
  </si>
  <si>
    <t>221.108 B</t>
  </si>
  <si>
    <t>176.796 B</t>
  </si>
  <si>
    <t>548.293 B</t>
  </si>
  <si>
    <t>188.689 B</t>
  </si>
  <si>
    <t>310.55 B</t>
  </si>
  <si>
    <t>426.433 B</t>
  </si>
  <si>
    <t>85.068 B</t>
  </si>
  <si>
    <t>12.236 B</t>
  </si>
  <si>
    <t>19.377 B</t>
  </si>
  <si>
    <t>77.926 B</t>
  </si>
  <si>
    <t>19.154 B</t>
  </si>
  <si>
    <t>3.617 B</t>
  </si>
  <si>
    <t>5.883 B</t>
  </si>
  <si>
    <t>16.888 B</t>
  </si>
  <si>
    <t>10.688 B</t>
  </si>
  <si>
    <t>2.114 B</t>
  </si>
  <si>
    <t>8.575 B</t>
  </si>
  <si>
    <t>269.75 B</t>
  </si>
  <si>
    <t>176.289 B</t>
  </si>
  <si>
    <t>386.819 B</t>
  </si>
  <si>
    <t>59.22 B</t>
  </si>
  <si>
    <t>110.971 B</t>
  </si>
  <si>
    <t>286.932 B</t>
  </si>
  <si>
    <t>355.966 B</t>
  </si>
  <si>
    <t>41.937 B</t>
  </si>
  <si>
    <t>122.827 B</t>
  </si>
  <si>
    <t>457.065 B</t>
  </si>
  <si>
    <t>454.585 B</t>
  </si>
  <si>
    <t>125.307 B</t>
  </si>
  <si>
    <t>64.783 B</t>
  </si>
  <si>
    <t>661.756 B</t>
  </si>
  <si>
    <t>525.557 B</t>
  </si>
  <si>
    <t>200.982 B</t>
  </si>
  <si>
    <t>75.576 B</t>
  </si>
  <si>
    <t>60.44 B</t>
  </si>
  <si>
    <t>123.264 B</t>
  </si>
  <si>
    <t>12.752 B</t>
  </si>
  <si>
    <t>98.82 B</t>
  </si>
  <si>
    <t>39.914 B</t>
  </si>
  <si>
    <t>127.989 B</t>
  </si>
  <si>
    <t>10.746 B</t>
  </si>
  <si>
    <t>130.201 B</t>
  </si>
  <si>
    <t>245.556 B</t>
  </si>
  <si>
    <t>189.482 B</t>
  </si>
  <si>
    <t>186.275 B</t>
  </si>
  <si>
    <t>114.091 B</t>
  </si>
  <si>
    <t>49.827 B</t>
  </si>
  <si>
    <t>151.006 B</t>
  </si>
  <si>
    <t>12.912 B</t>
  </si>
  <si>
    <t>101.171 B</t>
  </si>
  <si>
    <t>10.919 B</t>
  </si>
  <si>
    <t>88.457 B</t>
  </si>
  <si>
    <t>23.633 B</t>
  </si>
  <si>
    <t>88.531 B</t>
  </si>
  <si>
    <t>16.16 B</t>
  </si>
  <si>
    <t>101.579 B</t>
  </si>
  <si>
    <t>3.112 B</t>
  </si>
  <si>
    <t>78.308 B</t>
  </si>
  <si>
    <t>37.461 B</t>
  </si>
  <si>
    <t>85.664 B</t>
  </si>
  <si>
    <t>30.104 B</t>
  </si>
  <si>
    <t>107.809 B</t>
  </si>
  <si>
    <t>85.756 B</t>
  </si>
  <si>
    <t>165.861 B</t>
  </si>
  <si>
    <t>27.703 B</t>
  </si>
  <si>
    <t>92.382 B</t>
  </si>
  <si>
    <t>31.169 B</t>
  </si>
  <si>
    <t>85.567 B</t>
  </si>
  <si>
    <t>37.984 B</t>
  </si>
  <si>
    <t>165.932 B</t>
  </si>
  <si>
    <t>56.919 B</t>
  </si>
  <si>
    <t>202.313 B</t>
  </si>
  <si>
    <t>20.538 B</t>
  </si>
  <si>
    <t>95.155 B</t>
  </si>
  <si>
    <t>96.552 B</t>
  </si>
  <si>
    <t>189.537 B</t>
  </si>
  <si>
    <t>2.17 B</t>
  </si>
  <si>
    <t>152.688 B</t>
  </si>
  <si>
    <t>42.118 B</t>
  </si>
  <si>
    <t>179.692 B</t>
  </si>
  <si>
    <t>15.113 B</t>
  </si>
  <si>
    <t>139.968 B</t>
  </si>
  <si>
    <t>72.386 B</t>
  </si>
  <si>
    <t>200.326 B</t>
  </si>
  <si>
    <t>12.028 B</t>
  </si>
  <si>
    <t>174.192 B</t>
  </si>
  <si>
    <t>21.408 B</t>
  </si>
  <si>
    <t>167.475 B</t>
  </si>
  <si>
    <t>28.125 B</t>
  </si>
  <si>
    <t>206.651 B</t>
  </si>
  <si>
    <t>127.015 B</t>
  </si>
  <si>
    <t>215.342 B</t>
  </si>
  <si>
    <t>118.323 B</t>
  </si>
  <si>
    <t>95.205 B</t>
  </si>
  <si>
    <t>47.779 B</t>
  </si>
  <si>
    <t>108.29 B</t>
  </si>
  <si>
    <t>34.694 B</t>
  </si>
  <si>
    <t>107.189 B</t>
  </si>
  <si>
    <t>49.57 B</t>
  </si>
  <si>
    <t>125.519 B</t>
  </si>
  <si>
    <t>31.24 B</t>
  </si>
  <si>
    <t>91.935 B</t>
  </si>
  <si>
    <t>89.541 B</t>
  </si>
  <si>
    <t>176.076 B</t>
  </si>
  <si>
    <t>5.399 B</t>
  </si>
  <si>
    <t>73.742 B</t>
  </si>
  <si>
    <t>38.08 B</t>
  </si>
  <si>
    <t>103.917 B</t>
  </si>
  <si>
    <t>7.904 B</t>
  </si>
  <si>
    <t>187.013 B</t>
  </si>
  <si>
    <t>67.6 B</t>
  </si>
  <si>
    <t>220.983 B</t>
  </si>
  <si>
    <t>33.63 B</t>
  </si>
  <si>
    <t>187.419 B</t>
  </si>
  <si>
    <t>78.624 B</t>
  </si>
  <si>
    <t>178.297 B</t>
  </si>
  <si>
    <t>87.746 B</t>
  </si>
  <si>
    <t>104.978 B</t>
  </si>
  <si>
    <t>52.075 B</t>
  </si>
  <si>
    <t>153.363 B</t>
  </si>
  <si>
    <t>3.69 B</t>
  </si>
  <si>
    <t>313.832 B</t>
  </si>
  <si>
    <t>254.658 B</t>
  </si>
  <si>
    <t>362.542 B</t>
  </si>
  <si>
    <t>205.948 B</t>
  </si>
  <si>
    <t>73.797 B</t>
  </si>
  <si>
    <t>93.161 B</t>
  </si>
  <si>
    <t>140.798 B</t>
  </si>
  <si>
    <t>26.16 B</t>
  </si>
  <si>
    <t>50.032 B</t>
  </si>
  <si>
    <t>6.971 B</t>
  </si>
  <si>
    <t>57.003 B</t>
  </si>
  <si>
    <t>40.133 B</t>
  </si>
  <si>
    <t>19.768 B</t>
  </si>
  <si>
    <t>52.322 B</t>
  </si>
  <si>
    <t>7.579 B</t>
  </si>
  <si>
    <t>47.307 B</t>
  </si>
  <si>
    <t>9.181 B</t>
  </si>
  <si>
    <t>51.359 B</t>
  </si>
  <si>
    <t>5.128 B</t>
  </si>
  <si>
    <t>22.007 B</t>
  </si>
  <si>
    <t>30.463 B</t>
  </si>
  <si>
    <t>46.543 B</t>
  </si>
  <si>
    <t>5.927 B</t>
  </si>
  <si>
    <t>آبان</t>
  </si>
  <si>
    <t>30.198 B</t>
  </si>
  <si>
    <t>7.015 B</t>
  </si>
  <si>
    <t>29.951 B</t>
  </si>
  <si>
    <t>7.262 B</t>
  </si>
  <si>
    <t>17.399 B</t>
  </si>
  <si>
    <t>20.853 B</t>
  </si>
  <si>
    <t>38.122 B</t>
  </si>
  <si>
    <t>16.081 B</t>
  </si>
  <si>
    <t>40.851 B</t>
  </si>
  <si>
    <t>49.822 B</t>
  </si>
  <si>
    <t>7.11 B</t>
  </si>
  <si>
    <t>34.02 B</t>
  </si>
  <si>
    <t>12.063 B</t>
  </si>
  <si>
    <t>46.084 B</t>
  </si>
  <si>
    <t>36.959 B</t>
  </si>
  <si>
    <t>19.607 B</t>
  </si>
  <si>
    <t>52.159 B</t>
  </si>
  <si>
    <t>4.408 B</t>
  </si>
  <si>
    <t>35.514 B</t>
  </si>
  <si>
    <t>19.916 B</t>
  </si>
  <si>
    <t>54.887 B</t>
  </si>
  <si>
    <t>37.065 B</t>
  </si>
  <si>
    <t>92.883 B</t>
  </si>
  <si>
    <t>68.162 B</t>
  </si>
  <si>
    <t>61.786 B</t>
  </si>
  <si>
    <t>30.44 B</t>
  </si>
  <si>
    <t>34.637 B</t>
  </si>
  <si>
    <t>55.409 B</t>
  </si>
  <si>
    <t>9.667 B</t>
  </si>
  <si>
    <t>29.041 B</t>
  </si>
  <si>
    <t>21.196 B</t>
  </si>
  <si>
    <t>50.082 B</t>
  </si>
  <si>
    <t>حقیقی هر نفر خرید</t>
  </si>
  <si>
    <t>حقیقی هر نفر فروش</t>
  </si>
  <si>
    <t>حقوقی هر نفر خرید</t>
  </si>
  <si>
    <t>حقوقی هر نفر فروش</t>
  </si>
  <si>
    <t>حقوقی هر نفر تجمعی</t>
  </si>
  <si>
    <t>قیمت پایانی</t>
  </si>
  <si>
    <t>میانگین 20 روز</t>
  </si>
  <si>
    <t>حجم معاملات</t>
  </si>
  <si>
    <t>ارزش معاملات</t>
  </si>
  <si>
    <t>حد پایین</t>
  </si>
  <si>
    <t>حد بالا</t>
  </si>
  <si>
    <t>درصد تغییرات</t>
  </si>
  <si>
    <t>درصد تغییرات مثبت</t>
  </si>
  <si>
    <t>درصد تغییرات منفی</t>
  </si>
  <si>
    <t>میانگین درصد تغییرات مثبت</t>
  </si>
  <si>
    <t>میانگین درصد تغییرات منفی</t>
  </si>
  <si>
    <t>BOLLINGER BANDS TREND</t>
  </si>
  <si>
    <t>MOVING AVERAGE TREND</t>
  </si>
  <si>
    <t>EMA 12</t>
  </si>
  <si>
    <t>EMA 26</t>
  </si>
  <si>
    <t>MA 10</t>
  </si>
  <si>
    <t>MA 20</t>
  </si>
  <si>
    <t>MA 30</t>
  </si>
  <si>
    <t>PRICE CHANNEL TREND</t>
  </si>
  <si>
    <t>MACD</t>
  </si>
  <si>
    <t>MA 9</t>
  </si>
  <si>
    <t>ST</t>
  </si>
  <si>
    <t>PERCENTAGE PRICE OSCILLATOR</t>
  </si>
  <si>
    <t>EMA 5</t>
  </si>
  <si>
    <t>EMA 20</t>
  </si>
  <si>
    <t>PPO</t>
  </si>
  <si>
    <t>PERCENTAGE VOLUME OSCILLATOR</t>
  </si>
  <si>
    <t>PVO</t>
  </si>
  <si>
    <t>حجم خرید حقیقی</t>
  </si>
  <si>
    <t>حجم خرید حقوقی</t>
  </si>
  <si>
    <t>حد متوسط</t>
  </si>
  <si>
    <t>بازدهی روزانه</t>
  </si>
  <si>
    <t>بازدهی هفتگی (5 روز)</t>
  </si>
  <si>
    <t>بازدهی ماهانه (20 روز)</t>
  </si>
  <si>
    <t>RELATIVE STRENGTH INDEX OSCILLATOR</t>
  </si>
  <si>
    <t>MOVING AVERAGE CONVERGENCE DIVERGENCE OSCILLATOR</t>
  </si>
  <si>
    <t>شاخص کل</t>
  </si>
  <si>
    <t>شاخص هم وزن</t>
  </si>
  <si>
    <t>ضریب همبستگی با شاخص کل (20 روز)</t>
  </si>
  <si>
    <t>ضریب همبستگی با شاخص کل هم وزن (20 روز)</t>
  </si>
  <si>
    <t>ضریب بتا با شاخص کل (20 روز)</t>
  </si>
  <si>
    <t>ضریب بتا با شاخص کل هم وزن (20 روز)</t>
  </si>
  <si>
    <t>یکه کردن نماد</t>
  </si>
  <si>
    <t>یکه کردن شاخص کل</t>
  </si>
  <si>
    <t>یکه کردن شاخص کل هم وزن</t>
  </si>
  <si>
    <t>STOCHASTIC OSCILLATOR</t>
  </si>
  <si>
    <t>میانگین حجم معاملات</t>
  </si>
  <si>
    <t>میانگین ارزش معاملات</t>
  </si>
  <si>
    <t>RSI 14</t>
  </si>
  <si>
    <t>شاخص گروهی سهام در آن قرار دارد</t>
  </si>
  <si>
    <t>ضریب همبستگی با شاخص گروه (20 روز)</t>
  </si>
  <si>
    <t>ضریب بتا با شاخص گروه (20 روز)</t>
  </si>
  <si>
    <t>نسبت بین شاخص گروه و شاخص کل هم وزن</t>
  </si>
  <si>
    <t>نسبت بین شاخص کل و شاخص کل هم وزن</t>
  </si>
  <si>
    <t>یکه کردن شاخص گروهی سهام در آن قرار دارد</t>
  </si>
  <si>
    <t>نسبت بین نماد و شاخص کل هم وزن</t>
  </si>
  <si>
    <t>227.523 B</t>
  </si>
  <si>
    <t>131.82 B</t>
  </si>
  <si>
    <t>233.779 B</t>
  </si>
  <si>
    <t>125.563 B</t>
  </si>
  <si>
    <t>35.725 B</t>
  </si>
  <si>
    <t>83.332 B</t>
  </si>
  <si>
    <t>79.868 B</t>
  </si>
  <si>
    <t>39.189 B</t>
  </si>
  <si>
    <t>30.183 B</t>
  </si>
  <si>
    <t>20.554 B</t>
  </si>
  <si>
    <t>50.737 B</t>
  </si>
  <si>
    <t>150.307 B</t>
  </si>
  <si>
    <t>113.857 B</t>
  </si>
  <si>
    <t>219.338 B</t>
  </si>
  <si>
    <t>44.825 B</t>
  </si>
  <si>
    <t>104.58 B</t>
  </si>
  <si>
    <t>3.83 B</t>
  </si>
  <si>
    <t>90.225 B</t>
  </si>
  <si>
    <t>18.185 B</t>
  </si>
  <si>
    <t>133.774 B</t>
  </si>
  <si>
    <t>62.808 B</t>
  </si>
  <si>
    <t>72.243 B</t>
  </si>
  <si>
    <t>124.338 B</t>
  </si>
  <si>
    <t>112.713 B</t>
  </si>
  <si>
    <t>87.105 B</t>
  </si>
  <si>
    <t>124.865 B</t>
  </si>
  <si>
    <t>74.952 B</t>
  </si>
  <si>
    <t>79.637 B</t>
  </si>
  <si>
    <t>18.53 B</t>
  </si>
  <si>
    <t>74.425 B</t>
  </si>
  <si>
    <t>23.741 B</t>
  </si>
  <si>
    <t>157.13 B</t>
  </si>
  <si>
    <t>107.233 B</t>
  </si>
  <si>
    <t>238.184 B</t>
  </si>
  <si>
    <t>26.179 B</t>
  </si>
  <si>
    <t>166.226 B</t>
  </si>
  <si>
    <t>84.107 B</t>
  </si>
  <si>
    <t>249.035 B</t>
  </si>
  <si>
    <t>1.298 B</t>
  </si>
  <si>
    <t>اریخ</t>
  </si>
  <si>
    <t>57.082 B</t>
  </si>
  <si>
    <t>37.847 B</t>
  </si>
  <si>
    <t>45.97 B</t>
  </si>
  <si>
    <t>48.959 B</t>
  </si>
  <si>
    <t>MONEY FLOW INDEX</t>
  </si>
  <si>
    <t>ارزش مثبت</t>
  </si>
  <si>
    <t>ارزش منفی</t>
  </si>
  <si>
    <t>میانگین مثبت</t>
  </si>
  <si>
    <t>میانگین منفی</t>
  </si>
  <si>
    <t>MFR</t>
  </si>
  <si>
    <t>MFI 14</t>
  </si>
  <si>
    <t>COMMODITY CHANNEL INDEX</t>
  </si>
  <si>
    <t>MEAN DEVIATION</t>
  </si>
  <si>
    <t>CCI 20</t>
  </si>
  <si>
    <t>MOMENTUM</t>
  </si>
  <si>
    <t>EMA 25</t>
  </si>
  <si>
    <t>EMA 13 of EMA 25</t>
  </si>
  <si>
    <t>ABSOLUTE MOMENTUM</t>
  </si>
  <si>
    <t>ABSOLUTE EMA 25</t>
  </si>
  <si>
    <t>ABS. EMA 13 OF EMA 25</t>
  </si>
  <si>
    <t>TSI</t>
  </si>
  <si>
    <t>EMA 13 OF TSI</t>
  </si>
  <si>
    <t>TRUE STRENGTH INDICATOR</t>
  </si>
  <si>
    <t>ELDER'S FORCE INDEX</t>
  </si>
  <si>
    <t>MOMENTUM*VOLIME</t>
  </si>
  <si>
    <t>EFI 13</t>
  </si>
  <si>
    <t>PERCENTAGE VALUE OSCILLATOR</t>
  </si>
  <si>
    <t>PVAO</t>
  </si>
  <si>
    <t>CHANDLE MOMENTUM OSCILLATOR</t>
  </si>
  <si>
    <t>MOMENTUM POSITIVE</t>
  </si>
  <si>
    <t>MOMENTUM NEGATIVE</t>
  </si>
  <si>
    <t>CMO</t>
  </si>
  <si>
    <t>LINEAR REGRESSION CURVE</t>
  </si>
  <si>
    <t>LRC 10</t>
  </si>
  <si>
    <t>SUM PRICE</t>
  </si>
  <si>
    <t>SUM TIME*TIME</t>
  </si>
  <si>
    <t>SUM TIME</t>
  </si>
  <si>
    <t>SUM TIME*PRICE</t>
  </si>
  <si>
    <t>LRC 20</t>
  </si>
  <si>
    <t>LRC 30</t>
  </si>
  <si>
    <t>b</t>
  </si>
  <si>
    <t>a</t>
  </si>
  <si>
    <t>RELATIVE VOLATILITY INDEX</t>
  </si>
  <si>
    <t>RVI</t>
  </si>
  <si>
    <t>میانگین 14</t>
  </si>
  <si>
    <t>انحراف معیار 14</t>
  </si>
  <si>
    <t xml:space="preserve">انحراف معیار مثبت </t>
  </si>
  <si>
    <t>انحراف معیار منفی</t>
  </si>
  <si>
    <t>میانگین انحراف معیار مثبت</t>
  </si>
  <si>
    <t>میانگین انحراف معیار منفی</t>
  </si>
  <si>
    <t>قدر مطلق</t>
  </si>
  <si>
    <t>STOCH RSI 14</t>
  </si>
  <si>
    <t>MA 3</t>
  </si>
  <si>
    <t>VWMA 20</t>
  </si>
  <si>
    <t>بازدهی روزانه شاخص کل</t>
  </si>
  <si>
    <t>بازدهی روزانه شاخص کل هم وزن</t>
  </si>
  <si>
    <t>Tenkan-sen (Conversion Line)</t>
  </si>
  <si>
    <t>Kijun-sen (Base Line)</t>
  </si>
  <si>
    <t>Senkou Span A (Leading Span A)</t>
  </si>
  <si>
    <t>Senkou Span B (Leading Span B)</t>
  </si>
  <si>
    <t>Chikou Span (Lagging Span)</t>
  </si>
  <si>
    <t>ICHIMOKU CLOUDE</t>
  </si>
  <si>
    <t>ضریب آلفا با شاخص کل (20 روز)</t>
  </si>
  <si>
    <t>ضریب آلفا با شاخص کل هم وزن (20 روز)</t>
  </si>
  <si>
    <t>ضریب آلفا با شاخص گروه (20 روز)</t>
  </si>
  <si>
    <t>نسبت بازدهی هفتگی به قدرمطلق بازدهی هفتگی</t>
  </si>
  <si>
    <t>نسبت 20 روز بازدهی سهام به بازدهی شاخص گروهی سهام در آن قرار دارد</t>
  </si>
  <si>
    <t>نسبت 20 روز بازدهی سهام به بازدهی شاخص کل هم وزن</t>
  </si>
  <si>
    <t>نسبت 20 روز بازدهی سهام به بازدهی شاخص کل</t>
  </si>
  <si>
    <t>تعداد خرید حقیقی</t>
  </si>
  <si>
    <t>تعداد خرید حقوقی</t>
  </si>
  <si>
    <t>نرخ رشد قیمت پایانی (20 روز)</t>
  </si>
  <si>
    <t>نرخ رشد قیمت پایانی (5 روز)</t>
  </si>
  <si>
    <t>ریسک</t>
  </si>
  <si>
    <t>حجم در بازدهی</t>
  </si>
  <si>
    <t>میانگین</t>
  </si>
  <si>
    <t>تغییرات حجم</t>
  </si>
  <si>
    <t>کشش قیمتی تقاضا</t>
  </si>
  <si>
    <t>انحراف معیار</t>
  </si>
  <si>
    <t>کانال کشش قیمتی تقاضا (بین صفر و یک)</t>
  </si>
  <si>
    <t>نسبت قدرت  خریدار</t>
  </si>
  <si>
    <t>بازدهی تجمعی روزانه</t>
  </si>
  <si>
    <t>بازدهی تجمعی روزانه شاخص کل</t>
  </si>
  <si>
    <t>بازدهی تجمعی روزانه شاخص کل هم وزن</t>
  </si>
  <si>
    <t>بازدهی شاخص گروهی سهام در آن قرار دارد</t>
  </si>
  <si>
    <t>بازدهی تجمعی شاخص گروهی سهام در آن قرار دارد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</si>
</sst>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sz val="8"/>
      <color rgb="FFFFFFE5"/>
      <name val="Tahoma"/>
      <family val="2"/>
    </font>
    <font>
      <sz val="15"/>
      <color rgb="FF424242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555555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  <diagonal/>
    </border>
    <border>
      <left style="medium">
        <color rgb="FFF9F9F9"/>
      </left>
      <right style="medium">
        <color rgb="FFF9F9F9"/>
      </right>
      <top style="medium">
        <color rgb="FFF9F9F9"/>
      </top>
      <bottom/>
      <diagonal/>
    </border>
    <border>
      <left style="medium">
        <color rgb="FFF9F9F9"/>
      </left>
      <right style="medium">
        <color rgb="FFF9F9F9"/>
      </right>
      <top/>
      <bottom/>
      <diagonal/>
    </border>
    <border>
      <left style="medium">
        <color rgb="FFF9F9F9"/>
      </left>
      <right style="medium">
        <color rgb="FFF9F9F9"/>
      </right>
      <top/>
      <bottom style="medium">
        <color rgb="FFF9F9F9"/>
      </bottom>
      <diagonal/>
    </border>
    <border>
      <left style="medium">
        <color rgb="FFF9F9F9"/>
      </left>
      <right/>
      <top style="medium">
        <color rgb="FFF9F9F9"/>
      </top>
      <bottom style="medium">
        <color rgb="FFF9F9F9"/>
      </bottom>
      <diagonal/>
    </border>
    <border>
      <left/>
      <right style="medium">
        <color rgb="FFF9F9F9"/>
      </right>
      <top style="medium">
        <color rgb="FFF9F9F9"/>
      </top>
      <bottom style="medium">
        <color rgb="FFF9F9F9"/>
      </bottom>
      <diagonal/>
    </border>
    <border>
      <left/>
      <right/>
      <top style="medium">
        <color rgb="FFF9F9F9"/>
      </top>
      <bottom style="medium">
        <color rgb="FFF9F9F9"/>
      </bottom>
      <diagonal/>
    </border>
    <border>
      <left/>
      <right/>
      <top/>
      <bottom style="medium">
        <color rgb="FFF9F9F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2" borderId="0" xfId="0" applyFill="1"/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vertical="center" wrapText="1"/>
    </xf>
    <xf numFmtId="11" fontId="1" fillId="3" borderId="2" xfId="0" applyNumberFormat="1" applyFont="1" applyFill="1" applyBorder="1" applyAlignment="1">
      <alignment vertical="center" wrapText="1" readingOrder="1"/>
    </xf>
    <xf numFmtId="0" fontId="0" fillId="2" borderId="3" xfId="0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 readingOrder="1"/>
    </xf>
    <xf numFmtId="0" fontId="1" fillId="2" borderId="1" xfId="0" applyFont="1" applyFill="1" applyBorder="1" applyAlignment="1">
      <alignment vertical="center" wrapText="1" readingOrder="1"/>
    </xf>
    <xf numFmtId="0" fontId="0" fillId="2" borderId="4" xfId="0" applyFill="1" applyBorder="1" applyAlignment="1">
      <alignment vertical="center" wrapText="1"/>
    </xf>
    <xf numFmtId="3" fontId="1" fillId="3" borderId="2" xfId="0" applyNumberFormat="1" applyFont="1" applyFill="1" applyBorder="1" applyAlignment="1">
      <alignment vertical="center" wrapText="1" readingOrder="1"/>
    </xf>
    <xf numFmtId="11" fontId="1" fillId="2" borderId="1" xfId="0" applyNumberFormat="1" applyFont="1" applyFill="1" applyBorder="1" applyAlignment="1">
      <alignment vertical="center" wrapText="1" readingOrder="1"/>
    </xf>
    <xf numFmtId="0" fontId="1" fillId="2" borderId="9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 readingOrder="1"/>
    </xf>
    <xf numFmtId="0" fontId="4" fillId="0" borderId="0" xfId="0" applyFont="1"/>
    <xf numFmtId="0" fontId="4" fillId="0" borderId="0" xfId="0" applyFont="1" applyAlignment="1">
      <alignment horizontal="center"/>
    </xf>
    <xf numFmtId="11" fontId="4" fillId="0" borderId="0" xfId="0" applyNumberFormat="1" applyFont="1" applyAlignment="1">
      <alignment horizontal="center"/>
    </xf>
    <xf numFmtId="1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1" fontId="4" fillId="0" borderId="0" xfId="0" applyNumberFormat="1" applyFont="1" applyAlignment="1">
      <alignment horizontal="center" vertical="center"/>
    </xf>
    <xf numFmtId="11" fontId="4" fillId="0" borderId="0" xfId="0" applyNumberFormat="1" applyFont="1" applyAlignment="1">
      <alignment vertical="center"/>
    </xf>
    <xf numFmtId="11" fontId="4" fillId="0" borderId="0" xfId="0" applyNumberFormat="1" applyFont="1"/>
    <xf numFmtId="0" fontId="4" fillId="0" borderId="0" xfId="0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4" fillId="5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11" fontId="4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4" fillId="5" borderId="0" xfId="0" applyFont="1" applyFill="1"/>
    <xf numFmtId="11" fontId="6" fillId="5" borderId="0" xfId="0" applyNumberFormat="1" applyFont="1" applyFill="1" applyAlignment="1">
      <alignment vertical="center"/>
    </xf>
    <xf numFmtId="11" fontId="6" fillId="0" borderId="0" xfId="0" applyNumberFormat="1" applyFont="1" applyAlignment="1">
      <alignment horizontal="center" vertical="center"/>
    </xf>
    <xf numFmtId="11" fontId="6" fillId="0" borderId="0" xfId="0" applyNumberFormat="1" applyFont="1" applyAlignment="1">
      <alignment vertical="center"/>
    </xf>
    <xf numFmtId="11" fontId="7" fillId="0" borderId="0" xfId="0" applyNumberFormat="1" applyFont="1"/>
    <xf numFmtId="11" fontId="7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 vertical="center"/>
    </xf>
    <xf numFmtId="11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1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9" fillId="0" borderId="0" xfId="0" applyNumberFormat="1" applyFont="1" applyAlignment="1">
      <alignment horizontal="center" vertical="center"/>
    </xf>
    <xf numFmtId="11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1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1" fontId="4" fillId="5" borderId="0" xfId="0" applyNumberFormat="1" applyFont="1" applyFill="1" applyAlignment="1">
      <alignment horizontal="center" vertical="center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11" fontId="4" fillId="5" borderId="0" xfId="0" applyNumberFormat="1" applyFont="1" applyFill="1" applyAlignment="1">
      <alignment horizontal="center" vertical="center"/>
    </xf>
    <xf numFmtId="11" fontId="6" fillId="5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4" fillId="5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10" fontId="4" fillId="5" borderId="0" xfId="0" applyNumberFormat="1" applyFont="1" applyFill="1" applyAlignment="1">
      <alignment horizontal="center"/>
    </xf>
    <xf numFmtId="10" fontId="4" fillId="5" borderId="0" xfId="0" quotePrefix="1" applyNumberFormat="1" applyFont="1" applyFill="1" applyAlignment="1">
      <alignment horizontal="center" wrapText="1"/>
    </xf>
    <xf numFmtId="10" fontId="0" fillId="0" borderId="0" xfId="0" applyNumberForma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/>
    </xf>
    <xf numFmtId="10" fontId="4" fillId="0" borderId="0" xfId="0" applyNumberFormat="1" applyFont="1" applyAlignment="1">
      <alignment vertical="center"/>
    </xf>
    <xf numFmtId="10" fontId="0" fillId="0" borderId="0" xfId="0" applyNumberFormat="1"/>
    <xf numFmtId="0" fontId="1" fillId="2" borderId="3" xfId="0" applyFont="1" applyFill="1" applyBorder="1" applyAlignment="1">
      <alignment vertical="center" wrapText="1"/>
    </xf>
    <xf numFmtId="0" fontId="4" fillId="5" borderId="0" xfId="0" applyFont="1" applyFill="1" applyAlignment="1">
      <alignment horizontal="center" vertical="center"/>
    </xf>
    <xf numFmtId="11" fontId="4" fillId="5" borderId="0" xfId="0" applyNumberFormat="1" applyFont="1" applyFill="1" applyAlignment="1">
      <alignment horizontal="center" vertical="center"/>
    </xf>
    <xf numFmtId="11" fontId="4" fillId="5" borderId="0" xfId="0" applyNumberFormat="1" applyFont="1" applyFill="1" applyAlignment="1">
      <alignment horizontal="center"/>
    </xf>
    <xf numFmtId="11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1" fontId="6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1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1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1" fontId="4" fillId="5" borderId="0" xfId="0" applyNumberFormat="1" applyFont="1" applyFill="1" applyAlignment="1">
      <alignment vertical="center"/>
    </xf>
    <xf numFmtId="11" fontId="4" fillId="5" borderId="0" xfId="0" applyNumberFormat="1" applyFont="1" applyFill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11" fontId="4" fillId="5" borderId="12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3" fontId="1" fillId="2" borderId="5" xfId="0" applyNumberFormat="1" applyFont="1" applyFill="1" applyBorder="1" applyAlignment="1">
      <alignment vertical="center" wrapText="1" readingOrder="1"/>
    </xf>
    <xf numFmtId="3" fontId="1" fillId="2" borderId="6" xfId="0" applyNumberFormat="1" applyFont="1" applyFill="1" applyBorder="1" applyAlignment="1">
      <alignment vertical="center" wrapText="1" readingOrder="1"/>
    </xf>
    <xf numFmtId="0" fontId="1" fillId="4" borderId="5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11" fontId="1" fillId="2" borderId="5" xfId="0" applyNumberFormat="1" applyFont="1" applyFill="1" applyBorder="1" applyAlignment="1">
      <alignment vertical="center" wrapText="1" readingOrder="1"/>
    </xf>
    <xf numFmtId="0" fontId="1" fillId="2" borderId="6" xfId="0" applyFont="1" applyFill="1" applyBorder="1" applyAlignment="1">
      <alignment vertical="center" wrapText="1" readingOrder="1"/>
    </xf>
    <xf numFmtId="0" fontId="1" fillId="2" borderId="10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3" fontId="1" fillId="2" borderId="10" xfId="0" applyNumberFormat="1" applyFont="1" applyFill="1" applyBorder="1" applyAlignment="1">
      <alignment vertical="center" wrapText="1" readingOrder="1"/>
    </xf>
    <xf numFmtId="3" fontId="1" fillId="2" borderId="11" xfId="0" applyNumberFormat="1" applyFont="1" applyFill="1" applyBorder="1" applyAlignment="1">
      <alignment vertical="center" wrapText="1" readingOrder="1"/>
    </xf>
    <xf numFmtId="11" fontId="4" fillId="5" borderId="0" xfId="0" applyNumberFormat="1" applyFont="1" applyFill="1" applyAlignment="1">
      <alignment horizontal="center" vertical="center"/>
    </xf>
    <xf numFmtId="11" fontId="4" fillId="5" borderId="12" xfId="0" applyNumberFormat="1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 vertical="center"/>
    </xf>
    <xf numFmtId="11" fontId="6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7.xml"/><Relationship Id="rId18" Type="http://schemas.openxmlformats.org/officeDocument/2006/relationships/chartsheet" Target="chartsheets/sheet9.xml"/><Relationship Id="rId26" Type="http://schemas.openxmlformats.org/officeDocument/2006/relationships/chartsheet" Target="chartsheets/sheet17.xml"/><Relationship Id="rId39" Type="http://schemas.openxmlformats.org/officeDocument/2006/relationships/chartsheet" Target="chartsheets/sheet30.xml"/><Relationship Id="rId21" Type="http://schemas.openxmlformats.org/officeDocument/2006/relationships/chartsheet" Target="chartsheets/sheet12.xml"/><Relationship Id="rId34" Type="http://schemas.openxmlformats.org/officeDocument/2006/relationships/chartsheet" Target="chartsheets/sheet25.xml"/><Relationship Id="rId42" Type="http://schemas.openxmlformats.org/officeDocument/2006/relationships/chartsheet" Target="chartsheets/sheet33.xml"/><Relationship Id="rId47" Type="http://schemas.openxmlformats.org/officeDocument/2006/relationships/chartsheet" Target="chartsheets/sheet38.xml"/><Relationship Id="rId50" Type="http://schemas.openxmlformats.org/officeDocument/2006/relationships/chartsheet" Target="chartsheets/sheet41.xml"/><Relationship Id="rId55" Type="http://schemas.openxmlformats.org/officeDocument/2006/relationships/styles" Target="styles.xml"/><Relationship Id="rId7" Type="http://schemas.openxmlformats.org/officeDocument/2006/relationships/chartsheet" Target="chartsheets/sheet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8.xml"/><Relationship Id="rId29" Type="http://schemas.openxmlformats.org/officeDocument/2006/relationships/chartsheet" Target="chartsheets/sheet20.xml"/><Relationship Id="rId11" Type="http://schemas.openxmlformats.org/officeDocument/2006/relationships/worksheet" Target="worksheets/sheet5.xml"/><Relationship Id="rId24" Type="http://schemas.openxmlformats.org/officeDocument/2006/relationships/chartsheet" Target="chartsheets/sheet15.xml"/><Relationship Id="rId32" Type="http://schemas.openxmlformats.org/officeDocument/2006/relationships/chartsheet" Target="chartsheets/sheet23.xml"/><Relationship Id="rId37" Type="http://schemas.openxmlformats.org/officeDocument/2006/relationships/chartsheet" Target="chartsheets/sheet28.xml"/><Relationship Id="rId40" Type="http://schemas.openxmlformats.org/officeDocument/2006/relationships/chartsheet" Target="chartsheets/sheet31.xml"/><Relationship Id="rId45" Type="http://schemas.openxmlformats.org/officeDocument/2006/relationships/chartsheet" Target="chartsheets/sheet36.xml"/><Relationship Id="rId53" Type="http://schemas.openxmlformats.org/officeDocument/2006/relationships/chartsheet" Target="chartsheets/sheet44.xml"/><Relationship Id="rId5" Type="http://schemas.openxmlformats.org/officeDocument/2006/relationships/chartsheet" Target="chartsheets/sheet3.xml"/><Relationship Id="rId19" Type="http://schemas.openxmlformats.org/officeDocument/2006/relationships/chartsheet" Target="chartsheets/sheet10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3.xml"/><Relationship Id="rId14" Type="http://schemas.openxmlformats.org/officeDocument/2006/relationships/chartsheet" Target="chartsheets/sheet7.xml"/><Relationship Id="rId22" Type="http://schemas.openxmlformats.org/officeDocument/2006/relationships/chartsheet" Target="chartsheets/sheet13.xml"/><Relationship Id="rId27" Type="http://schemas.openxmlformats.org/officeDocument/2006/relationships/chartsheet" Target="chartsheets/sheet18.xml"/><Relationship Id="rId30" Type="http://schemas.openxmlformats.org/officeDocument/2006/relationships/chartsheet" Target="chartsheets/sheet21.xml"/><Relationship Id="rId35" Type="http://schemas.openxmlformats.org/officeDocument/2006/relationships/chartsheet" Target="chartsheets/sheet26.xml"/><Relationship Id="rId43" Type="http://schemas.openxmlformats.org/officeDocument/2006/relationships/chartsheet" Target="chartsheets/sheet34.xml"/><Relationship Id="rId48" Type="http://schemas.openxmlformats.org/officeDocument/2006/relationships/chartsheet" Target="chartsheets/sheet39.xml"/><Relationship Id="rId56" Type="http://schemas.openxmlformats.org/officeDocument/2006/relationships/sharedStrings" Target="sharedStrings.xml"/><Relationship Id="rId8" Type="http://schemas.openxmlformats.org/officeDocument/2006/relationships/chartsheet" Target="chartsheets/sheet6.xml"/><Relationship Id="rId51" Type="http://schemas.openxmlformats.org/officeDocument/2006/relationships/chartsheet" Target="chartsheets/sheet42.xml"/><Relationship Id="rId3" Type="http://schemas.openxmlformats.org/officeDocument/2006/relationships/chartsheet" Target="chartsheets/sheet1.xml"/><Relationship Id="rId12" Type="http://schemas.openxmlformats.org/officeDocument/2006/relationships/worksheet" Target="worksheets/sheet6.xml"/><Relationship Id="rId17" Type="http://schemas.openxmlformats.org/officeDocument/2006/relationships/worksheet" Target="worksheets/sheet9.xml"/><Relationship Id="rId25" Type="http://schemas.openxmlformats.org/officeDocument/2006/relationships/chartsheet" Target="chartsheets/sheet16.xml"/><Relationship Id="rId33" Type="http://schemas.openxmlformats.org/officeDocument/2006/relationships/chartsheet" Target="chartsheets/sheet24.xml"/><Relationship Id="rId38" Type="http://schemas.openxmlformats.org/officeDocument/2006/relationships/chartsheet" Target="chartsheets/sheet29.xml"/><Relationship Id="rId46" Type="http://schemas.openxmlformats.org/officeDocument/2006/relationships/chartsheet" Target="chartsheets/sheet37.xml"/><Relationship Id="rId20" Type="http://schemas.openxmlformats.org/officeDocument/2006/relationships/chartsheet" Target="chartsheets/sheet11.xml"/><Relationship Id="rId41" Type="http://schemas.openxmlformats.org/officeDocument/2006/relationships/chartsheet" Target="chartsheets/sheet3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5" Type="http://schemas.openxmlformats.org/officeDocument/2006/relationships/worksheet" Target="worksheets/sheet8.xml"/><Relationship Id="rId23" Type="http://schemas.openxmlformats.org/officeDocument/2006/relationships/chartsheet" Target="chartsheets/sheet14.xml"/><Relationship Id="rId28" Type="http://schemas.openxmlformats.org/officeDocument/2006/relationships/chartsheet" Target="chartsheets/sheet19.xml"/><Relationship Id="rId36" Type="http://schemas.openxmlformats.org/officeDocument/2006/relationships/chartsheet" Target="chartsheets/sheet27.xml"/><Relationship Id="rId49" Type="http://schemas.openxmlformats.org/officeDocument/2006/relationships/chartsheet" Target="chartsheets/sheet40.xml"/><Relationship Id="rId57" Type="http://schemas.openxmlformats.org/officeDocument/2006/relationships/calcChain" Target="calcChain.xml"/><Relationship Id="rId10" Type="http://schemas.openxmlformats.org/officeDocument/2006/relationships/worksheet" Target="worksheets/sheet4.xml"/><Relationship Id="rId31" Type="http://schemas.openxmlformats.org/officeDocument/2006/relationships/chartsheet" Target="chartsheets/sheet22.xml"/><Relationship Id="rId44" Type="http://schemas.openxmlformats.org/officeDocument/2006/relationships/chartsheet" Target="chartsheets/sheet35.xml"/><Relationship Id="rId52" Type="http://schemas.openxmlformats.org/officeDocument/2006/relationships/chartsheet" Target="chartsheets/sheet4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'همبستگی و بتا'!$J$1</c:f>
              <c:strCache>
                <c:ptCount val="1"/>
                <c:pt idx="0">
                  <c:v>ضریب همبستگی با شاخص کل (20 روز)</c:v>
                </c:pt>
              </c:strCache>
            </c:strRef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'همبستگی و بتا'!$A$21:$A$60</c:f>
              <c:numCache>
                <c:formatCode>General</c:formatCode>
                <c:ptCount val="4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</c:numCache>
            </c:numRef>
          </c:xVal>
          <c:yVal>
            <c:numRef>
              <c:f>'همبستگی و بتا'!$J$21:$J$60</c:f>
              <c:numCache>
                <c:formatCode>0.00E+00</c:formatCode>
                <c:ptCount val="40"/>
                <c:pt idx="0">
                  <c:v>0.49264292705894985</c:v>
                </c:pt>
                <c:pt idx="1">
                  <c:v>0.52654108148940115</c:v>
                </c:pt>
                <c:pt idx="2">
                  <c:v>0.5285555033329814</c:v>
                </c:pt>
                <c:pt idx="3">
                  <c:v>0.53035513712100735</c:v>
                </c:pt>
                <c:pt idx="4">
                  <c:v>0.48782962741029834</c:v>
                </c:pt>
                <c:pt idx="5">
                  <c:v>0.49318137166455278</c:v>
                </c:pt>
                <c:pt idx="6">
                  <c:v>0.50403865921476776</c:v>
                </c:pt>
                <c:pt idx="7">
                  <c:v>0.54245137432282731</c:v>
                </c:pt>
                <c:pt idx="8">
                  <c:v>0.54533446946708852</c:v>
                </c:pt>
                <c:pt idx="9">
                  <c:v>0.51332672717307037</c:v>
                </c:pt>
                <c:pt idx="10">
                  <c:v>0.50384826582967712</c:v>
                </c:pt>
                <c:pt idx="11">
                  <c:v>0.48564255501805065</c:v>
                </c:pt>
                <c:pt idx="12">
                  <c:v>0.46968429662082511</c:v>
                </c:pt>
                <c:pt idx="13">
                  <c:v>0.43105325752077744</c:v>
                </c:pt>
                <c:pt idx="14">
                  <c:v>0.44228700508930879</c:v>
                </c:pt>
                <c:pt idx="15">
                  <c:v>0.28061432695674143</c:v>
                </c:pt>
                <c:pt idx="16">
                  <c:v>0.23877775255698278</c:v>
                </c:pt>
                <c:pt idx="17">
                  <c:v>0.28897608009605946</c:v>
                </c:pt>
                <c:pt idx="18">
                  <c:v>0.51277615434310853</c:v>
                </c:pt>
                <c:pt idx="19">
                  <c:v>0.44492794777566563</c:v>
                </c:pt>
                <c:pt idx="20">
                  <c:v>2.3352871390663242E-2</c:v>
                </c:pt>
                <c:pt idx="21">
                  <c:v>-3.0540100582512549E-2</c:v>
                </c:pt>
                <c:pt idx="22">
                  <c:v>-5.0646107813849803E-2</c:v>
                </c:pt>
                <c:pt idx="23">
                  <c:v>-8.30187520722728E-2</c:v>
                </c:pt>
                <c:pt idx="24">
                  <c:v>-5.0269235574927115E-2</c:v>
                </c:pt>
                <c:pt idx="25">
                  <c:v>-0.10108563067359243</c:v>
                </c:pt>
                <c:pt idx="26">
                  <c:v>-0.10274816918517353</c:v>
                </c:pt>
                <c:pt idx="27">
                  <c:v>-0.2423171886180224</c:v>
                </c:pt>
                <c:pt idx="28">
                  <c:v>-0.26305367305940908</c:v>
                </c:pt>
                <c:pt idx="29">
                  <c:v>-0.23410538416442483</c:v>
                </c:pt>
                <c:pt idx="30">
                  <c:v>-0.36920209483841276</c:v>
                </c:pt>
                <c:pt idx="31">
                  <c:v>-0.4227754762660253</c:v>
                </c:pt>
                <c:pt idx="32">
                  <c:v>-0.42211527035475421</c:v>
                </c:pt>
                <c:pt idx="33">
                  <c:v>-0.3884023595985725</c:v>
                </c:pt>
                <c:pt idx="34">
                  <c:v>-0.44602670012766604</c:v>
                </c:pt>
                <c:pt idx="35">
                  <c:v>-0.49459233882760684</c:v>
                </c:pt>
                <c:pt idx="36">
                  <c:v>-0.50184054875021356</c:v>
                </c:pt>
                <c:pt idx="37">
                  <c:v>-0.32841594368162619</c:v>
                </c:pt>
                <c:pt idx="38">
                  <c:v>-0.15115336594898468</c:v>
                </c:pt>
                <c:pt idx="39">
                  <c:v>1.5502225371178807E-3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A5-447C-8F27-FB8265D2F08F}"/>
            </c:ext>
          </c:extLst>
        </c:ser>
        <c:ser>
          <c:idx val="1"/>
          <c:order val="1"/>
          <c:tx>
            <c:strRef>
              <c:f>'همبستگی و بتا'!$K$1</c:f>
              <c:strCache>
                <c:ptCount val="1"/>
                <c:pt idx="0">
                  <c:v>ضریب همبستگی با شاخص کل هم وزن (20 روز)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'همبستگی و بتا'!$A$21:$A$60</c:f>
              <c:numCache>
                <c:formatCode>General</c:formatCode>
                <c:ptCount val="4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</c:numCache>
            </c:numRef>
          </c:xVal>
          <c:yVal>
            <c:numRef>
              <c:f>'همبستگی و بتا'!$K$21:$K$60</c:f>
              <c:numCache>
                <c:formatCode>0.00E+00</c:formatCode>
                <c:ptCount val="40"/>
                <c:pt idx="0">
                  <c:v>0.52571333762819872</c:v>
                </c:pt>
                <c:pt idx="1">
                  <c:v>0.55672169847627306</c:v>
                </c:pt>
                <c:pt idx="2">
                  <c:v>0.59723462881131173</c:v>
                </c:pt>
                <c:pt idx="3">
                  <c:v>0.57130299322951006</c:v>
                </c:pt>
                <c:pt idx="4">
                  <c:v>0.51439827381177161</c:v>
                </c:pt>
                <c:pt idx="5">
                  <c:v>0.50862854996750007</c:v>
                </c:pt>
                <c:pt idx="6">
                  <c:v>0.49274181155871605</c:v>
                </c:pt>
                <c:pt idx="7">
                  <c:v>0.46024372186093121</c:v>
                </c:pt>
                <c:pt idx="8">
                  <c:v>0.46495813429555966</c:v>
                </c:pt>
                <c:pt idx="9">
                  <c:v>0.4171607601295777</c:v>
                </c:pt>
                <c:pt idx="10">
                  <c:v>0.38664343542936885</c:v>
                </c:pt>
                <c:pt idx="11">
                  <c:v>0.37433355380994188</c:v>
                </c:pt>
                <c:pt idx="12">
                  <c:v>0.36407359717467697</c:v>
                </c:pt>
                <c:pt idx="13">
                  <c:v>0.32573943130956168</c:v>
                </c:pt>
                <c:pt idx="14">
                  <c:v>0.31782829986994471</c:v>
                </c:pt>
                <c:pt idx="15">
                  <c:v>0.14746858083483172</c:v>
                </c:pt>
                <c:pt idx="16">
                  <c:v>8.4564453131977593E-3</c:v>
                </c:pt>
                <c:pt idx="17">
                  <c:v>9.217951361724154E-2</c:v>
                </c:pt>
                <c:pt idx="18">
                  <c:v>0.34593809868968667</c:v>
                </c:pt>
                <c:pt idx="19">
                  <c:v>0.2522383257522729</c:v>
                </c:pt>
                <c:pt idx="20">
                  <c:v>-0.19164675624673294</c:v>
                </c:pt>
                <c:pt idx="21">
                  <c:v>-0.25064486004742126</c:v>
                </c:pt>
                <c:pt idx="22">
                  <c:v>-0.28512585155386855</c:v>
                </c:pt>
                <c:pt idx="23">
                  <c:v>-0.2941970268001266</c:v>
                </c:pt>
                <c:pt idx="24">
                  <c:v>-0.28040052731214421</c:v>
                </c:pt>
                <c:pt idx="25">
                  <c:v>-0.31296594934480643</c:v>
                </c:pt>
                <c:pt idx="26">
                  <c:v>-0.2024228679758884</c:v>
                </c:pt>
                <c:pt idx="27">
                  <c:v>-0.20897222862136972</c:v>
                </c:pt>
                <c:pt idx="28">
                  <c:v>-0.23917197065918289</c:v>
                </c:pt>
                <c:pt idx="29">
                  <c:v>-0.21535489627649765</c:v>
                </c:pt>
                <c:pt idx="30">
                  <c:v>-0.33300899865149836</c:v>
                </c:pt>
                <c:pt idx="31">
                  <c:v>-0.37512437919770336</c:v>
                </c:pt>
                <c:pt idx="32">
                  <c:v>-0.40200066420509029</c:v>
                </c:pt>
                <c:pt idx="33">
                  <c:v>-0.34855125493331418</c:v>
                </c:pt>
                <c:pt idx="34">
                  <c:v>-0.38356583584014331</c:v>
                </c:pt>
                <c:pt idx="35">
                  <c:v>-0.41187893589763663</c:v>
                </c:pt>
                <c:pt idx="36">
                  <c:v>-0.41695274210831618</c:v>
                </c:pt>
                <c:pt idx="37">
                  <c:v>-0.24530393046240026</c:v>
                </c:pt>
                <c:pt idx="38">
                  <c:v>-9.5211285505205759E-2</c:v>
                </c:pt>
                <c:pt idx="39">
                  <c:v>3.8900366869790558E-2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A5-447C-8F27-FB8265D2F08F}"/>
            </c:ext>
          </c:extLst>
        </c:ser>
        <c:ser>
          <c:idx val="2"/>
          <c:order val="2"/>
          <c:tx>
            <c:strRef>
              <c:f>'همبستگی و بتا'!$W$1</c:f>
              <c:strCache>
                <c:ptCount val="1"/>
                <c:pt idx="0">
                  <c:v>نسبت بین شاخص گروه و شاخص کل هم وزن</c:v>
                </c:pt>
              </c:strCache>
            </c:strRef>
          </c:tx>
          <c:spPr>
            <a:ln w="381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'همبستگی و بتا'!$A$2:$A$60</c:f>
              <c:numCache>
                <c:formatCode>General</c:formatCode>
                <c:ptCount val="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</c:numCache>
            </c:numRef>
          </c:xVal>
          <c:yVal>
            <c:numRef>
              <c:f>'همبستگی و بتا'!$L$2:$L$60</c:f>
              <c:numCache>
                <c:formatCode>General</c:formatCode>
                <c:ptCount val="59"/>
                <c:pt idx="19" formatCode="0.00E+00">
                  <c:v>0.4685503521425457</c:v>
                </c:pt>
                <c:pt idx="20" formatCode="0.00E+00">
                  <c:v>0.50544826895225192</c:v>
                </c:pt>
                <c:pt idx="21" formatCode="0.00E+00">
                  <c:v>0.50028424124403648</c:v>
                </c:pt>
                <c:pt idx="22" formatCode="0.00E+00">
                  <c:v>0.50567088194707754</c:v>
                </c:pt>
                <c:pt idx="23" formatCode="0.00E+00">
                  <c:v>0.47124410252987115</c:v>
                </c:pt>
                <c:pt idx="24" formatCode="0.00E+00">
                  <c:v>0.47725625246864278</c:v>
                </c:pt>
                <c:pt idx="25" formatCode="0.00E+00">
                  <c:v>0.49367992303223218</c:v>
                </c:pt>
                <c:pt idx="26" formatCode="0.00E+00">
                  <c:v>0.53726892807730564</c:v>
                </c:pt>
                <c:pt idx="27" formatCode="0.00E+00">
                  <c:v>0.53923995548380577</c:v>
                </c:pt>
                <c:pt idx="28" formatCode="0.00E+00">
                  <c:v>0.50580246067539936</c:v>
                </c:pt>
                <c:pt idx="29" formatCode="0.00E+00">
                  <c:v>0.49926376749407808</c:v>
                </c:pt>
                <c:pt idx="30" formatCode="0.00E+00">
                  <c:v>0.48390136924491156</c:v>
                </c:pt>
                <c:pt idx="31" formatCode="0.00E+00">
                  <c:v>0.46970069343148935</c:v>
                </c:pt>
                <c:pt idx="32" formatCode="0.00E+00">
                  <c:v>0.43353973677278052</c:v>
                </c:pt>
                <c:pt idx="33" formatCode="0.00E+00">
                  <c:v>0.44745286508900195</c:v>
                </c:pt>
                <c:pt idx="34" formatCode="0.00E+00">
                  <c:v>0.28742394371851637</c:v>
                </c:pt>
                <c:pt idx="35" formatCode="0.00E+00">
                  <c:v>0.25489853318183808</c:v>
                </c:pt>
                <c:pt idx="36" formatCode="0.00E+00">
                  <c:v>0.30425255692435194</c:v>
                </c:pt>
                <c:pt idx="37" formatCode="0.00E+00">
                  <c:v>0.51593674312311921</c:v>
                </c:pt>
                <c:pt idx="38" formatCode="0.00E+00">
                  <c:v>0.45614578355660956</c:v>
                </c:pt>
                <c:pt idx="39" formatCode="0.00E+00">
                  <c:v>4.6566580441131322E-2</c:v>
                </c:pt>
                <c:pt idx="40" formatCode="0.00E+00">
                  <c:v>-2.64391919228455E-3</c:v>
                </c:pt>
                <c:pt idx="41" formatCode="0.00E+00">
                  <c:v>9.464940266543426E-3</c:v>
                </c:pt>
                <c:pt idx="42" formatCode="0.00E+00">
                  <c:v>-3.5379990981014187E-2</c:v>
                </c:pt>
                <c:pt idx="43" formatCode="0.00E+00">
                  <c:v>-1.8221291140863623E-3</c:v>
                </c:pt>
                <c:pt idx="44" formatCode="0.00E+00">
                  <c:v>-5.3113175615718926E-2</c:v>
                </c:pt>
                <c:pt idx="45" formatCode="0.00E+00">
                  <c:v>-6.5976752497688418E-2</c:v>
                </c:pt>
                <c:pt idx="46" formatCode="0.00E+00">
                  <c:v>-0.19975337087274656</c:v>
                </c:pt>
                <c:pt idx="47" formatCode="0.00E+00">
                  <c:v>-0.22579650200816093</c:v>
                </c:pt>
                <c:pt idx="48" formatCode="0.00E+00">
                  <c:v>-0.1975536226309616</c:v>
                </c:pt>
                <c:pt idx="49" formatCode="0.00E+00">
                  <c:v>-0.3276718449484235</c:v>
                </c:pt>
                <c:pt idx="50" formatCode="0.00E+00">
                  <c:v>-0.38425598104296976</c:v>
                </c:pt>
                <c:pt idx="51" formatCode="0.00E+00">
                  <c:v>-0.39410473656276829</c:v>
                </c:pt>
                <c:pt idx="52" formatCode="0.00E+00">
                  <c:v>-0.35933341995672902</c:v>
                </c:pt>
                <c:pt idx="53" formatCode="0.00E+00">
                  <c:v>-0.4192878420755517</c:v>
                </c:pt>
                <c:pt idx="54" formatCode="0.00E+00">
                  <c:v>-0.46912374829037468</c:v>
                </c:pt>
                <c:pt idx="55" formatCode="0.00E+00">
                  <c:v>-0.47516013784738159</c:v>
                </c:pt>
                <c:pt idx="56" formatCode="0.00E+00">
                  <c:v>-0.29486801850551991</c:v>
                </c:pt>
                <c:pt idx="57" formatCode="0.00E+00">
                  <c:v>-0.12423222692038537</c:v>
                </c:pt>
                <c:pt idx="58" formatCode="0.00E+00">
                  <c:v>3.6333947215736462E-2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A5-447C-8F27-FB8265D2F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709880"/>
        <c:axId val="501712624"/>
      </c:scatterChart>
      <c:valAx>
        <c:axId val="501709880"/>
        <c:scaling>
          <c:orientation val="minMax"/>
          <c:max val="6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712624"/>
        <c:crosses val="autoZero"/>
        <c:crossBetween val="midCat"/>
        <c:majorUnit val="10"/>
        <c:minorUnit val="1"/>
      </c:valAx>
      <c:valAx>
        <c:axId val="50171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ضریب همبستگی (20 روز)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70988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842433157393779E-2"/>
          <c:y val="0.89849939810167845"/>
          <c:w val="0.97736275273283146"/>
          <c:h val="8.9402302741360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'همبستگی و بتا'!$M$1</c:f>
              <c:strCache>
                <c:ptCount val="1"/>
                <c:pt idx="0">
                  <c:v>ضریب بتا با شاخص کل (20 روز)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'همبستگی و بتا'!$A$21:$A$60</c:f>
              <c:numCache>
                <c:formatCode>General</c:formatCode>
                <c:ptCount val="4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</c:numCache>
            </c:numRef>
          </c:xVal>
          <c:yVal>
            <c:numRef>
              <c:f>'همبستگی و بتا'!$M$21:$M$60</c:f>
              <c:numCache>
                <c:formatCode>0.00E+00</c:formatCode>
                <c:ptCount val="40"/>
                <c:pt idx="0">
                  <c:v>0.75369197821569545</c:v>
                </c:pt>
                <c:pt idx="1">
                  <c:v>0.7376495272463911</c:v>
                </c:pt>
                <c:pt idx="2">
                  <c:v>0.71982558528776186</c:v>
                </c:pt>
                <c:pt idx="3">
                  <c:v>0.71615906821545883</c:v>
                </c:pt>
                <c:pt idx="4">
                  <c:v>0.63867458306646818</c:v>
                </c:pt>
                <c:pt idx="5">
                  <c:v>0.65413449223371689</c:v>
                </c:pt>
                <c:pt idx="6">
                  <c:v>0.6768415515755597</c:v>
                </c:pt>
                <c:pt idx="7">
                  <c:v>0.71879091697617548</c:v>
                </c:pt>
                <c:pt idx="8">
                  <c:v>0.72006263755785649</c:v>
                </c:pt>
                <c:pt idx="9">
                  <c:v>0.68009103307962659</c:v>
                </c:pt>
                <c:pt idx="10">
                  <c:v>0.63895793659248801</c:v>
                </c:pt>
                <c:pt idx="11">
                  <c:v>0.64412105826249677</c:v>
                </c:pt>
                <c:pt idx="12">
                  <c:v>0.62387758773334112</c:v>
                </c:pt>
                <c:pt idx="13">
                  <c:v>0.58003491903634241</c:v>
                </c:pt>
                <c:pt idx="14">
                  <c:v>0.60951488780122054</c:v>
                </c:pt>
                <c:pt idx="15">
                  <c:v>0.42608815565532382</c:v>
                </c:pt>
                <c:pt idx="16">
                  <c:v>0.35632543573902092</c:v>
                </c:pt>
                <c:pt idx="17">
                  <c:v>0.47989329215384224</c:v>
                </c:pt>
                <c:pt idx="18">
                  <c:v>0.85415061487733357</c:v>
                </c:pt>
                <c:pt idx="19">
                  <c:v>0.7113156929256006</c:v>
                </c:pt>
                <c:pt idx="20">
                  <c:v>4.0224969077758951E-2</c:v>
                </c:pt>
                <c:pt idx="21">
                  <c:v>-6.4620560011637587E-2</c:v>
                </c:pt>
                <c:pt idx="22">
                  <c:v>-0.1094805301543561</c:v>
                </c:pt>
                <c:pt idx="23">
                  <c:v>-0.17180935772409908</c:v>
                </c:pt>
                <c:pt idx="24">
                  <c:v>-0.11082186924685174</c:v>
                </c:pt>
                <c:pt idx="25">
                  <c:v>-0.20893372918114758</c:v>
                </c:pt>
                <c:pt idx="26">
                  <c:v>-0.21947409912309931</c:v>
                </c:pt>
                <c:pt idx="27">
                  <c:v>-0.52556945958037815</c:v>
                </c:pt>
                <c:pt idx="28">
                  <c:v>-0.50097871262102134</c:v>
                </c:pt>
                <c:pt idx="29">
                  <c:v>-0.46760611822025144</c:v>
                </c:pt>
                <c:pt idx="30">
                  <c:v>-0.80616603065543424</c:v>
                </c:pt>
                <c:pt idx="31">
                  <c:v>-0.88241024906298182</c:v>
                </c:pt>
                <c:pt idx="32">
                  <c:v>-0.6943157228634167</c:v>
                </c:pt>
                <c:pt idx="33">
                  <c:v>-0.63296618886472589</c:v>
                </c:pt>
                <c:pt idx="34">
                  <c:v>-0.70128512552405387</c:v>
                </c:pt>
                <c:pt idx="35">
                  <c:v>-0.87035099679365091</c:v>
                </c:pt>
                <c:pt idx="36">
                  <c:v>-0.92557613612210332</c:v>
                </c:pt>
                <c:pt idx="37">
                  <c:v>-0.62568005044046349</c:v>
                </c:pt>
                <c:pt idx="38">
                  <c:v>-0.27341762170113199</c:v>
                </c:pt>
                <c:pt idx="39">
                  <c:v>2.6708722292023705E-3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3A-49A9-BC53-C43C607033C4}"/>
            </c:ext>
          </c:extLst>
        </c:ser>
        <c:ser>
          <c:idx val="1"/>
          <c:order val="1"/>
          <c:tx>
            <c:strRef>
              <c:f>'همبستگی و بتا'!$N$1</c:f>
              <c:strCache>
                <c:ptCount val="1"/>
                <c:pt idx="0">
                  <c:v>ضریب بتا با شاخص کل هم وزن (20 روز)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'همبستگی و بتا'!$A$21:$A$60</c:f>
              <c:numCache>
                <c:formatCode>General</c:formatCode>
                <c:ptCount val="4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</c:numCache>
            </c:numRef>
          </c:xVal>
          <c:yVal>
            <c:numRef>
              <c:f>'همبستگی و بتا'!$N$21:$N$60</c:f>
              <c:numCache>
                <c:formatCode>0.00E+00</c:formatCode>
                <c:ptCount val="40"/>
                <c:pt idx="0">
                  <c:v>0.71368050752819323</c:v>
                </c:pt>
                <c:pt idx="1">
                  <c:v>0.71927365418880351</c:v>
                </c:pt>
                <c:pt idx="2">
                  <c:v>0.74573651827455534</c:v>
                </c:pt>
                <c:pt idx="3">
                  <c:v>0.7097168233564437</c:v>
                </c:pt>
                <c:pt idx="4">
                  <c:v>0.60884190818653594</c:v>
                </c:pt>
                <c:pt idx="5">
                  <c:v>0.61129387661019952</c:v>
                </c:pt>
                <c:pt idx="6">
                  <c:v>0.60288262136170279</c:v>
                </c:pt>
                <c:pt idx="7">
                  <c:v>0.56718690888841194</c:v>
                </c:pt>
                <c:pt idx="8">
                  <c:v>0.56840473277210291</c:v>
                </c:pt>
                <c:pt idx="9">
                  <c:v>0.49954834023953787</c:v>
                </c:pt>
                <c:pt idx="10">
                  <c:v>0.44606299861878068</c:v>
                </c:pt>
                <c:pt idx="11">
                  <c:v>0.45161879845886432</c:v>
                </c:pt>
                <c:pt idx="12">
                  <c:v>0.44188012815459909</c:v>
                </c:pt>
                <c:pt idx="13">
                  <c:v>0.40420198755143832</c:v>
                </c:pt>
                <c:pt idx="14">
                  <c:v>0.39980685467736893</c:v>
                </c:pt>
                <c:pt idx="15">
                  <c:v>0.19536451790220108</c:v>
                </c:pt>
                <c:pt idx="16">
                  <c:v>1.2319916444532814E-2</c:v>
                </c:pt>
                <c:pt idx="17">
                  <c:v>0.17240735644840047</c:v>
                </c:pt>
                <c:pt idx="18">
                  <c:v>0.66641515389698569</c:v>
                </c:pt>
                <c:pt idx="19">
                  <c:v>0.45602883168676883</c:v>
                </c:pt>
                <c:pt idx="20">
                  <c:v>-0.35241298409660798</c:v>
                </c:pt>
                <c:pt idx="21">
                  <c:v>-0.53315799170702882</c:v>
                </c:pt>
                <c:pt idx="22">
                  <c:v>-0.61854915330107296</c:v>
                </c:pt>
                <c:pt idx="23">
                  <c:v>-0.63620522970505744</c:v>
                </c:pt>
                <c:pt idx="24">
                  <c:v>-0.66400992586552232</c:v>
                </c:pt>
                <c:pt idx="25">
                  <c:v>-0.70719924731163819</c:v>
                </c:pt>
                <c:pt idx="26">
                  <c:v>-0.44956022101103005</c:v>
                </c:pt>
                <c:pt idx="27">
                  <c:v>-0.44177865913600972</c:v>
                </c:pt>
                <c:pt idx="28">
                  <c:v>-0.44206334448694523</c:v>
                </c:pt>
                <c:pt idx="29">
                  <c:v>-0.43425577632143114</c:v>
                </c:pt>
                <c:pt idx="30">
                  <c:v>-0.73463793626072649</c:v>
                </c:pt>
                <c:pt idx="31">
                  <c:v>-0.789507207461979</c:v>
                </c:pt>
                <c:pt idx="32">
                  <c:v>-0.7345816633005291</c:v>
                </c:pt>
                <c:pt idx="33">
                  <c:v>-0.61029588902770027</c:v>
                </c:pt>
                <c:pt idx="34">
                  <c:v>-0.64845862884407213</c:v>
                </c:pt>
                <c:pt idx="35">
                  <c:v>-0.79400192333691133</c:v>
                </c:pt>
                <c:pt idx="36">
                  <c:v>-0.86319214696347457</c:v>
                </c:pt>
                <c:pt idx="37">
                  <c:v>-0.51985201912697521</c:v>
                </c:pt>
                <c:pt idx="38">
                  <c:v>-0.19475115566613804</c:v>
                </c:pt>
                <c:pt idx="39">
                  <c:v>7.8269006045838072E-2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3A-49A9-BC53-C43C607033C4}"/>
            </c:ext>
          </c:extLst>
        </c:ser>
        <c:ser>
          <c:idx val="2"/>
          <c:order val="2"/>
          <c:tx>
            <c:strRef>
              <c:f>'همبستگی و بتا'!$AA$1</c:f>
              <c:strCache>
                <c:ptCount val="1"/>
                <c:pt idx="0">
                  <c:v>یکه کردن شاخص گروهی سهام در آن قرار دارد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'همبستگی و بتا'!$A$2:$A$60</c:f>
              <c:numCache>
                <c:formatCode>General</c:formatCode>
                <c:ptCount val="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</c:numCache>
            </c:numRef>
          </c:xVal>
          <c:yVal>
            <c:numRef>
              <c:f>'همبستگی و بتا'!$O$2:$O$60</c:f>
              <c:numCache>
                <c:formatCode>General</c:formatCode>
                <c:ptCount val="59"/>
                <c:pt idx="19" formatCode="0.00E+00">
                  <c:v>0.72406986895002012</c:v>
                </c:pt>
                <c:pt idx="20" formatCode="0.00E+00">
                  <c:v>0.71471425254676513</c:v>
                </c:pt>
                <c:pt idx="21" formatCode="0.00E+00">
                  <c:v>0.68839252084873315</c:v>
                </c:pt>
                <c:pt idx="22" formatCode="0.00E+00">
                  <c:v>0.69004348074192212</c:v>
                </c:pt>
                <c:pt idx="23" formatCode="0.00E+00">
                  <c:v>0.62581758065166437</c:v>
                </c:pt>
                <c:pt idx="24" formatCode="0.00E+00">
                  <c:v>0.64150806263954885</c:v>
                </c:pt>
                <c:pt idx="25" formatCode="0.00E+00">
                  <c:v>0.66945559904085061</c:v>
                </c:pt>
                <c:pt idx="26" formatCode="0.00E+00">
                  <c:v>0.71784106248384127</c:v>
                </c:pt>
                <c:pt idx="27" formatCode="0.00E+00">
                  <c:v>0.71812500640146593</c:v>
                </c:pt>
                <c:pt idx="28" formatCode="0.00E+00">
                  <c:v>0.67604982010075099</c:v>
                </c:pt>
                <c:pt idx="29" formatCode="0.00E+00">
                  <c:v>0.63772536579630967</c:v>
                </c:pt>
                <c:pt idx="30" formatCode="0.00E+00">
                  <c:v>0.64636962400775688</c:v>
                </c:pt>
                <c:pt idx="31" formatCode="0.00E+00">
                  <c:v>0.62962878347332352</c:v>
                </c:pt>
                <c:pt idx="32" formatCode="0.00E+00">
                  <c:v>0.58821101459942393</c:v>
                </c:pt>
                <c:pt idx="33" formatCode="0.00E+00">
                  <c:v>0.62383247954651389</c:v>
                </c:pt>
                <c:pt idx="34" formatCode="0.00E+00">
                  <c:v>0.44230295090968208</c:v>
                </c:pt>
                <c:pt idx="35" formatCode="0.00E+00">
                  <c:v>0.38089580051493283</c:v>
                </c:pt>
                <c:pt idx="36" formatCode="0.00E+00">
                  <c:v>0.50000704654028272</c:v>
                </c:pt>
                <c:pt idx="37" formatCode="0.00E+00">
                  <c:v>0.84209850521067608</c:v>
                </c:pt>
                <c:pt idx="38" formatCode="0.00E+00">
                  <c:v>0.71812608532741107</c:v>
                </c:pt>
                <c:pt idx="39" formatCode="0.00E+00">
                  <c:v>8.0008572259427965E-2</c:v>
                </c:pt>
                <c:pt idx="40" formatCode="0.00E+00">
                  <c:v>-5.6171346489737733E-3</c:v>
                </c:pt>
                <c:pt idx="41" formatCode="0.00E+00">
                  <c:v>2.0516725297995992E-2</c:v>
                </c:pt>
                <c:pt idx="42" formatCode="0.00E+00">
                  <c:v>-7.2011700090547928E-2</c:v>
                </c:pt>
                <c:pt idx="43" formatCode="0.00E+00">
                  <c:v>-3.8984003274979595E-3</c:v>
                </c:pt>
                <c:pt idx="44" formatCode="0.00E+00">
                  <c:v>-0.10732493923020299</c:v>
                </c:pt>
                <c:pt idx="45" formatCode="0.00E+00">
                  <c:v>-0.13896958812885316</c:v>
                </c:pt>
                <c:pt idx="46" formatCode="0.00E+00">
                  <c:v>-0.42899538876472004</c:v>
                </c:pt>
                <c:pt idx="47" formatCode="0.00E+00">
                  <c:v>-0.42664116135061886</c:v>
                </c:pt>
                <c:pt idx="48" formatCode="0.00E+00">
                  <c:v>-0.3914968012821618</c:v>
                </c:pt>
                <c:pt idx="49" formatCode="0.00E+00">
                  <c:v>-0.71735858313753298</c:v>
                </c:pt>
                <c:pt idx="50" formatCode="0.00E+00">
                  <c:v>-0.80561779806664369</c:v>
                </c:pt>
                <c:pt idx="51" formatCode="0.00E+00">
                  <c:v>-0.6466808468102383</c:v>
                </c:pt>
                <c:pt idx="52" formatCode="0.00E+00">
                  <c:v>-0.58557321693990283</c:v>
                </c:pt>
                <c:pt idx="53" formatCode="0.00E+00">
                  <c:v>-0.65916397878495658</c:v>
                </c:pt>
                <c:pt idx="54" formatCode="0.00E+00">
                  <c:v>-0.82347623342448117</c:v>
                </c:pt>
                <c:pt idx="55" formatCode="0.00E+00">
                  <c:v>-0.88065218499245557</c:v>
                </c:pt>
                <c:pt idx="56" formatCode="0.00E+00">
                  <c:v>-0.55935874344765246</c:v>
                </c:pt>
                <c:pt idx="57" formatCode="0.00E+00">
                  <c:v>-0.22425383538722563</c:v>
                </c:pt>
                <c:pt idx="58" formatCode="0.00E+00">
                  <c:v>6.1541522517014148E-2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3A-49A9-BC53-C43C60703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705176"/>
        <c:axId val="501706744"/>
      </c:scatterChart>
      <c:valAx>
        <c:axId val="501705176"/>
        <c:scaling>
          <c:orientation val="minMax"/>
          <c:max val="6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706744"/>
        <c:crosses val="autoZero"/>
        <c:crossBetween val="midCat"/>
        <c:majorUnit val="10"/>
        <c:minorUnit val="1"/>
      </c:valAx>
      <c:valAx>
        <c:axId val="50170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ضریب بتا (20 روز)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705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'همبستگی و بتا'!$P$1</c:f>
              <c:strCache>
                <c:ptCount val="1"/>
                <c:pt idx="0">
                  <c:v>ضریب آلفا با شاخص کل (20 روز)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'همبستگی و بتا'!$A$21:$A$60</c:f>
              <c:numCache>
                <c:formatCode>General</c:formatCode>
                <c:ptCount val="4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</c:numCache>
            </c:numRef>
          </c:xVal>
          <c:yVal>
            <c:numRef>
              <c:f>'همبستگی و بتا'!$P$21:$P$60</c:f>
              <c:numCache>
                <c:formatCode>0.00E+00</c:formatCode>
                <c:ptCount val="40"/>
                <c:pt idx="0">
                  <c:v>7.7477323404511319E-3</c:v>
                </c:pt>
                <c:pt idx="1">
                  <c:v>7.6370627665205588E-3</c:v>
                </c:pt>
                <c:pt idx="2">
                  <c:v>1.0211792034225842E-2</c:v>
                </c:pt>
                <c:pt idx="3">
                  <c:v>8.1073425969745185E-3</c:v>
                </c:pt>
                <c:pt idx="4">
                  <c:v>6.3549898399660638E-3</c:v>
                </c:pt>
                <c:pt idx="5">
                  <c:v>5.7283128620268953E-3</c:v>
                </c:pt>
                <c:pt idx="6">
                  <c:v>5.1389919749127329E-3</c:v>
                </c:pt>
                <c:pt idx="7">
                  <c:v>5.3620511447284233E-3</c:v>
                </c:pt>
                <c:pt idx="8">
                  <c:v>5.1001987666330429E-3</c:v>
                </c:pt>
                <c:pt idx="9">
                  <c:v>4.7759063257812387E-3</c:v>
                </c:pt>
                <c:pt idx="10">
                  <c:v>3.5413569092768481E-3</c:v>
                </c:pt>
                <c:pt idx="11">
                  <c:v>1.5712110684985639E-3</c:v>
                </c:pt>
                <c:pt idx="12">
                  <c:v>8.171779668230102E-4</c:v>
                </c:pt>
                <c:pt idx="13">
                  <c:v>3.633557078308031E-3</c:v>
                </c:pt>
                <c:pt idx="14">
                  <c:v>3.2263454939160407E-3</c:v>
                </c:pt>
                <c:pt idx="15">
                  <c:v>5.1939756303811743E-3</c:v>
                </c:pt>
                <c:pt idx="16">
                  <c:v>7.4679026389470413E-3</c:v>
                </c:pt>
                <c:pt idx="17">
                  <c:v>3.9163390418459777E-3</c:v>
                </c:pt>
                <c:pt idx="18">
                  <c:v>-3.8388714279337724E-3</c:v>
                </c:pt>
                <c:pt idx="19">
                  <c:v>-2.0303226643844314E-3</c:v>
                </c:pt>
                <c:pt idx="20">
                  <c:v>6.2184047521303114E-3</c:v>
                </c:pt>
                <c:pt idx="21">
                  <c:v>7.718219422094023E-3</c:v>
                </c:pt>
                <c:pt idx="22">
                  <c:v>8.4328183967667548E-3</c:v>
                </c:pt>
                <c:pt idx="23">
                  <c:v>8.9498986053555638E-3</c:v>
                </c:pt>
                <c:pt idx="24">
                  <c:v>9.0231266580917836E-3</c:v>
                </c:pt>
                <c:pt idx="25">
                  <c:v>1.1074049420018677E-2</c:v>
                </c:pt>
                <c:pt idx="26">
                  <c:v>1.4237547022534165E-2</c:v>
                </c:pt>
                <c:pt idx="27">
                  <c:v>1.9145062136108247E-2</c:v>
                </c:pt>
                <c:pt idx="28">
                  <c:v>1.8783568550384402E-2</c:v>
                </c:pt>
                <c:pt idx="29">
                  <c:v>1.7589597010488144E-2</c:v>
                </c:pt>
                <c:pt idx="30">
                  <c:v>1.914896233215219E-2</c:v>
                </c:pt>
                <c:pt idx="31">
                  <c:v>2.2656503587903686E-2</c:v>
                </c:pt>
                <c:pt idx="32">
                  <c:v>2.0706801380397315E-2</c:v>
                </c:pt>
                <c:pt idx="33">
                  <c:v>2.0322023021374327E-2</c:v>
                </c:pt>
                <c:pt idx="34">
                  <c:v>2.2086110137653023E-2</c:v>
                </c:pt>
                <c:pt idx="35">
                  <c:v>2.1248047735989824E-2</c:v>
                </c:pt>
                <c:pt idx="36">
                  <c:v>2.0235199572917383E-2</c:v>
                </c:pt>
                <c:pt idx="37">
                  <c:v>1.4073046615796489E-2</c:v>
                </c:pt>
                <c:pt idx="38">
                  <c:v>7.6120473765687209E-3</c:v>
                </c:pt>
                <c:pt idx="39">
                  <c:v>7.133224059970415E-4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0B-4B01-A89F-73D557BE7DED}"/>
            </c:ext>
          </c:extLst>
        </c:ser>
        <c:ser>
          <c:idx val="1"/>
          <c:order val="1"/>
          <c:tx>
            <c:strRef>
              <c:f>'همبستگی و بتا'!$Q$1</c:f>
              <c:strCache>
                <c:ptCount val="1"/>
                <c:pt idx="0">
                  <c:v>ضریب آلفا با شاخص کل هم وزن (20 روز)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'همبستگی و بتا'!$A$21:$A$60</c:f>
              <c:numCache>
                <c:formatCode>General</c:formatCode>
                <c:ptCount val="4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</c:numCache>
            </c:numRef>
          </c:xVal>
          <c:yVal>
            <c:numRef>
              <c:f>'همبستگی و بتا'!$Q$21:$Q$60</c:f>
              <c:numCache>
                <c:formatCode>0.00E+00</c:formatCode>
                <c:ptCount val="40"/>
                <c:pt idx="0">
                  <c:v>8.7502565087894824E-3</c:v>
                </c:pt>
                <c:pt idx="1">
                  <c:v>8.8780712979633584E-3</c:v>
                </c:pt>
                <c:pt idx="2">
                  <c:v>1.1291127798413706E-2</c:v>
                </c:pt>
                <c:pt idx="3">
                  <c:v>9.5465883045614021E-3</c:v>
                </c:pt>
                <c:pt idx="4">
                  <c:v>7.4747190978311047E-3</c:v>
                </c:pt>
                <c:pt idx="5">
                  <c:v>6.7559997618575939E-3</c:v>
                </c:pt>
                <c:pt idx="6">
                  <c:v>6.0115325951105745E-3</c:v>
                </c:pt>
                <c:pt idx="7">
                  <c:v>5.812018849001642E-3</c:v>
                </c:pt>
                <c:pt idx="8">
                  <c:v>5.4338107531139669E-3</c:v>
                </c:pt>
                <c:pt idx="9">
                  <c:v>5.4260097563688754E-3</c:v>
                </c:pt>
                <c:pt idx="10">
                  <c:v>4.143131446455897E-3</c:v>
                </c:pt>
                <c:pt idx="11">
                  <c:v>2.2045964352018924E-3</c:v>
                </c:pt>
                <c:pt idx="12">
                  <c:v>1.5169852580456341E-3</c:v>
                </c:pt>
                <c:pt idx="13">
                  <c:v>4.0579791747378732E-3</c:v>
                </c:pt>
                <c:pt idx="14">
                  <c:v>3.4616722123993397E-3</c:v>
                </c:pt>
                <c:pt idx="15">
                  <c:v>6.8536504891464813E-3</c:v>
                </c:pt>
                <c:pt idx="16">
                  <c:v>1.0670794888693552E-2</c:v>
                </c:pt>
                <c:pt idx="17">
                  <c:v>6.6687995703710989E-3</c:v>
                </c:pt>
                <c:pt idx="18">
                  <c:v>-3.5266639897423031E-3</c:v>
                </c:pt>
                <c:pt idx="19">
                  <c:v>-3.6983911584338985E-4</c:v>
                </c:pt>
                <c:pt idx="20">
                  <c:v>1.0816235947532917E-2</c:v>
                </c:pt>
                <c:pt idx="21">
                  <c:v>1.3265213823730863E-2</c:v>
                </c:pt>
                <c:pt idx="22">
                  <c:v>1.4407956361815811E-2</c:v>
                </c:pt>
                <c:pt idx="23">
                  <c:v>1.4647900698044983E-2</c:v>
                </c:pt>
                <c:pt idx="24">
                  <c:v>1.4616341146914135E-2</c:v>
                </c:pt>
                <c:pt idx="25">
                  <c:v>1.6123394463012305E-2</c:v>
                </c:pt>
                <c:pt idx="26">
                  <c:v>1.6943559128766515E-2</c:v>
                </c:pt>
                <c:pt idx="27">
                  <c:v>1.8943790214243455E-2</c:v>
                </c:pt>
                <c:pt idx="28">
                  <c:v>1.8672380312712875E-2</c:v>
                </c:pt>
                <c:pt idx="29">
                  <c:v>1.760229771857074E-2</c:v>
                </c:pt>
                <c:pt idx="30">
                  <c:v>1.8525539491947643E-2</c:v>
                </c:pt>
                <c:pt idx="31">
                  <c:v>2.1890728901494967E-2</c:v>
                </c:pt>
                <c:pt idx="32">
                  <c:v>2.1886243215798191E-2</c:v>
                </c:pt>
                <c:pt idx="33">
                  <c:v>2.0962298890582674E-2</c:v>
                </c:pt>
                <c:pt idx="34">
                  <c:v>2.2166603992808981E-2</c:v>
                </c:pt>
                <c:pt idx="35">
                  <c:v>2.0948975493776334E-2</c:v>
                </c:pt>
                <c:pt idx="36">
                  <c:v>2.0262932101663633E-2</c:v>
                </c:pt>
                <c:pt idx="37">
                  <c:v>1.3506791572827023E-2</c:v>
                </c:pt>
                <c:pt idx="38">
                  <c:v>7.3445942188285433E-3</c:v>
                </c:pt>
                <c:pt idx="39">
                  <c:v>-2.9556328723948154E-5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0B-4B01-A89F-73D557BE7DED}"/>
            </c:ext>
          </c:extLst>
        </c:ser>
        <c:ser>
          <c:idx val="2"/>
          <c:order val="2"/>
          <c:tx>
            <c:strRef>
              <c:f>'همبستگی و بتا'!$R$1</c:f>
              <c:strCache>
                <c:ptCount val="1"/>
                <c:pt idx="0">
                  <c:v>ضریب آلفا با شاخص گروه (20 روز)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'همبستگی و بتا'!$A$2:$A$60</c:f>
              <c:numCache>
                <c:formatCode>General</c:formatCode>
                <c:ptCount val="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</c:numCache>
            </c:numRef>
          </c:xVal>
          <c:yVal>
            <c:numRef>
              <c:f>'همبستگی و بتا'!$R$2:$R$60</c:f>
              <c:numCache>
                <c:formatCode>General</c:formatCode>
                <c:ptCount val="59"/>
                <c:pt idx="19" formatCode="0.00E+00">
                  <c:v>7.5240756347214506E-3</c:v>
                </c:pt>
                <c:pt idx="20" formatCode="0.00E+00">
                  <c:v>7.4578580159496742E-3</c:v>
                </c:pt>
                <c:pt idx="21" formatCode="0.00E+00">
                  <c:v>1.0185881949040427E-2</c:v>
                </c:pt>
                <c:pt idx="22" formatCode="0.00E+00">
                  <c:v>8.1220858730553791E-3</c:v>
                </c:pt>
                <c:pt idx="23" formatCode="0.00E+00">
                  <c:v>6.3095726112640076E-3</c:v>
                </c:pt>
                <c:pt idx="24" formatCode="0.00E+00">
                  <c:v>5.6496013193594275E-3</c:v>
                </c:pt>
                <c:pt idx="25" formatCode="0.00E+00">
                  <c:v>5.1228800649437429E-3</c:v>
                </c:pt>
                <c:pt idx="26" formatCode="0.00E+00">
                  <c:v>5.361400505540335E-3</c:v>
                </c:pt>
                <c:pt idx="27" formatCode="0.00E+00">
                  <c:v>5.146353183952599E-3</c:v>
                </c:pt>
                <c:pt idx="28" formatCode="0.00E+00">
                  <c:v>4.8160112125304067E-3</c:v>
                </c:pt>
                <c:pt idx="29" formatCode="0.00E+00">
                  <c:v>3.5262125448501727E-3</c:v>
                </c:pt>
                <c:pt idx="30" formatCode="0.00E+00">
                  <c:v>1.5545044868892121E-3</c:v>
                </c:pt>
                <c:pt idx="31" formatCode="0.00E+00">
                  <c:v>8.3575302050773077E-4</c:v>
                </c:pt>
                <c:pt idx="32" formatCode="0.00E+00">
                  <c:v>3.7111865243459083E-3</c:v>
                </c:pt>
                <c:pt idx="33" formatCode="0.00E+00">
                  <c:v>3.332603204857247E-3</c:v>
                </c:pt>
                <c:pt idx="34" formatCode="0.00E+00">
                  <c:v>5.2034044850909639E-3</c:v>
                </c:pt>
                <c:pt idx="35" formatCode="0.00E+00">
                  <c:v>7.4922980974096269E-3</c:v>
                </c:pt>
                <c:pt idx="36" formatCode="0.00E+00">
                  <c:v>4.1134543655064488E-3</c:v>
                </c:pt>
                <c:pt idx="37" formatCode="0.00E+00">
                  <c:v>-2.9907644499622132E-3</c:v>
                </c:pt>
                <c:pt idx="38" formatCode="0.00E+00">
                  <c:v>-1.5500542902955874E-3</c:v>
                </c:pt>
                <c:pt idx="39" formatCode="0.00E+00">
                  <c:v>5.9275511883315219E-3</c:v>
                </c:pt>
                <c:pt idx="40" formatCode="0.00E+00">
                  <c:v>7.2428743437879979E-3</c:v>
                </c:pt>
                <c:pt idx="41" formatCode="0.00E+00">
                  <c:v>7.4282181391758127E-3</c:v>
                </c:pt>
                <c:pt idx="42" formatCode="0.00E+00">
                  <c:v>8.0793195315775976E-3</c:v>
                </c:pt>
                <c:pt idx="43" formatCode="0.00E+00">
                  <c:v>8.2058668486068107E-3</c:v>
                </c:pt>
                <c:pt idx="44" formatCode="0.00E+00">
                  <c:v>1.0346505904374338E-2</c:v>
                </c:pt>
                <c:pt idx="45" formatCode="0.00E+00">
                  <c:v>1.3605304740869488E-2</c:v>
                </c:pt>
                <c:pt idx="46" formatCode="0.00E+00">
                  <c:v>1.8397569363598969E-2</c:v>
                </c:pt>
                <c:pt idx="47" formatCode="0.00E+00">
                  <c:v>1.8148321531161447E-2</c:v>
                </c:pt>
                <c:pt idx="48" formatCode="0.00E+00">
                  <c:v>1.6943170747620185E-2</c:v>
                </c:pt>
                <c:pt idx="49" formatCode="0.00E+00">
                  <c:v>1.8287933869810997E-2</c:v>
                </c:pt>
                <c:pt idx="50" formatCode="0.00E+00">
                  <c:v>2.1988559640307999E-2</c:v>
                </c:pt>
                <c:pt idx="51" formatCode="0.00E+00">
                  <c:v>2.0485017548079319E-2</c:v>
                </c:pt>
                <c:pt idx="52" formatCode="0.00E+00">
                  <c:v>2.0048026637754041E-2</c:v>
                </c:pt>
                <c:pt idx="53" formatCode="0.00E+00">
                  <c:v>2.1861756068685678E-2</c:v>
                </c:pt>
                <c:pt idx="54" formatCode="0.00E+00">
                  <c:v>2.1064254624626702E-2</c:v>
                </c:pt>
                <c:pt idx="55" formatCode="0.00E+00">
                  <c:v>2.0162068959550493E-2</c:v>
                </c:pt>
                <c:pt idx="56" formatCode="0.00E+00">
                  <c:v>1.3671824049245596E-2</c:v>
                </c:pt>
                <c:pt idx="57" formatCode="0.00E+00">
                  <c:v>7.3217812623854288E-3</c:v>
                </c:pt>
                <c:pt idx="58" formatCode="0.00E+00">
                  <c:v>2.820620439296934E-4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0B-4B01-A89F-73D557BE7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506792"/>
        <c:axId val="497509144"/>
      </c:scatterChart>
      <c:valAx>
        <c:axId val="497506792"/>
        <c:scaling>
          <c:orientation val="minMax"/>
          <c:max val="6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09144"/>
        <c:crosses val="autoZero"/>
        <c:crossBetween val="midCat"/>
        <c:majorUnit val="10"/>
        <c:minorUnit val="1"/>
      </c:valAx>
      <c:valAx>
        <c:axId val="497509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ضریب آلفا (20 روز)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06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'همبستگی و بتا'!$V$1</c:f>
              <c:strCache>
                <c:ptCount val="1"/>
                <c:pt idx="0">
                  <c:v>نسبت بین شاخص کل و شاخص کل هم وزن</c:v>
                </c:pt>
              </c:strCache>
            </c:strRef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'همبستگی و بتا'!$A$2:$A$61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'همبستگی و بتا'!$V$2:$V$61</c:f>
              <c:numCache>
                <c:formatCode>0.00E+00</c:formatCode>
                <c:ptCount val="60"/>
                <c:pt idx="0">
                  <c:v>3.2028567963203121</c:v>
                </c:pt>
                <c:pt idx="1">
                  <c:v>3.1942068671041759</c:v>
                </c:pt>
                <c:pt idx="2">
                  <c:v>3.1721357667728687</c:v>
                </c:pt>
                <c:pt idx="3">
                  <c:v>3.146419273786091</c:v>
                </c:pt>
                <c:pt idx="4">
                  <c:v>3.1587344237462354</c:v>
                </c:pt>
                <c:pt idx="5">
                  <c:v>3.1637638415958391</c:v>
                </c:pt>
                <c:pt idx="6">
                  <c:v>3.1608518820443749</c:v>
                </c:pt>
                <c:pt idx="7">
                  <c:v>3.1914097190153101</c:v>
                </c:pt>
                <c:pt idx="8">
                  <c:v>3.189435733089161</c:v>
                </c:pt>
                <c:pt idx="9">
                  <c:v>3.1591838877320688</c:v>
                </c:pt>
                <c:pt idx="10">
                  <c:v>3.1377029172285473</c:v>
                </c:pt>
                <c:pt idx="11">
                  <c:v>3.1287966488956589</c:v>
                </c:pt>
                <c:pt idx="12">
                  <c:v>3.1202294801385855</c:v>
                </c:pt>
                <c:pt idx="13">
                  <c:v>3.1425573059931646</c:v>
                </c:pt>
                <c:pt idx="14">
                  <c:v>3.161625839589095</c:v>
                </c:pt>
                <c:pt idx="15">
                  <c:v>3.1479492672893992</c:v>
                </c:pt>
                <c:pt idx="16">
                  <c:v>3.2329851260704721</c:v>
                </c:pt>
                <c:pt idx="17">
                  <c:v>3.2741167883211681</c:v>
                </c:pt>
                <c:pt idx="18">
                  <c:v>3.2707579525389887</c:v>
                </c:pt>
                <c:pt idx="19">
                  <c:v>3.2717496862894868</c:v>
                </c:pt>
                <c:pt idx="20">
                  <c:v>3.2792126052987647</c:v>
                </c:pt>
                <c:pt idx="21">
                  <c:v>3.2965456930476611</c:v>
                </c:pt>
                <c:pt idx="22">
                  <c:v>3.2831568385176091</c:v>
                </c:pt>
                <c:pt idx="23">
                  <c:v>3.2737124639391553</c:v>
                </c:pt>
                <c:pt idx="24">
                  <c:v>3.2533091561255101</c:v>
                </c:pt>
                <c:pt idx="25">
                  <c:v>3.2392477146710625</c:v>
                </c:pt>
                <c:pt idx="26">
                  <c:v>3.1993738777422123</c:v>
                </c:pt>
                <c:pt idx="27">
                  <c:v>3.1371418636995831</c:v>
                </c:pt>
                <c:pt idx="28">
                  <c:v>3.118782707622298</c:v>
                </c:pt>
                <c:pt idx="29">
                  <c:v>3.0765738780147704</c:v>
                </c:pt>
                <c:pt idx="30">
                  <c:v>3.0459721989616479</c:v>
                </c:pt>
                <c:pt idx="31">
                  <c:v>3.0431366875248669</c:v>
                </c:pt>
                <c:pt idx="32">
                  <c:v>3.0518458713498764</c:v>
                </c:pt>
                <c:pt idx="33">
                  <c:v>3.0398135533983353</c:v>
                </c:pt>
                <c:pt idx="34">
                  <c:v>3.0185461927788979</c:v>
                </c:pt>
                <c:pt idx="35">
                  <c:v>3.015488312652018</c:v>
                </c:pt>
                <c:pt idx="36">
                  <c:v>3.0348302987266371</c:v>
                </c:pt>
                <c:pt idx="37">
                  <c:v>3.0421713708714546</c:v>
                </c:pt>
                <c:pt idx="38">
                  <c:v>3.0781308627205743</c:v>
                </c:pt>
                <c:pt idx="39">
                  <c:v>3.0827445209938156</c:v>
                </c:pt>
                <c:pt idx="40">
                  <c:v>3.0768885127231194</c:v>
                </c:pt>
                <c:pt idx="41">
                  <c:v>3.0825193043711812</c:v>
                </c:pt>
                <c:pt idx="42">
                  <c:v>3.0792657566385837</c:v>
                </c:pt>
                <c:pt idx="43">
                  <c:v>3.1008533497750204</c:v>
                </c:pt>
                <c:pt idx="44">
                  <c:v>3.1226273117828889</c:v>
                </c:pt>
                <c:pt idx="45">
                  <c:v>3.1022386931866719</c:v>
                </c:pt>
                <c:pt idx="46">
                  <c:v>3.0751562449818546</c:v>
                </c:pt>
                <c:pt idx="47">
                  <c:v>3.0645023820276176</c:v>
                </c:pt>
                <c:pt idx="48">
                  <c:v>3.0547293077478845</c:v>
                </c:pt>
                <c:pt idx="49">
                  <c:v>3.0302996396624016</c:v>
                </c:pt>
                <c:pt idx="50">
                  <c:v>3.0332319356046424</c:v>
                </c:pt>
                <c:pt idx="51">
                  <c:v>3.0228335006751377</c:v>
                </c:pt>
                <c:pt idx="52">
                  <c:v>2.9825810065748741</c:v>
                </c:pt>
                <c:pt idx="53">
                  <c:v>2.9551407118702357</c:v>
                </c:pt>
                <c:pt idx="54">
                  <c:v>2.9581533371707676</c:v>
                </c:pt>
                <c:pt idx="55">
                  <c:v>2.974041509104024</c:v>
                </c:pt>
                <c:pt idx="56">
                  <c:v>2.9805101306733377</c:v>
                </c:pt>
                <c:pt idx="57">
                  <c:v>2.9765968748136866</c:v>
                </c:pt>
                <c:pt idx="58">
                  <c:v>2.9528562745206388</c:v>
                </c:pt>
                <c:pt idx="59">
                  <c:v>2.9139122116228475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20-42F6-9ED9-DE3E0E093B8D}"/>
            </c:ext>
          </c:extLst>
        </c:ser>
        <c:ser>
          <c:idx val="1"/>
          <c:order val="1"/>
          <c:tx>
            <c:strRef>
              <c:f>'همبستگی و بتا'!$W$1</c:f>
              <c:strCache>
                <c:ptCount val="1"/>
                <c:pt idx="0">
                  <c:v>نسبت بین شاخص گروه و شاخص کل هم وزن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'همبستگی و بتا'!$A$2:$A$61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'همبستگی و بتا'!$W$2:$W$61</c:f>
              <c:numCache>
                <c:formatCode>0.00E+00</c:formatCode>
                <c:ptCount val="60"/>
                <c:pt idx="0">
                  <c:v>2.8674696547027048</c:v>
                </c:pt>
                <c:pt idx="1">
                  <c:v>2.8622216446519571</c:v>
                </c:pt>
                <c:pt idx="2">
                  <c:v>2.8423727877124807</c:v>
                </c:pt>
                <c:pt idx="3">
                  <c:v>2.82048746859211</c:v>
                </c:pt>
                <c:pt idx="4">
                  <c:v>2.8278091356644364</c:v>
                </c:pt>
                <c:pt idx="5">
                  <c:v>2.8294411525502499</c:v>
                </c:pt>
                <c:pt idx="6">
                  <c:v>2.8301818246260724</c:v>
                </c:pt>
                <c:pt idx="7">
                  <c:v>2.8611505807964193</c:v>
                </c:pt>
                <c:pt idx="8">
                  <c:v>2.8625386288199612</c:v>
                </c:pt>
                <c:pt idx="9">
                  <c:v>2.8343103116414987</c:v>
                </c:pt>
                <c:pt idx="10">
                  <c:v>2.811788402778963</c:v>
                </c:pt>
                <c:pt idx="11">
                  <c:v>2.8035880511128037</c:v>
                </c:pt>
                <c:pt idx="12">
                  <c:v>2.7971817645543746</c:v>
                </c:pt>
                <c:pt idx="13">
                  <c:v>2.8231391181128616</c:v>
                </c:pt>
                <c:pt idx="14">
                  <c:v>2.8443549980244964</c:v>
                </c:pt>
                <c:pt idx="15">
                  <c:v>2.8326420430199675</c:v>
                </c:pt>
                <c:pt idx="16">
                  <c:v>2.9196030083693469</c:v>
                </c:pt>
                <c:pt idx="17">
                  <c:v>2.9603740875912408</c:v>
                </c:pt>
                <c:pt idx="18">
                  <c:v>2.9578453033566601</c:v>
                </c:pt>
                <c:pt idx="19">
                  <c:v>2.9590357720915854</c:v>
                </c:pt>
                <c:pt idx="20">
                  <c:v>2.9653266989655624</c:v>
                </c:pt>
                <c:pt idx="21">
                  <c:v>2.9816101039319229</c:v>
                </c:pt>
                <c:pt idx="22">
                  <c:v>2.9634377928335089</c:v>
                </c:pt>
                <c:pt idx="23">
                  <c:v>2.9496131654864937</c:v>
                </c:pt>
                <c:pt idx="24">
                  <c:v>2.9265954576475628</c:v>
                </c:pt>
                <c:pt idx="25">
                  <c:v>2.9129800373855366</c:v>
                </c:pt>
                <c:pt idx="26">
                  <c:v>2.8707471309235695</c:v>
                </c:pt>
                <c:pt idx="27">
                  <c:v>2.813197341987328</c:v>
                </c:pt>
                <c:pt idx="28">
                  <c:v>2.7967235494880547</c:v>
                </c:pt>
                <c:pt idx="29">
                  <c:v>2.7595635269032988</c:v>
                </c:pt>
                <c:pt idx="30">
                  <c:v>2.731725077002614</c:v>
                </c:pt>
                <c:pt idx="31">
                  <c:v>2.7271241002640432</c:v>
                </c:pt>
                <c:pt idx="32">
                  <c:v>2.7311679682197183</c:v>
                </c:pt>
                <c:pt idx="33">
                  <c:v>2.7190890221895705</c:v>
                </c:pt>
                <c:pt idx="34">
                  <c:v>2.6997222653000805</c:v>
                </c:pt>
                <c:pt idx="35">
                  <c:v>2.6946723282626319</c:v>
                </c:pt>
                <c:pt idx="36">
                  <c:v>2.7044102337830664</c:v>
                </c:pt>
                <c:pt idx="37">
                  <c:v>2.7053032318807948</c:v>
                </c:pt>
                <c:pt idx="38">
                  <c:v>2.738254166779956</c:v>
                </c:pt>
                <c:pt idx="39">
                  <c:v>2.7451990886405553</c:v>
                </c:pt>
                <c:pt idx="40">
                  <c:v>2.7409341755776668</c:v>
                </c:pt>
                <c:pt idx="41">
                  <c:v>2.746303632579064</c:v>
                </c:pt>
                <c:pt idx="42">
                  <c:v>2.7520395648928226</c:v>
                </c:pt>
                <c:pt idx="43">
                  <c:v>2.7785554054231327</c:v>
                </c:pt>
                <c:pt idx="44">
                  <c:v>2.8010884371561797</c:v>
                </c:pt>
                <c:pt idx="45">
                  <c:v>2.7841997016827982</c:v>
                </c:pt>
                <c:pt idx="46">
                  <c:v>2.7596428686129042</c:v>
                </c:pt>
                <c:pt idx="47">
                  <c:v>2.7591703292859004</c:v>
                </c:pt>
                <c:pt idx="48">
                  <c:v>2.7509521068808858</c:v>
                </c:pt>
                <c:pt idx="49">
                  <c:v>2.7292234393892909</c:v>
                </c:pt>
                <c:pt idx="50">
                  <c:v>2.7281799887682516</c:v>
                </c:pt>
                <c:pt idx="51">
                  <c:v>2.7212951101570706</c:v>
                </c:pt>
                <c:pt idx="52">
                  <c:v>2.6846242297372997</c:v>
                </c:pt>
                <c:pt idx="53">
                  <c:v>2.6599759270934831</c:v>
                </c:pt>
                <c:pt idx="54">
                  <c:v>2.6640363475821371</c:v>
                </c:pt>
                <c:pt idx="55">
                  <c:v>2.6787197534372336</c:v>
                </c:pt>
                <c:pt idx="56">
                  <c:v>2.6834634340137224</c:v>
                </c:pt>
                <c:pt idx="57">
                  <c:v>2.675448913556024</c:v>
                </c:pt>
                <c:pt idx="58">
                  <c:v>2.6564900259711552</c:v>
                </c:pt>
                <c:pt idx="59">
                  <c:v>2.6132408307189827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20-42F6-9ED9-DE3E0E093B8D}"/>
            </c:ext>
          </c:extLst>
        </c:ser>
        <c:ser>
          <c:idx val="2"/>
          <c:order val="2"/>
          <c:tx>
            <c:strRef>
              <c:f>'همبستگی و بتا'!$U$1</c:f>
              <c:strCache>
                <c:ptCount val="1"/>
                <c:pt idx="0">
                  <c:v>نسبت بین نماد و شاخص کل هم وزن</c:v>
                </c:pt>
              </c:strCache>
            </c:strRef>
          </c:tx>
          <c:spPr>
            <a:ln w="381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'همبستگی و بتا'!$A$2:$A$61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'همبستگی و بتا'!$U$2:$U$61</c:f>
              <c:numCache>
                <c:formatCode>0.00E+00</c:formatCode>
                <c:ptCount val="60"/>
                <c:pt idx="0">
                  <c:v>0.41977739007118664</c:v>
                </c:pt>
                <c:pt idx="1">
                  <c:v>0.42210691444431037</c:v>
                </c:pt>
                <c:pt idx="2">
                  <c:v>0.40989705151107753</c:v>
                </c:pt>
                <c:pt idx="3">
                  <c:v>0.41894723474506318</c:v>
                </c:pt>
                <c:pt idx="4">
                  <c:v>0.43017510324058211</c:v>
                </c:pt>
                <c:pt idx="5">
                  <c:v>0.42920342118669064</c:v>
                </c:pt>
                <c:pt idx="6">
                  <c:v>0.42611823917204222</c:v>
                </c:pt>
                <c:pt idx="7">
                  <c:v>0.41910589321871339</c:v>
                </c:pt>
                <c:pt idx="8">
                  <c:v>0.42377686408818377</c:v>
                </c:pt>
                <c:pt idx="9">
                  <c:v>0.41670020472799174</c:v>
                </c:pt>
                <c:pt idx="10">
                  <c:v>0.42494409641022141</c:v>
                </c:pt>
                <c:pt idx="11">
                  <c:v>0.42605568249132608</c:v>
                </c:pt>
                <c:pt idx="12">
                  <c:v>0.42399820536893795</c:v>
                </c:pt>
                <c:pt idx="13">
                  <c:v>0.42018838042844042</c:v>
                </c:pt>
                <c:pt idx="14">
                  <c:v>0.41446068747530618</c:v>
                </c:pt>
                <c:pt idx="15">
                  <c:v>0.41467135144399692</c:v>
                </c:pt>
                <c:pt idx="16">
                  <c:v>0.41991674841583371</c:v>
                </c:pt>
                <c:pt idx="17">
                  <c:v>0.44218978102189782</c:v>
                </c:pt>
                <c:pt idx="18">
                  <c:v>0.47042237896702505</c:v>
                </c:pt>
                <c:pt idx="19">
                  <c:v>0.48585120119300923</c:v>
                </c:pt>
                <c:pt idx="20">
                  <c:v>0.48812360874689015</c:v>
                </c:pt>
                <c:pt idx="21">
                  <c:v>0.48777370421445632</c:v>
                </c:pt>
                <c:pt idx="22">
                  <c:v>0.49754952773470218</c:v>
                </c:pt>
                <c:pt idx="23">
                  <c:v>0.48995213742460003</c:v>
                </c:pt>
                <c:pt idx="24">
                  <c:v>0.47305061342390525</c:v>
                </c:pt>
                <c:pt idx="25">
                  <c:v>0.46587583900557628</c:v>
                </c:pt>
                <c:pt idx="26">
                  <c:v>0.45485986415801388</c:v>
                </c:pt>
                <c:pt idx="27">
                  <c:v>0.44109874826147427</c:v>
                </c:pt>
                <c:pt idx="28">
                  <c:v>0.44087978763746682</c:v>
                </c:pt>
                <c:pt idx="29">
                  <c:v>0.42439557034402875</c:v>
                </c:pt>
                <c:pt idx="30">
                  <c:v>0.42095490523035251</c:v>
                </c:pt>
                <c:pt idx="31">
                  <c:v>0.40668426954099901</c:v>
                </c:pt>
                <c:pt idx="32">
                  <c:v>0.39990425904359073</c:v>
                </c:pt>
                <c:pt idx="33">
                  <c:v>0.41309263129364271</c:v>
                </c:pt>
                <c:pt idx="34">
                  <c:v>0.4024967926576532</c:v>
                </c:pt>
                <c:pt idx="35">
                  <c:v>0.39579640241304914</c:v>
                </c:pt>
                <c:pt idx="36">
                  <c:v>0.4040151948651835</c:v>
                </c:pt>
                <c:pt idx="37">
                  <c:v>0.39486665165687618</c:v>
                </c:pt>
                <c:pt idx="38">
                  <c:v>0.39447102966366676</c:v>
                </c:pt>
                <c:pt idx="39">
                  <c:v>0.40971845502875121</c:v>
                </c:pt>
                <c:pt idx="40">
                  <c:v>0.43654266958424509</c:v>
                </c:pt>
                <c:pt idx="41">
                  <c:v>0.44726381521520175</c:v>
                </c:pt>
                <c:pt idx="42">
                  <c:v>0.46255465500693188</c:v>
                </c:pt>
                <c:pt idx="43">
                  <c:v>0.45270172768893729</c:v>
                </c:pt>
                <c:pt idx="44">
                  <c:v>0.45695368575470213</c:v>
                </c:pt>
                <c:pt idx="45">
                  <c:v>0.46734609395020599</c:v>
                </c:pt>
                <c:pt idx="46">
                  <c:v>0.47722645084626009</c:v>
                </c:pt>
                <c:pt idx="47">
                  <c:v>0.48277243844573492</c:v>
                </c:pt>
                <c:pt idx="48">
                  <c:v>0.46655686312927835</c:v>
                </c:pt>
                <c:pt idx="49">
                  <c:v>0.44659002725090685</c:v>
                </c:pt>
                <c:pt idx="50">
                  <c:v>0.41270825533508049</c:v>
                </c:pt>
                <c:pt idx="51">
                  <c:v>0.41601749587415898</c:v>
                </c:pt>
                <c:pt idx="52">
                  <c:v>0.43915440634490077</c:v>
                </c:pt>
                <c:pt idx="53">
                  <c:v>0.43708947096922107</c:v>
                </c:pt>
                <c:pt idx="54">
                  <c:v>0.42301007605943924</c:v>
                </c:pt>
                <c:pt idx="55">
                  <c:v>0.39410151041552821</c:v>
                </c:pt>
                <c:pt idx="56">
                  <c:v>0.37523756348447918</c:v>
                </c:pt>
                <c:pt idx="57">
                  <c:v>0.35988964829458919</c:v>
                </c:pt>
                <c:pt idx="58">
                  <c:v>0.3522130739901641</c:v>
                </c:pt>
                <c:pt idx="59">
                  <c:v>0.33934998223474566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20-42F6-9ED9-DE3E0E093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510712"/>
        <c:axId val="497506400"/>
      </c:scatterChart>
      <c:valAx>
        <c:axId val="497510712"/>
        <c:scaling>
          <c:orientation val="minMax"/>
          <c:max val="6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06400"/>
        <c:crosses val="autoZero"/>
        <c:crossBetween val="midCat"/>
        <c:majorUnit val="10"/>
        <c:minorUnit val="1"/>
      </c:valAx>
      <c:valAx>
        <c:axId val="49750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نسبت شاخص </a:t>
                </a:r>
                <a:r>
                  <a:rPr lang="fa-IR" sz="1400" b="1" baseline="0"/>
                  <a:t>ها به شاخص کل هم وزن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10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'همبستگی و بتا'!$F$1</c:f>
              <c:strCache>
                <c:ptCount val="1"/>
                <c:pt idx="0">
                  <c:v>بازدهی تجمعی روزانه</c:v>
                </c:pt>
              </c:strCache>
            </c:strRef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-0.11041077557612991"/>
                  <c:y val="4.02362121463748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'همبستگی و بتا'!$A$2:$A$61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'همبستگی و بتا'!$F$2:$F$61</c:f>
              <c:numCache>
                <c:formatCode>0.00E+00</c:formatCode>
                <c:ptCount val="60"/>
                <c:pt idx="0">
                  <c:v>0</c:v>
                </c:pt>
                <c:pt idx="1">
                  <c:v>1.069055186362323E-2</c:v>
                </c:pt>
                <c:pt idx="2">
                  <c:v>-1.0420412643567691E-2</c:v>
                </c:pt>
                <c:pt idx="3">
                  <c:v>2.714080405230327E-2</c:v>
                </c:pt>
                <c:pt idx="4">
                  <c:v>6.0116164551155739E-2</c:v>
                </c:pt>
                <c:pt idx="5">
                  <c:v>6.6718692376094429E-2</c:v>
                </c:pt>
                <c:pt idx="6">
                  <c:v>6.8093005219672639E-2</c:v>
                </c:pt>
                <c:pt idx="7">
                  <c:v>4.9440478706884117E-2</c:v>
                </c:pt>
                <c:pt idx="8">
                  <c:v>6.9358686915728648E-2</c:v>
                </c:pt>
                <c:pt idx="9">
                  <c:v>5.8866924507401719E-2</c:v>
                </c:pt>
                <c:pt idx="10">
                  <c:v>0.1042393944830463</c:v>
                </c:pt>
                <c:pt idx="11">
                  <c:v>0.11544668926703473</c:v>
                </c:pt>
                <c:pt idx="12">
                  <c:v>0.12905226656061727</c:v>
                </c:pt>
                <c:pt idx="13">
                  <c:v>0.11686383577209243</c:v>
                </c:pt>
                <c:pt idx="14">
                  <c:v>0.11571327040807736</c:v>
                </c:pt>
                <c:pt idx="15">
                  <c:v>7.670786843794708E-2</c:v>
                </c:pt>
                <c:pt idx="16">
                  <c:v>5.8645538934764471E-2</c:v>
                </c:pt>
                <c:pt idx="17">
                  <c:v>7.863964593480656E-2</c:v>
                </c:pt>
                <c:pt idx="18">
                  <c:v>0.12863551916029353</c:v>
                </c:pt>
                <c:pt idx="19">
                  <c:v>0.17862864117573951</c:v>
                </c:pt>
                <c:pt idx="20">
                  <c:v>0.22515593806331413</c:v>
                </c:pt>
                <c:pt idx="21">
                  <c:v>0.26255064807994594</c:v>
                </c:pt>
                <c:pt idx="22">
                  <c:v>0.2968735001003569</c:v>
                </c:pt>
                <c:pt idx="23">
                  <c:v>0.29325677315490783</c:v>
                </c:pt>
                <c:pt idx="24">
                  <c:v>0.29039638039454518</c:v>
                </c:pt>
                <c:pt idx="25">
                  <c:v>0.28127054791396272</c:v>
                </c:pt>
                <c:pt idx="26">
                  <c:v>0.26765888658022308</c:v>
                </c:pt>
                <c:pt idx="27">
                  <c:v>0.24747455003730562</c:v>
                </c:pt>
                <c:pt idx="28">
                  <c:v>0.26574490931349809</c:v>
                </c:pt>
                <c:pt idx="29">
                  <c:v>0.25530279680704704</c:v>
                </c:pt>
                <c:pt idx="30">
                  <c:v>0.26030948978203095</c:v>
                </c:pt>
                <c:pt idx="31">
                  <c:v>0.23275418023886441</c:v>
                </c:pt>
                <c:pt idx="32">
                  <c:v>0.22836056965150806</c:v>
                </c:pt>
                <c:pt idx="33">
                  <c:v>0.26311070811607007</c:v>
                </c:pt>
                <c:pt idx="34">
                  <c:v>0.24900407091736851</c:v>
                </c:pt>
                <c:pt idx="35">
                  <c:v>0.25786587234996805</c:v>
                </c:pt>
                <c:pt idx="36">
                  <c:v>0.27517339773838917</c:v>
                </c:pt>
                <c:pt idx="37">
                  <c:v>0.26278474206110852</c:v>
                </c:pt>
                <c:pt idx="38">
                  <c:v>0.26549743817003102</c:v>
                </c:pt>
                <c:pt idx="39">
                  <c:v>0.30666367117539006</c:v>
                </c:pt>
                <c:pt idx="40">
                  <c:v>0.35662891562277677</c:v>
                </c:pt>
                <c:pt idx="41">
                  <c:v>0.40659660213465393</c:v>
                </c:pt>
                <c:pt idx="42">
                  <c:v>0.44843653848150355</c:v>
                </c:pt>
                <c:pt idx="43">
                  <c:v>0.44296087635867581</c:v>
                </c:pt>
                <c:pt idx="44">
                  <c:v>0.45392902959406367</c:v>
                </c:pt>
                <c:pt idx="45">
                  <c:v>0.47326260179040908</c:v>
                </c:pt>
                <c:pt idx="46">
                  <c:v>0.51787482832434983</c:v>
                </c:pt>
                <c:pt idx="47">
                  <c:v>0.53946385614512327</c:v>
                </c:pt>
                <c:pt idx="48">
                  <c:v>0.54339002312579543</c:v>
                </c:pt>
                <c:pt idx="49">
                  <c:v>0.51765477725642706</c:v>
                </c:pt>
                <c:pt idx="50">
                  <c:v>0.46797671480862402</c:v>
                </c:pt>
                <c:pt idx="51">
                  <c:v>0.48987607696312435</c:v>
                </c:pt>
                <c:pt idx="52">
                  <c:v>0.52287420443382271</c:v>
                </c:pt>
                <c:pt idx="53">
                  <c:v>0.54684230068217787</c:v>
                </c:pt>
                <c:pt idx="54">
                  <c:v>0.53942022591067551</c:v>
                </c:pt>
                <c:pt idx="55">
                  <c:v>0.49220317809912095</c:v>
                </c:pt>
                <c:pt idx="56">
                  <c:v>0.4613513914686907</c:v>
                </c:pt>
                <c:pt idx="57">
                  <c:v>0.4113614066345132</c:v>
                </c:pt>
                <c:pt idx="58">
                  <c:v>0.3713011656706578</c:v>
                </c:pt>
                <c:pt idx="59">
                  <c:v>0.32130116567065781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69-4777-B573-810956A92665}"/>
            </c:ext>
          </c:extLst>
        </c:ser>
        <c:ser>
          <c:idx val="1"/>
          <c:order val="1"/>
          <c:tx>
            <c:strRef>
              <c:f>'همبستگی و بتا'!$G$1</c:f>
              <c:strCache>
                <c:ptCount val="1"/>
                <c:pt idx="0">
                  <c:v>بازدهی تجمعی روزانه شاخص کل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33113553113553"/>
                  <c:y val="5.94834629587232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'همبستگی و بتا'!$A$2:$A$61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'همبستگی و بتا'!$G$2:$G$61</c:f>
              <c:numCache>
                <c:formatCode>0.00E+00</c:formatCode>
                <c:ptCount val="60"/>
                <c:pt idx="0">
                  <c:v>0</c:v>
                </c:pt>
                <c:pt idx="1">
                  <c:v>2.3982512836018465E-3</c:v>
                </c:pt>
                <c:pt idx="2">
                  <c:v>3.4807379283320547E-3</c:v>
                </c:pt>
                <c:pt idx="3">
                  <c:v>1.0398548612954767E-2</c:v>
                </c:pt>
                <c:pt idx="4">
                  <c:v>2.0350095399696816E-2</c:v>
                </c:pt>
                <c:pt idx="5">
                  <c:v>3.0837857251201785E-2</c:v>
                </c:pt>
                <c:pt idx="6">
                  <c:v>3.8533974192404813E-2</c:v>
                </c:pt>
                <c:pt idx="7">
                  <c:v>4.59470484400454E-2</c:v>
                </c:pt>
                <c:pt idx="8">
                  <c:v>5.3999574350295516E-2</c:v>
                </c:pt>
                <c:pt idx="9">
                  <c:v>5.0767359193914535E-2</c:v>
                </c:pt>
                <c:pt idx="10">
                  <c:v>6.8889514322686196E-2</c:v>
                </c:pt>
                <c:pt idx="11">
                  <c:v>7.4595762498512103E-2</c:v>
                </c:pt>
                <c:pt idx="12">
                  <c:v>9.0331033029783681E-2</c:v>
                </c:pt>
                <c:pt idx="13">
                  <c:v>9.4231735923184345E-2</c:v>
                </c:pt>
                <c:pt idx="14">
                  <c:v>0.11302951615652403</c:v>
                </c:pt>
                <c:pt idx="15">
                  <c:v>6.938094167219766E-2</c:v>
                </c:pt>
                <c:pt idx="16">
                  <c:v>6.5246559412119473E-2</c:v>
                </c:pt>
                <c:pt idx="17">
                  <c:v>4.6186951495013749E-2</c:v>
                </c:pt>
                <c:pt idx="18">
                  <c:v>3.2154360101335398E-2</c:v>
                </c:pt>
                <c:pt idx="19">
                  <c:v>4.9111876854079931E-2</c:v>
                </c:pt>
                <c:pt idx="20">
                  <c:v>9.3143211395837505E-2</c:v>
                </c:pt>
                <c:pt idx="21">
                  <c:v>0.13676943600586036</c:v>
                </c:pt>
                <c:pt idx="22">
                  <c:v>0.14665163121939034</c:v>
                </c:pt>
                <c:pt idx="23">
                  <c:v>0.15557456016886054</c:v>
                </c:pt>
                <c:pt idx="24">
                  <c:v>0.18190407262025254</c:v>
                </c:pt>
                <c:pt idx="25">
                  <c:v>0.18368960178450539</c:v>
                </c:pt>
                <c:pt idx="26">
                  <c:v>0.18153057603665629</c:v>
                </c:pt>
                <c:pt idx="27">
                  <c:v>0.17226062070637715</c:v>
                </c:pt>
                <c:pt idx="28">
                  <c:v>0.18507462552252768</c:v>
                </c:pt>
                <c:pt idx="29">
                  <c:v>0.19915594377359805</c:v>
                </c:pt>
                <c:pt idx="30">
                  <c:v>0.20229885511285089</c:v>
                </c:pt>
                <c:pt idx="31">
                  <c:v>0.20792981282986867</c:v>
                </c:pt>
                <c:pt idx="32">
                  <c:v>0.22331344077399568</c:v>
                </c:pt>
                <c:pt idx="33">
                  <c:v>0.22107880730304919</c:v>
                </c:pt>
                <c:pt idx="34">
                  <c:v>0.22584692555407115</c:v>
                </c:pt>
                <c:pt idx="35">
                  <c:v>0.25074831900645633</c:v>
                </c:pt>
                <c:pt idx="36">
                  <c:v>0.25375346710837565</c:v>
                </c:pt>
                <c:pt idx="37">
                  <c:v>0.26669079478578345</c:v>
                </c:pt>
                <c:pt idx="38">
                  <c:v>0.28227341855227872</c:v>
                </c:pt>
                <c:pt idx="39">
                  <c:v>0.28619575531278013</c:v>
                </c:pt>
                <c:pt idx="40">
                  <c:v>0.26977187463040586</c:v>
                </c:pt>
                <c:pt idx="41">
                  <c:v>0.29644670258037087</c:v>
                </c:pt>
                <c:pt idx="42">
                  <c:v>0.30278285866310695</c:v>
                </c:pt>
                <c:pt idx="43">
                  <c:v>0.32607673357425188</c:v>
                </c:pt>
                <c:pt idx="44">
                  <c:v>0.33467070683580091</c:v>
                </c:pt>
                <c:pt idx="45">
                  <c:v>0.32482973573750595</c:v>
                </c:pt>
                <c:pt idx="46">
                  <c:v>0.33888398969475919</c:v>
                </c:pt>
                <c:pt idx="47">
                  <c:v>0.34523858766612536</c:v>
                </c:pt>
                <c:pt idx="48">
                  <c:v>0.38074413148324376</c:v>
                </c:pt>
                <c:pt idx="49">
                  <c:v>0.3904279487268244</c:v>
                </c:pt>
                <c:pt idx="50">
                  <c:v>0.41976277067118495</c:v>
                </c:pt>
                <c:pt idx="51">
                  <c:v>0.43005798421268288</c:v>
                </c:pt>
                <c:pt idx="52">
                  <c:v>0.39560162162102991</c:v>
                </c:pt>
                <c:pt idx="53">
                  <c:v>0.41494203415481301</c:v>
                </c:pt>
                <c:pt idx="54">
                  <c:v>0.44160231840756431</c:v>
                </c:pt>
                <c:pt idx="55">
                  <c:v>0.46976759935759721</c:v>
                </c:pt>
                <c:pt idx="56">
                  <c:v>0.48985073582535754</c:v>
                </c:pt>
                <c:pt idx="57">
                  <c:v>0.47907453252678672</c:v>
                </c:pt>
                <c:pt idx="58">
                  <c:v>0.45211331307636837</c:v>
                </c:pt>
                <c:pt idx="59">
                  <c:v>0.42511905208078915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69-4777-B573-810956A92665}"/>
            </c:ext>
          </c:extLst>
        </c:ser>
        <c:ser>
          <c:idx val="2"/>
          <c:order val="2"/>
          <c:tx>
            <c:strRef>
              <c:f>'همبستگی و بتا'!$H$1</c:f>
              <c:strCache>
                <c:ptCount val="1"/>
                <c:pt idx="0">
                  <c:v>بازدهی تجمعی روزانه شاخص کل هم وزن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4483516483516484E-2"/>
                  <c:y val="4.50096421221495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'همبستگی و بتا'!$A$2:$A$61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'همبستگی و بتا'!$H$2:$H$61</c:f>
              <c:numCache>
                <c:formatCode>0.00E+00</c:formatCode>
                <c:ptCount val="60"/>
                <c:pt idx="0">
                  <c:v>0</c:v>
                </c:pt>
                <c:pt idx="1">
                  <c:v>5.1127510892585576E-3</c:v>
                </c:pt>
                <c:pt idx="2">
                  <c:v>1.3160573907203254E-2</c:v>
                </c:pt>
                <c:pt idx="3">
                  <c:v>2.8308182518779895E-2</c:v>
                </c:pt>
                <c:pt idx="4">
                  <c:v>3.4322169801419153E-2</c:v>
                </c:pt>
                <c:pt idx="5">
                  <c:v>4.3203564856691183E-2</c:v>
                </c:pt>
                <c:pt idx="6">
                  <c:v>5.182802973769144E-2</c:v>
                </c:pt>
                <c:pt idx="7">
                  <c:v>4.9595095733296457E-2</c:v>
                </c:pt>
                <c:pt idx="8">
                  <c:v>5.8271519306171311E-2</c:v>
                </c:pt>
                <c:pt idx="9">
                  <c:v>6.4584194841692213E-2</c:v>
                </c:pt>
                <c:pt idx="10">
                  <c:v>8.9676497419165141E-2</c:v>
                </c:pt>
                <c:pt idx="11">
                  <c:v>9.8245536218816917E-2</c:v>
                </c:pt>
                <c:pt idx="12">
                  <c:v>0.11676969632713544</c:v>
                </c:pt>
                <c:pt idx="13">
                  <c:v>0.11353769871997685</c:v>
                </c:pt>
                <c:pt idx="14">
                  <c:v>0.12619086201079954</c:v>
                </c:pt>
                <c:pt idx="15">
                  <c:v>8.6697249472935722E-2</c:v>
                </c:pt>
                <c:pt idx="16">
                  <c:v>5.6369029402664063E-2</c:v>
                </c:pt>
                <c:pt idx="17">
                  <c:v>2.4986187006220371E-2</c:v>
                </c:pt>
                <c:pt idx="18">
                  <c:v>1.1966114013519642E-2</c:v>
                </c:pt>
                <c:pt idx="19">
                  <c:v>2.8615370297435223E-2</c:v>
                </c:pt>
                <c:pt idx="20">
                  <c:v>7.0270670641152833E-2</c:v>
                </c:pt>
                <c:pt idx="21">
                  <c:v>0.10840955589277869</c:v>
                </c:pt>
                <c:pt idx="22">
                  <c:v>0.12241009405160282</c:v>
                </c:pt>
                <c:pt idx="23">
                  <c:v>0.1342436775459514</c:v>
                </c:pt>
                <c:pt idx="24">
                  <c:v>0.16700987214338125</c:v>
                </c:pt>
                <c:pt idx="25">
                  <c:v>0.17314411119618492</c:v>
                </c:pt>
                <c:pt idx="26">
                  <c:v>0.18342119007651175</c:v>
                </c:pt>
                <c:pt idx="27">
                  <c:v>0.19380451430166595</c:v>
                </c:pt>
                <c:pt idx="28">
                  <c:v>0.21258059218761866</c:v>
                </c:pt>
                <c:pt idx="29">
                  <c:v>0.24057452468667062</c:v>
                </c:pt>
                <c:pt idx="30">
                  <c:v>0.25379561645963966</c:v>
                </c:pt>
                <c:pt idx="31">
                  <c:v>0.26036359356638022</c:v>
                </c:pt>
                <c:pt idx="32">
                  <c:v>0.27284957757911216</c:v>
                </c:pt>
                <c:pt idx="33">
                  <c:v>0.27456434097748744</c:v>
                </c:pt>
                <c:pt idx="34">
                  <c:v>0.28641161738778409</c:v>
                </c:pt>
                <c:pt idx="35">
                  <c:v>0.31235232032444082</c:v>
                </c:pt>
                <c:pt idx="36">
                  <c:v>0.30896498196163147</c:v>
                </c:pt>
                <c:pt idx="37">
                  <c:v>0.31945798777346057</c:v>
                </c:pt>
                <c:pt idx="38">
                  <c:v>0.32317632223252818</c:v>
                </c:pt>
                <c:pt idx="39">
                  <c:v>0.32559618139128726</c:v>
                </c:pt>
                <c:pt idx="40">
                  <c:v>0.31104426645150207</c:v>
                </c:pt>
                <c:pt idx="41">
                  <c:v>0.33584368293582006</c:v>
                </c:pt>
                <c:pt idx="42">
                  <c:v>0.34324313234158116</c:v>
                </c:pt>
                <c:pt idx="43">
                  <c:v>0.35941301609971277</c:v>
                </c:pt>
                <c:pt idx="44">
                  <c:v>0.36097410177576783</c:v>
                </c:pt>
                <c:pt idx="45">
                  <c:v>0.35764068112296749</c:v>
                </c:pt>
                <c:pt idx="46">
                  <c:v>0.3806255615661065</c:v>
                </c:pt>
                <c:pt idx="47">
                  <c:v>0.39047879084317239</c:v>
                </c:pt>
                <c:pt idx="48">
                  <c:v>0.42929725426044385</c:v>
                </c:pt>
                <c:pt idx="49">
                  <c:v>0.44712093998557578</c:v>
                </c:pt>
                <c:pt idx="50">
                  <c:v>0.47546067998906488</c:v>
                </c:pt>
                <c:pt idx="51">
                  <c:v>0.48923127152781443</c:v>
                </c:pt>
                <c:pt idx="52">
                  <c:v>0.46780575017153797</c:v>
                </c:pt>
                <c:pt idx="53">
                  <c:v>0.49661136387558019</c:v>
                </c:pt>
                <c:pt idx="54">
                  <c:v>0.52222608273842197</c:v>
                </c:pt>
                <c:pt idx="55">
                  <c:v>0.54489861360089464</c:v>
                </c:pt>
                <c:pt idx="56">
                  <c:v>0.56276785664445839</c:v>
                </c:pt>
                <c:pt idx="57">
                  <c:v>0.55329216059687047</c:v>
                </c:pt>
                <c:pt idx="58">
                  <c:v>0.53415405294433738</c:v>
                </c:pt>
                <c:pt idx="59">
                  <c:v>0.52016388882873821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69-4777-B573-810956A92665}"/>
            </c:ext>
          </c:extLst>
        </c:ser>
        <c:ser>
          <c:idx val="3"/>
          <c:order val="3"/>
          <c:tx>
            <c:strRef>
              <c:f>'همبستگی و بتا'!$I$1</c:f>
              <c:strCache>
                <c:ptCount val="1"/>
                <c:pt idx="0">
                  <c:v>بازدهی تجمعی شاخص گروهی سهام در آن قرار دارد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2322344322344325E-2"/>
                  <c:y val="7.43396027502831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'همبستگی و بتا'!$A$2:$A$61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'همبستگی و بتا'!$I$2:$I$61</c:f>
              <c:numCache>
                <c:formatCode>0.00E+00</c:formatCode>
                <c:ptCount val="60"/>
                <c:pt idx="0">
                  <c:v>0</c:v>
                </c:pt>
                <c:pt idx="1">
                  <c:v>3.2732052683637877E-3</c:v>
                </c:pt>
                <c:pt idx="2">
                  <c:v>4.3304454175449132E-3</c:v>
                </c:pt>
                <c:pt idx="3">
                  <c:v>1.1661757213732502E-2</c:v>
                </c:pt>
                <c:pt idx="4">
                  <c:v>2.0287243241538598E-2</c:v>
                </c:pt>
                <c:pt idx="5">
                  <c:v>2.9750895229128715E-2</c:v>
                </c:pt>
                <c:pt idx="6">
                  <c:v>3.8639391039153703E-2</c:v>
                </c:pt>
                <c:pt idx="7">
                  <c:v>4.7324343904342821E-2</c:v>
                </c:pt>
                <c:pt idx="8">
                  <c:v>5.6490113031251322E-2</c:v>
                </c:pt>
                <c:pt idx="9">
                  <c:v>5.2879249684282419E-2</c:v>
                </c:pt>
                <c:pt idx="10">
                  <c:v>6.9825995538657704E-2</c:v>
                </c:pt>
                <c:pt idx="11">
                  <c:v>7.5453624952886433E-2</c:v>
                </c:pt>
                <c:pt idx="12">
                  <c:v>9.1650425435832406E-2</c:v>
                </c:pt>
                <c:pt idx="13">
                  <c:v>9.7668259134512991E-2</c:v>
                </c:pt>
                <c:pt idx="14">
                  <c:v>0.11793150715926705</c:v>
                </c:pt>
                <c:pt idx="15">
                  <c:v>7.4482562707587865E-2</c:v>
                </c:pt>
                <c:pt idx="16">
                  <c:v>7.3922874196934121E-2</c:v>
                </c:pt>
                <c:pt idx="17">
                  <c:v>5.6066379990683896E-2</c:v>
                </c:pt>
                <c:pt idx="18">
                  <c:v>4.2203217845931278E-2</c:v>
                </c:pt>
                <c:pt idx="19">
                  <c:v>5.9261653457994071E-2</c:v>
                </c:pt>
                <c:pt idx="20">
                  <c:v>0.1031315188921908</c:v>
                </c:pt>
                <c:pt idx="21">
                  <c:v>0.14697110345825487</c:v>
                </c:pt>
                <c:pt idx="22">
                  <c:v>0.15479151323306203</c:v>
                </c:pt>
                <c:pt idx="23">
                  <c:v>0.16190482817214275</c:v>
                </c:pt>
                <c:pt idx="24">
                  <c:v>0.1866116911896476</c:v>
                </c:pt>
                <c:pt idx="25">
                  <c:v>0.188065084972593</c:v>
                </c:pt>
                <c:pt idx="26">
                  <c:v>0.18369498576538423</c:v>
                </c:pt>
                <c:pt idx="27">
                  <c:v>0.17382318322319112</c:v>
                </c:pt>
                <c:pt idx="28">
                  <c:v>0.18663341382931498</c:v>
                </c:pt>
                <c:pt idx="29">
                  <c:v>0.20096840683266687</c:v>
                </c:pt>
                <c:pt idx="30">
                  <c:v>0.20396813413018527</c:v>
                </c:pt>
                <c:pt idx="31">
                  <c:v>0.20884077377875815</c:v>
                </c:pt>
                <c:pt idx="32">
                  <c:v>0.22282810480606965</c:v>
                </c:pt>
                <c:pt idx="33">
                  <c:v>0.22011265420608064</c:v>
                </c:pt>
                <c:pt idx="34">
                  <c:v>0.22475303152200665</c:v>
                </c:pt>
                <c:pt idx="35">
                  <c:v>0.24877467188671781</c:v>
                </c:pt>
                <c:pt idx="36">
                  <c:v>0.24898885488058811</c:v>
                </c:pt>
                <c:pt idx="37">
                  <c:v>0.25981552616989756</c:v>
                </c:pt>
                <c:pt idx="38">
                  <c:v>0.27575927665852484</c:v>
                </c:pt>
                <c:pt idx="39">
                  <c:v>0.28072153223826968</c:v>
                </c:pt>
                <c:pt idx="40">
                  <c:v>0.2646386352913277</c:v>
                </c:pt>
                <c:pt idx="41">
                  <c:v>0.29144562147611464</c:v>
                </c:pt>
                <c:pt idx="42">
                  <c:v>0.30094912630610532</c:v>
                </c:pt>
                <c:pt idx="43">
                  <c:v>0.32690978448956159</c:v>
                </c:pt>
                <c:pt idx="44">
                  <c:v>0.33659315114733651</c:v>
                </c:pt>
                <c:pt idx="45">
                  <c:v>0.32725048137891594</c:v>
                </c:pt>
                <c:pt idx="46">
                  <c:v>0.34121256474076661</c:v>
                </c:pt>
                <c:pt idx="47">
                  <c:v>0.35089287477137399</c:v>
                </c:pt>
                <c:pt idx="48">
                  <c:v>0.38661720475288597</c:v>
                </c:pt>
                <c:pt idx="49">
                  <c:v>0.39640150935725149</c:v>
                </c:pt>
                <c:pt idx="50">
                  <c:v>0.42434808926807105</c:v>
                </c:pt>
                <c:pt idx="51">
                  <c:v>0.4355603131437395</c:v>
                </c:pt>
                <c:pt idx="52">
                  <c:v>0.40094798688922029</c:v>
                </c:pt>
                <c:pt idx="53">
                  <c:v>0.42030784209665673</c:v>
                </c:pt>
                <c:pt idx="54">
                  <c:v>0.44748814919491009</c:v>
                </c:pt>
                <c:pt idx="55">
                  <c:v>0.47579735834112363</c:v>
                </c:pt>
                <c:pt idx="56">
                  <c:v>0.49546912161900286</c:v>
                </c:pt>
                <c:pt idx="57">
                  <c:v>0.48303509299372827</c:v>
                </c:pt>
                <c:pt idx="58">
                  <c:v>0.4569463572581568</c:v>
                </c:pt>
                <c:pt idx="59">
                  <c:v>0.42690338229221847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69-4777-B573-810956A92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511104"/>
        <c:axId val="497509928"/>
      </c:scatterChart>
      <c:valAx>
        <c:axId val="497511104"/>
        <c:scaling>
          <c:orientation val="minMax"/>
          <c:max val="6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09928"/>
        <c:crosses val="autoZero"/>
        <c:crossBetween val="midCat"/>
        <c:majorUnit val="3"/>
        <c:minorUnit val="1"/>
      </c:valAx>
      <c:valAx>
        <c:axId val="49750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بازدهی تجمعی نماد و شاخص ها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1110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260015574976212E-2"/>
          <c:y val="0.89849939810167845"/>
          <c:w val="0.98873998442502375"/>
          <c:h val="8.9402302741360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'همبستگی و بتا'!$X$1</c:f>
              <c:strCache>
                <c:ptCount val="1"/>
                <c:pt idx="0">
                  <c:v>یکه کردن نماد</c:v>
                </c:pt>
              </c:strCache>
            </c:strRef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-0.11041077557612991"/>
                  <c:y val="4.02362121463748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'همبستگی و بتا'!$A$2:$A$61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'همبستگی و بتا'!$X$2:$X$61</c:f>
              <c:numCache>
                <c:formatCode>0.00E+00</c:formatCode>
                <c:ptCount val="60"/>
                <c:pt idx="0">
                  <c:v>8.1043980044228081E-2</c:v>
                </c:pt>
                <c:pt idx="1">
                  <c:v>8.1910384916125345E-2</c:v>
                </c:pt>
                <c:pt idx="2">
                  <c:v>8.0181177687390678E-2</c:v>
                </c:pt>
                <c:pt idx="3">
                  <c:v>8.3192880277436904E-2</c:v>
                </c:pt>
                <c:pt idx="4">
                  <c:v>8.5936195495523254E-2</c:v>
                </c:pt>
                <c:pt idx="5">
                  <c:v>8.6503591617451817E-2</c:v>
                </c:pt>
                <c:pt idx="6">
                  <c:v>8.6622474614427319E-2</c:v>
                </c:pt>
                <c:pt idx="7">
                  <c:v>8.5006746610078371E-2</c:v>
                </c:pt>
                <c:pt idx="8">
                  <c:v>8.6699928688214398E-2</c:v>
                </c:pt>
                <c:pt idx="9">
                  <c:v>8.5790293635598758E-2</c:v>
                </c:pt>
                <c:pt idx="10">
                  <c:v>8.9682811157781706E-2</c:v>
                </c:pt>
                <c:pt idx="11">
                  <c:v>9.068791285948373E-2</c:v>
                </c:pt>
                <c:pt idx="12">
                  <c:v>9.1921774267487114E-2</c:v>
                </c:pt>
                <c:pt idx="13">
                  <c:v>9.0801392083869434E-2</c:v>
                </c:pt>
                <c:pt idx="14">
                  <c:v>9.069691914713339E-2</c:v>
                </c:pt>
                <c:pt idx="15">
                  <c:v>8.7159249358347041E-2</c:v>
                </c:pt>
                <c:pt idx="16">
                  <c:v>8.5584950277186517E-2</c:v>
                </c:pt>
                <c:pt idx="17">
                  <c:v>8.7296144930621877E-2</c:v>
                </c:pt>
                <c:pt idx="18">
                  <c:v>9.1660591925646975E-2</c:v>
                </c:pt>
                <c:pt idx="19">
                  <c:v>9.6242991081793849E-2</c:v>
                </c:pt>
                <c:pt idx="20">
                  <c:v>0.10072091730120467</c:v>
                </c:pt>
                <c:pt idx="21">
                  <c:v>0.10448734679629237</c:v>
                </c:pt>
                <c:pt idx="22">
                  <c:v>0.10807365053838688</c:v>
                </c:pt>
                <c:pt idx="23">
                  <c:v>0.10768277765439165</c:v>
                </c:pt>
                <c:pt idx="24">
                  <c:v>0.10737476261677328</c:v>
                </c:pt>
                <c:pt idx="25">
                  <c:v>0.1063948785204903</c:v>
                </c:pt>
                <c:pt idx="26">
                  <c:v>0.10494666746642502</c:v>
                </c:pt>
                <c:pt idx="27">
                  <c:v>0.10282838861122505</c:v>
                </c:pt>
                <c:pt idx="28">
                  <c:v>0.10470710021494407</c:v>
                </c:pt>
                <c:pt idx="29">
                  <c:v>0.10361373689427537</c:v>
                </c:pt>
                <c:pt idx="30">
                  <c:v>0.10413249906289578</c:v>
                </c:pt>
                <c:pt idx="31">
                  <c:v>0.10126309581771419</c:v>
                </c:pt>
                <c:pt idx="32">
                  <c:v>0.100818185207821</c:v>
                </c:pt>
                <c:pt idx="33">
                  <c:v>0.10432163110353863</c:v>
                </c:pt>
                <c:pt idx="34">
                  <c:v>0.10285000370158423</c:v>
                </c:pt>
                <c:pt idx="35">
                  <c:v>0.10376144001172979</c:v>
                </c:pt>
                <c:pt idx="36">
                  <c:v>0.10555729376907196</c:v>
                </c:pt>
                <c:pt idx="37">
                  <c:v>0.10424958080234135</c:v>
                </c:pt>
                <c:pt idx="38">
                  <c:v>0.10453237823454067</c:v>
                </c:pt>
                <c:pt idx="39">
                  <c:v>0.10883558247354809</c:v>
                </c:pt>
                <c:pt idx="40">
                  <c:v>0.11427357895641264</c:v>
                </c:pt>
                <c:pt idx="41">
                  <c:v>0.11998356532629691</c:v>
                </c:pt>
                <c:pt idx="42">
                  <c:v>0.12500367006221724</c:v>
                </c:pt>
                <c:pt idx="43">
                  <c:v>0.1243191922008431</c:v>
                </c:pt>
                <c:pt idx="44">
                  <c:v>0.12568274415100159</c:v>
                </c:pt>
                <c:pt idx="45">
                  <c:v>0.12811264055887978</c:v>
                </c:pt>
                <c:pt idx="46">
                  <c:v>0.13382803070135385</c:v>
                </c:pt>
                <c:pt idx="47">
                  <c:v>0.1367172477793647</c:v>
                </c:pt>
                <c:pt idx="48">
                  <c:v>0.13725402252328442</c:v>
                </c:pt>
                <c:pt idx="49">
                  <c:v>0.13372175650708787</c:v>
                </c:pt>
                <c:pt idx="50">
                  <c:v>0.12707871873669885</c:v>
                </c:pt>
                <c:pt idx="51">
                  <c:v>0.12986166162044371</c:v>
                </c:pt>
                <c:pt idx="52">
                  <c:v>0.1341468532841518</c:v>
                </c:pt>
                <c:pt idx="53">
                  <c:v>0.13736209797508034</c:v>
                </c:pt>
                <c:pt idx="54">
                  <c:v>0.13634258621313886</c:v>
                </c:pt>
                <c:pt idx="55">
                  <c:v>0.12990489180116208</c:v>
                </c:pt>
                <c:pt idx="56">
                  <c:v>0.12589709379706349</c:v>
                </c:pt>
                <c:pt idx="57">
                  <c:v>0.11960349998748127</c:v>
                </c:pt>
                <c:pt idx="58">
                  <c:v>0.11481215495786229</c:v>
                </c:pt>
                <c:pt idx="59">
                  <c:v>0.10907154720996917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7F-44AB-B7E7-6EC7BDA44DED}"/>
            </c:ext>
          </c:extLst>
        </c:ser>
        <c:ser>
          <c:idx val="1"/>
          <c:order val="1"/>
          <c:tx>
            <c:strRef>
              <c:f>'همبستگی و بتا'!$Y$1</c:f>
              <c:strCache>
                <c:ptCount val="1"/>
                <c:pt idx="0">
                  <c:v>یکه کردن شاخص کل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33113553113553"/>
                  <c:y val="5.94834629587232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'همبستگی و بتا'!$A$2:$A$61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'همبستگی و بتا'!$Y$2:$Y$61</c:f>
              <c:numCache>
                <c:formatCode>0.00E+00</c:formatCode>
                <c:ptCount val="60"/>
                <c:pt idx="0">
                  <c:v>0.61835693971389194</c:v>
                </c:pt>
                <c:pt idx="1">
                  <c:v>0.61983991503828484</c:v>
                </c:pt>
                <c:pt idx="2">
                  <c:v>0.6205108834681845</c:v>
                </c:pt>
                <c:pt idx="3">
                  <c:v>0.62480346028776534</c:v>
                </c:pt>
                <c:pt idx="4">
                  <c:v>0.63102122115533743</c:v>
                </c:pt>
                <c:pt idx="5">
                  <c:v>0.63763922144606044</c:v>
                </c:pt>
                <c:pt idx="6">
                  <c:v>0.64254656746060701</c:v>
                </c:pt>
                <c:pt idx="7">
                  <c:v>0.64730981287275902</c:v>
                </c:pt>
                <c:pt idx="8">
                  <c:v>0.65252229191287614</c:v>
                </c:pt>
                <c:pt idx="9">
                  <c:v>0.65041319947107878</c:v>
                </c:pt>
                <c:pt idx="10">
                  <c:v>0.66220008836969446</c:v>
                </c:pt>
                <c:pt idx="11">
                  <c:v>0.66597876641598575</c:v>
                </c:pt>
                <c:pt idx="12">
                  <c:v>0.6764581224736238</c:v>
                </c:pt>
                <c:pt idx="13">
                  <c:v>0.67909678462922107</c:v>
                </c:pt>
                <c:pt idx="14">
                  <c:v>0.6918622967438488</c:v>
                </c:pt>
                <c:pt idx="15">
                  <c:v>0.66166349375152778</c:v>
                </c:pt>
                <c:pt idx="16">
                  <c:v>0.65892792394082011</c:v>
                </c:pt>
                <c:pt idx="17">
                  <c:v>0.64636901606487562</c:v>
                </c:pt>
                <c:pt idx="18">
                  <c:v>0.63729878377290328</c:v>
                </c:pt>
                <c:pt idx="19">
                  <c:v>0.64810578857523604</c:v>
                </c:pt>
                <c:pt idx="20">
                  <c:v>0.67664275137044183</c:v>
                </c:pt>
                <c:pt idx="21">
                  <c:v>0.70616212002247258</c:v>
                </c:pt>
                <c:pt idx="22">
                  <c:v>0.71314055194493486</c:v>
                </c:pt>
                <c:pt idx="23">
                  <c:v>0.71950385442092546</c:v>
                </c:pt>
                <c:pt idx="24">
                  <c:v>0.73844804011472576</c:v>
                </c:pt>
                <c:pt idx="25">
                  <c:v>0.73976656062663593</c:v>
                </c:pt>
                <c:pt idx="26">
                  <c:v>0.73816938557484524</c:v>
                </c:pt>
                <c:pt idx="27">
                  <c:v>0.73132658834438691</c:v>
                </c:pt>
                <c:pt idx="28">
                  <c:v>0.74069781076961072</c:v>
                </c:pt>
                <c:pt idx="29">
                  <c:v>0.75112781237092874</c:v>
                </c:pt>
                <c:pt idx="30">
                  <c:v>0.75348854048965752</c:v>
                </c:pt>
                <c:pt idx="31">
                  <c:v>0.75773140260141225</c:v>
                </c:pt>
                <c:pt idx="32">
                  <c:v>0.76938806058061382</c:v>
                </c:pt>
                <c:pt idx="33">
                  <c:v>0.76766876026829378</c:v>
                </c:pt>
                <c:pt idx="34">
                  <c:v>0.77132909569486852</c:v>
                </c:pt>
                <c:pt idx="35">
                  <c:v>0.79053626498803886</c:v>
                </c:pt>
                <c:pt idx="36">
                  <c:v>0.79291194354426597</c:v>
                </c:pt>
                <c:pt idx="37">
                  <c:v>0.80317010517722842</c:v>
                </c:pt>
                <c:pt idx="38">
                  <c:v>0.81568560274670165</c:v>
                </c:pt>
                <c:pt idx="39">
                  <c:v>0.8188849963713668</c:v>
                </c:pt>
                <c:pt idx="40">
                  <c:v>0.80543572689837695</c:v>
                </c:pt>
                <c:pt idx="41">
                  <c:v>0.82692058633814614</c:v>
                </c:pt>
                <c:pt idx="42">
                  <c:v>0.83216008424121224</c:v>
                </c:pt>
                <c:pt idx="43">
                  <c:v>0.8515443171495749</c:v>
                </c:pt>
                <c:pt idx="44">
                  <c:v>0.85886246624218243</c:v>
                </c:pt>
                <c:pt idx="45">
                  <c:v>0.85041042553448276</c:v>
                </c:pt>
                <c:pt idx="46">
                  <c:v>0.86236230962284022</c:v>
                </c:pt>
                <c:pt idx="47">
                  <c:v>0.86784227540615211</c:v>
                </c:pt>
                <c:pt idx="48">
                  <c:v>0.89865548734193301</c:v>
                </c:pt>
                <c:pt idx="49">
                  <c:v>0.90735790284629314</c:v>
                </c:pt>
                <c:pt idx="50">
                  <c:v>0.93397508536609752</c:v>
                </c:pt>
                <c:pt idx="51">
                  <c:v>0.94359055831238026</c:v>
                </c:pt>
                <c:pt idx="52">
                  <c:v>0.91107785989710866</c:v>
                </c:pt>
                <c:pt idx="53">
                  <c:v>0.92869848155791501</c:v>
                </c:pt>
                <c:pt idx="54">
                  <c:v>0.95345784706134751</c:v>
                </c:pt>
                <c:pt idx="55">
                  <c:v>0.98031225519784382</c:v>
                </c:pt>
                <c:pt idx="56">
                  <c:v>1</c:v>
                </c:pt>
                <c:pt idx="57">
                  <c:v>0.98922379670142913</c:v>
                </c:pt>
                <c:pt idx="58">
                  <c:v>0.96255311683298594</c:v>
                </c:pt>
                <c:pt idx="59">
                  <c:v>0.936569706775088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7F-44AB-B7E7-6EC7BDA44DED}"/>
            </c:ext>
          </c:extLst>
        </c:ser>
        <c:ser>
          <c:idx val="2"/>
          <c:order val="2"/>
          <c:tx>
            <c:strRef>
              <c:f>'همبستگی و بتا'!$Z$1</c:f>
              <c:strCache>
                <c:ptCount val="1"/>
                <c:pt idx="0">
                  <c:v>یکه کردن شاخص کل هم وزن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4483516483516484E-2"/>
                  <c:y val="4.50096421221495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'همبستگی و بتا'!$A$2:$A$61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'همبستگی و بتا'!$Z$2:$Z$61</c:f>
              <c:numCache>
                <c:formatCode>0.00E+00</c:formatCode>
                <c:ptCount val="60"/>
                <c:pt idx="0">
                  <c:v>0.19306418583069584</c:v>
                </c:pt>
                <c:pt idx="1">
                  <c:v>0.19405127495709856</c:v>
                </c:pt>
                <c:pt idx="2">
                  <c:v>0.19561296523554955</c:v>
                </c:pt>
                <c:pt idx="3">
                  <c:v>0.19857603387228762</c:v>
                </c:pt>
                <c:pt idx="4">
                  <c:v>0.19977026761463249</c:v>
                </c:pt>
                <c:pt idx="5">
                  <c:v>0.20154450628161547</c:v>
                </c:pt>
                <c:pt idx="6">
                  <c:v>0.20328271979799981</c:v>
                </c:pt>
                <c:pt idx="7">
                  <c:v>0.20282880290045693</c:v>
                </c:pt>
                <c:pt idx="8">
                  <c:v>0.20458863150720044</c:v>
                </c:pt>
                <c:pt idx="9">
                  <c:v>0.20588013315616166</c:v>
                </c:pt>
                <c:pt idx="10">
                  <c:v>0.21104613975200648</c:v>
                </c:pt>
                <c:pt idx="11">
                  <c:v>0.21285460231205816</c:v>
                </c:pt>
                <c:pt idx="12">
                  <c:v>0.21679755504507919</c:v>
                </c:pt>
                <c:pt idx="13">
                  <c:v>0.21609686586593566</c:v>
                </c:pt>
                <c:pt idx="14">
                  <c:v>0.21883117479637235</c:v>
                </c:pt>
                <c:pt idx="15">
                  <c:v>0.21018874116775887</c:v>
                </c:pt>
                <c:pt idx="16">
                  <c:v>0.20381409076932971</c:v>
                </c:pt>
                <c:pt idx="17">
                  <c:v>0.19741782528054139</c:v>
                </c:pt>
                <c:pt idx="18">
                  <c:v>0.19484743078532848</c:v>
                </c:pt>
                <c:pt idx="19">
                  <c:v>0.19809149559673592</c:v>
                </c:pt>
                <c:pt idx="20">
                  <c:v>0.20634305634135416</c:v>
                </c:pt>
                <c:pt idx="21">
                  <c:v>0.21421275048962685</c:v>
                </c:pt>
                <c:pt idx="22">
                  <c:v>0.21721184427696355</c:v>
                </c:pt>
                <c:pt idx="23">
                  <c:v>0.21978223877217642</c:v>
                </c:pt>
                <c:pt idx="24">
                  <c:v>0.22698366637684436</c:v>
                </c:pt>
                <c:pt idx="25">
                  <c:v>0.22837603844748175</c:v>
                </c:pt>
                <c:pt idx="26">
                  <c:v>0.23072307700898306</c:v>
                </c:pt>
                <c:pt idx="27">
                  <c:v>0.23311874952379255</c:v>
                </c:pt>
                <c:pt idx="28">
                  <c:v>0.2374958053215272</c:v>
                </c:pt>
                <c:pt idx="29">
                  <c:v>0.244144246864506</c:v>
                </c:pt>
                <c:pt idx="30">
                  <c:v>0.24737210035814405</c:v>
                </c:pt>
                <c:pt idx="31">
                  <c:v>0.24899683465014266</c:v>
                </c:pt>
                <c:pt idx="32">
                  <c:v>0.2521058051468052</c:v>
                </c:pt>
                <c:pt idx="33">
                  <c:v>0.25253810695398887</c:v>
                </c:pt>
                <c:pt idx="34">
                  <c:v>0.25552999571120583</c:v>
                </c:pt>
                <c:pt idx="35">
                  <c:v>0.26215862342135543</c:v>
                </c:pt>
                <c:pt idx="36">
                  <c:v>0.26127060345909897</c:v>
                </c:pt>
                <c:pt idx="37">
                  <c:v>0.26401211741965536</c:v>
                </c:pt>
                <c:pt idx="38">
                  <c:v>0.26499380277346829</c:v>
                </c:pt>
                <c:pt idx="39">
                  <c:v>0.26563505045412406</c:v>
                </c:pt>
                <c:pt idx="40">
                  <c:v>0.26176955179489009</c:v>
                </c:pt>
                <c:pt idx="41">
                  <c:v>0.26826128393276483</c:v>
                </c:pt>
                <c:pt idx="42">
                  <c:v>0.27024626973074983</c:v>
                </c:pt>
                <c:pt idx="43">
                  <c:v>0.27461612049836476</c:v>
                </c:pt>
                <c:pt idx="44">
                  <c:v>0.27504481979048856</c:v>
                </c:pt>
                <c:pt idx="45">
                  <c:v>0.27412797970775321</c:v>
                </c:pt>
                <c:pt idx="46">
                  <c:v>0.28042877854745513</c:v>
                </c:pt>
                <c:pt idx="47">
                  <c:v>0.28319190759837076</c:v>
                </c:pt>
                <c:pt idx="48">
                  <c:v>0.29418498230354539</c:v>
                </c:pt>
                <c:pt idx="49">
                  <c:v>0.29942844297317733</c:v>
                </c:pt>
                <c:pt idx="50">
                  <c:v>0.30791416719668674</c:v>
                </c:pt>
                <c:pt idx="51">
                  <c:v>0.31215432742214655</c:v>
                </c:pt>
                <c:pt idx="52">
                  <c:v>0.3054662582135092</c:v>
                </c:pt>
                <c:pt idx="53">
                  <c:v>0.31426540124722674</c:v>
                </c:pt>
                <c:pt idx="54">
                  <c:v>0.32231522114849265</c:v>
                </c:pt>
                <c:pt idx="55">
                  <c:v>0.32962292294742657</c:v>
                </c:pt>
                <c:pt idx="56">
                  <c:v>0.335513035070304</c:v>
                </c:pt>
                <c:pt idx="57">
                  <c:v>0.3323338155299741</c:v>
                </c:pt>
                <c:pt idx="58">
                  <c:v>0.32597357519178444</c:v>
                </c:pt>
                <c:pt idx="59">
                  <c:v>0.32141315137750276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7F-44AB-B7E7-6EC7BDA44DED}"/>
            </c:ext>
          </c:extLst>
        </c:ser>
        <c:ser>
          <c:idx val="3"/>
          <c:order val="3"/>
          <c:tx>
            <c:strRef>
              <c:f>'همبستگی و بتا'!$AA$1</c:f>
              <c:strCache>
                <c:ptCount val="1"/>
                <c:pt idx="0">
                  <c:v>یکه کردن شاخص گروهی سهام در آن قرار دارد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2322344322344325E-2"/>
                  <c:y val="7.43396027502831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'همبستگی و بتا'!$A$2:$A$61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'همبستگی و بتا'!$AA$2:$AA$61</c:f>
              <c:numCache>
                <c:formatCode>0.00E+00</c:formatCode>
                <c:ptCount val="60"/>
                <c:pt idx="0">
                  <c:v>0.55360569427940431</c:v>
                </c:pt>
                <c:pt idx="1">
                  <c:v>0.55541775935451576</c:v>
                </c:pt>
                <c:pt idx="2">
                  <c:v>0.55600496930927368</c:v>
                </c:pt>
                <c:pt idx="3">
                  <c:v>0.56008121509950959</c:v>
                </c:pt>
                <c:pt idx="4">
                  <c:v>0.56491218779478714</c:v>
                </c:pt>
                <c:pt idx="5">
                  <c:v>0.5702583201436251</c:v>
                </c:pt>
                <c:pt idx="6">
                  <c:v>0.57532705883285362</c:v>
                </c:pt>
                <c:pt idx="7">
                  <c:v>0.58032374722088487</c:v>
                </c:pt>
                <c:pt idx="8">
                  <c:v>0.58564286070677385</c:v>
                </c:pt>
                <c:pt idx="9">
                  <c:v>0.58352818436663378</c:v>
                </c:pt>
                <c:pt idx="10">
                  <c:v>0.59341708820596017</c:v>
                </c:pt>
                <c:pt idx="11">
                  <c:v>0.59675661966645399</c:v>
                </c:pt>
                <c:pt idx="12">
                  <c:v>0.60642216757206879</c:v>
                </c:pt>
                <c:pt idx="13">
                  <c:v>0.61007151532771098</c:v>
                </c:pt>
                <c:pt idx="14">
                  <c:v>0.62243354575563392</c:v>
                </c:pt>
                <c:pt idx="15">
                  <c:v>0.59538946520123559</c:v>
                </c:pt>
                <c:pt idx="16">
                  <c:v>0.59505623255819828</c:v>
                </c:pt>
                <c:pt idx="17">
                  <c:v>0.58443061438912969</c:v>
                </c:pt>
                <c:pt idx="18">
                  <c:v>0.57632855801949578</c:v>
                </c:pt>
                <c:pt idx="19">
                  <c:v>0.5861598216178644</c:v>
                </c:pt>
                <c:pt idx="20">
                  <c:v>0.61187457411517276</c:v>
                </c:pt>
                <c:pt idx="21">
                  <c:v>0.63869890125091933</c:v>
                </c:pt>
                <c:pt idx="22">
                  <c:v>0.64369378838142066</c:v>
                </c:pt>
                <c:pt idx="23">
                  <c:v>0.64827258502250762</c:v>
                </c:pt>
                <c:pt idx="24">
                  <c:v>0.66428936697866259</c:v>
                </c:pt>
                <c:pt idx="25">
                  <c:v>0.66525484101470611</c:v>
                </c:pt>
                <c:pt idx="26">
                  <c:v>0.66234761136139586</c:v>
                </c:pt>
                <c:pt idx="27">
                  <c:v>0.65580904652774297</c:v>
                </c:pt>
                <c:pt idx="28">
                  <c:v>0.66421011164734556</c:v>
                </c:pt>
                <c:pt idx="29">
                  <c:v>0.6737315589505658</c:v>
                </c:pt>
                <c:pt idx="30">
                  <c:v>0.67575256989914945</c:v>
                </c:pt>
                <c:pt idx="31">
                  <c:v>0.67904526866386505</c:v>
                </c:pt>
                <c:pt idx="32">
                  <c:v>0.68854329961919625</c:v>
                </c:pt>
                <c:pt idx="33">
                  <c:v>0.6866735943031268</c:v>
                </c:pt>
                <c:pt idx="34">
                  <c:v>0.68986001887357651</c:v>
                </c:pt>
                <c:pt idx="35">
                  <c:v>0.70643158814895035</c:v>
                </c:pt>
                <c:pt idx="36">
                  <c:v>0.70658289378146466</c:v>
                </c:pt>
                <c:pt idx="37">
                  <c:v>0.71423283451108566</c:v>
                </c:pt>
                <c:pt idx="38">
                  <c:v>0.72562038461531542</c:v>
                </c:pt>
                <c:pt idx="39">
                  <c:v>0.72922109841764937</c:v>
                </c:pt>
                <c:pt idx="40">
                  <c:v>0.71749311064026244</c:v>
                </c:pt>
                <c:pt idx="41">
                  <c:v>0.73672693854487581</c:v>
                </c:pt>
                <c:pt idx="42">
                  <c:v>0.74372842656372129</c:v>
                </c:pt>
                <c:pt idx="43">
                  <c:v>0.76303610602706184</c:v>
                </c:pt>
                <c:pt idx="44">
                  <c:v>0.77042486441484259</c:v>
                </c:pt>
                <c:pt idx="45">
                  <c:v>0.76322703932523461</c:v>
                </c:pt>
                <c:pt idx="46">
                  <c:v>0.77388327887231201</c:v>
                </c:pt>
                <c:pt idx="47">
                  <c:v>0.78137470893929895</c:v>
                </c:pt>
                <c:pt idx="48">
                  <c:v>0.80928879688065436</c:v>
                </c:pt>
                <c:pt idx="49">
                  <c:v>0.81720712498223513</c:v>
                </c:pt>
                <c:pt idx="50">
                  <c:v>0.84004526920424227</c:v>
                </c:pt>
                <c:pt idx="51">
                  <c:v>0.84946404482825644</c:v>
                </c:pt>
                <c:pt idx="52">
                  <c:v>0.82006211816717733</c:v>
                </c:pt>
                <c:pt idx="53">
                  <c:v>0.83593840203599745</c:v>
                </c:pt>
                <c:pt idx="54">
                  <c:v>0.85865946451855901</c:v>
                </c:pt>
                <c:pt idx="55">
                  <c:v>0.88296743488499063</c:v>
                </c:pt>
                <c:pt idx="56">
                  <c:v>0.90033696124612439</c:v>
                </c:pt>
                <c:pt idx="57">
                  <c:v>0.88914214569759742</c:v>
                </c:pt>
                <c:pt idx="58">
                  <c:v>0.86594555122713379</c:v>
                </c:pt>
                <c:pt idx="59">
                  <c:v>0.83992997070975139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7F-44AB-B7E7-6EC7BDA44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513456"/>
        <c:axId val="499403008"/>
      </c:scatterChart>
      <c:valAx>
        <c:axId val="497513456"/>
        <c:scaling>
          <c:orientation val="minMax"/>
          <c:max val="6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403008"/>
        <c:crosses val="autoZero"/>
        <c:crossBetween val="midCat"/>
        <c:majorUnit val="10"/>
        <c:minorUnit val="1"/>
      </c:valAx>
      <c:valAx>
        <c:axId val="4994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یکه</a:t>
                </a:r>
                <a:r>
                  <a:rPr lang="fa-IR" sz="1400" b="1" baseline="0"/>
                  <a:t> کردن نماد و شاخص ها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1345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260015574976212E-2"/>
          <c:y val="0.89849939810167845"/>
          <c:w val="0.98873998442502375"/>
          <c:h val="8.9402302741360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'حجم براساس قیمت'!$H$1</c:f>
              <c:strCache>
                <c:ptCount val="1"/>
                <c:pt idx="0">
                  <c:v>حجم خرید حقیقی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'حجم براساس قیمت'!$G$2:$G$31</c:f>
              <c:numCache>
                <c:formatCode>0.00E+00</c:formatCode>
                <c:ptCount val="30"/>
                <c:pt idx="0">
                  <c:v>45043.083333333328</c:v>
                </c:pt>
                <c:pt idx="1">
                  <c:v>46101.25</c:v>
                </c:pt>
                <c:pt idx="2">
                  <c:v>47159.416666666657</c:v>
                </c:pt>
                <c:pt idx="3">
                  <c:v>48217.583333333328</c:v>
                </c:pt>
                <c:pt idx="4">
                  <c:v>49275.749999999985</c:v>
                </c:pt>
                <c:pt idx="5">
                  <c:v>50333.916666666657</c:v>
                </c:pt>
                <c:pt idx="6">
                  <c:v>51392.083333333314</c:v>
                </c:pt>
                <c:pt idx="7">
                  <c:v>52450.249999999985</c:v>
                </c:pt>
                <c:pt idx="8">
                  <c:v>53508.416666666642</c:v>
                </c:pt>
                <c:pt idx="9">
                  <c:v>54566.583333333314</c:v>
                </c:pt>
                <c:pt idx="10">
                  <c:v>55624.749999999971</c:v>
                </c:pt>
                <c:pt idx="11">
                  <c:v>56682.916666666642</c:v>
                </c:pt>
                <c:pt idx="12">
                  <c:v>57741.083333333299</c:v>
                </c:pt>
                <c:pt idx="13">
                  <c:v>58799.249999999971</c:v>
                </c:pt>
                <c:pt idx="14">
                  <c:v>59857.416666666628</c:v>
                </c:pt>
                <c:pt idx="15">
                  <c:v>60915.583333333299</c:v>
                </c:pt>
                <c:pt idx="16">
                  <c:v>61973.749999999956</c:v>
                </c:pt>
                <c:pt idx="17">
                  <c:v>63031.916666666628</c:v>
                </c:pt>
                <c:pt idx="18">
                  <c:v>64090.083333333285</c:v>
                </c:pt>
                <c:pt idx="19">
                  <c:v>65148.249999999956</c:v>
                </c:pt>
                <c:pt idx="20">
                  <c:v>66206.416666666628</c:v>
                </c:pt>
                <c:pt idx="21">
                  <c:v>67264.583333333285</c:v>
                </c:pt>
                <c:pt idx="22">
                  <c:v>68322.749999999971</c:v>
                </c:pt>
                <c:pt idx="23">
                  <c:v>69380.916666666628</c:v>
                </c:pt>
                <c:pt idx="24">
                  <c:v>70439.083333333314</c:v>
                </c:pt>
                <c:pt idx="25">
                  <c:v>71497.249999999971</c:v>
                </c:pt>
                <c:pt idx="26">
                  <c:v>72555.416666666657</c:v>
                </c:pt>
                <c:pt idx="27">
                  <c:v>73613.583333333314</c:v>
                </c:pt>
                <c:pt idx="28">
                  <c:v>74671.75</c:v>
                </c:pt>
                <c:pt idx="29">
                  <c:v>75729.916666666657</c:v>
                </c:pt>
              </c:numCache>
            </c:numRef>
          </c:cat>
          <c:val>
            <c:numRef>
              <c:f>'حجم براساس قیمت'!$H$2:$H$31</c:f>
              <c:numCache>
                <c:formatCode>0.00E+00</c:formatCode>
                <c:ptCount val="30"/>
                <c:pt idx="0">
                  <c:v>-4048000</c:v>
                </c:pt>
                <c:pt idx="1">
                  <c:v>-782000</c:v>
                </c:pt>
                <c:pt idx="2">
                  <c:v>-3522000</c:v>
                </c:pt>
                <c:pt idx="3">
                  <c:v>-5863067</c:v>
                </c:pt>
                <c:pt idx="4">
                  <c:v>-1190000</c:v>
                </c:pt>
                <c:pt idx="5">
                  <c:v>-16288000</c:v>
                </c:pt>
                <c:pt idx="6">
                  <c:v>-671197</c:v>
                </c:pt>
                <c:pt idx="7">
                  <c:v>0</c:v>
                </c:pt>
                <c:pt idx="8">
                  <c:v>1229341</c:v>
                </c:pt>
                <c:pt idx="9">
                  <c:v>0</c:v>
                </c:pt>
                <c:pt idx="10">
                  <c:v>4290000</c:v>
                </c:pt>
                <c:pt idx="11">
                  <c:v>-467000</c:v>
                </c:pt>
                <c:pt idx="12">
                  <c:v>650123</c:v>
                </c:pt>
                <c:pt idx="13">
                  <c:v>-2645000</c:v>
                </c:pt>
                <c:pt idx="14">
                  <c:v>-1736000</c:v>
                </c:pt>
                <c:pt idx="15">
                  <c:v>-409484</c:v>
                </c:pt>
                <c:pt idx="16">
                  <c:v>0</c:v>
                </c:pt>
                <c:pt idx="17">
                  <c:v>4650000</c:v>
                </c:pt>
                <c:pt idx="18">
                  <c:v>-98000</c:v>
                </c:pt>
                <c:pt idx="19">
                  <c:v>0</c:v>
                </c:pt>
                <c:pt idx="20">
                  <c:v>3954026</c:v>
                </c:pt>
                <c:pt idx="21">
                  <c:v>0</c:v>
                </c:pt>
                <c:pt idx="22">
                  <c:v>0</c:v>
                </c:pt>
                <c:pt idx="23">
                  <c:v>-3004000</c:v>
                </c:pt>
                <c:pt idx="24">
                  <c:v>-1149000</c:v>
                </c:pt>
                <c:pt idx="25">
                  <c:v>-564000</c:v>
                </c:pt>
                <c:pt idx="26">
                  <c:v>-888000</c:v>
                </c:pt>
                <c:pt idx="27">
                  <c:v>0</c:v>
                </c:pt>
                <c:pt idx="28">
                  <c:v>-493000</c:v>
                </c:pt>
                <c:pt idx="29">
                  <c:v>38541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B-4200-903C-4A952A727231}"/>
            </c:ext>
          </c:extLst>
        </c:ser>
        <c:ser>
          <c:idx val="0"/>
          <c:order val="1"/>
          <c:tx>
            <c:strRef>
              <c:f>'حجم براساس قیمت'!$I$1</c:f>
              <c:strCache>
                <c:ptCount val="1"/>
                <c:pt idx="0">
                  <c:v>حجم خرید حقوقی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'حجم براساس قیمت'!$G$2:$G$31</c:f>
              <c:numCache>
                <c:formatCode>0.00E+00</c:formatCode>
                <c:ptCount val="30"/>
                <c:pt idx="0">
                  <c:v>45043.083333333328</c:v>
                </c:pt>
                <c:pt idx="1">
                  <c:v>46101.25</c:v>
                </c:pt>
                <c:pt idx="2">
                  <c:v>47159.416666666657</c:v>
                </c:pt>
                <c:pt idx="3">
                  <c:v>48217.583333333328</c:v>
                </c:pt>
                <c:pt idx="4">
                  <c:v>49275.749999999985</c:v>
                </c:pt>
                <c:pt idx="5">
                  <c:v>50333.916666666657</c:v>
                </c:pt>
                <c:pt idx="6">
                  <c:v>51392.083333333314</c:v>
                </c:pt>
                <c:pt idx="7">
                  <c:v>52450.249999999985</c:v>
                </c:pt>
                <c:pt idx="8">
                  <c:v>53508.416666666642</c:v>
                </c:pt>
                <c:pt idx="9">
                  <c:v>54566.583333333314</c:v>
                </c:pt>
                <c:pt idx="10">
                  <c:v>55624.749999999971</c:v>
                </c:pt>
                <c:pt idx="11">
                  <c:v>56682.916666666642</c:v>
                </c:pt>
                <c:pt idx="12">
                  <c:v>57741.083333333299</c:v>
                </c:pt>
                <c:pt idx="13">
                  <c:v>58799.249999999971</c:v>
                </c:pt>
                <c:pt idx="14">
                  <c:v>59857.416666666628</c:v>
                </c:pt>
                <c:pt idx="15">
                  <c:v>60915.583333333299</c:v>
                </c:pt>
                <c:pt idx="16">
                  <c:v>61973.749999999956</c:v>
                </c:pt>
                <c:pt idx="17">
                  <c:v>63031.916666666628</c:v>
                </c:pt>
                <c:pt idx="18">
                  <c:v>64090.083333333285</c:v>
                </c:pt>
                <c:pt idx="19">
                  <c:v>65148.249999999956</c:v>
                </c:pt>
                <c:pt idx="20">
                  <c:v>66206.416666666628</c:v>
                </c:pt>
                <c:pt idx="21">
                  <c:v>67264.583333333285</c:v>
                </c:pt>
                <c:pt idx="22">
                  <c:v>68322.749999999971</c:v>
                </c:pt>
                <c:pt idx="23">
                  <c:v>69380.916666666628</c:v>
                </c:pt>
                <c:pt idx="24">
                  <c:v>70439.083333333314</c:v>
                </c:pt>
                <c:pt idx="25">
                  <c:v>71497.249999999971</c:v>
                </c:pt>
                <c:pt idx="26">
                  <c:v>72555.416666666657</c:v>
                </c:pt>
                <c:pt idx="27">
                  <c:v>73613.583333333314</c:v>
                </c:pt>
                <c:pt idx="28">
                  <c:v>74671.75</c:v>
                </c:pt>
                <c:pt idx="29">
                  <c:v>75729.916666666657</c:v>
                </c:pt>
              </c:numCache>
            </c:numRef>
          </c:cat>
          <c:val>
            <c:numRef>
              <c:f>'حجم براساس قیمت'!$I$2:$I$31</c:f>
              <c:numCache>
                <c:formatCode>0.00E+00</c:formatCode>
                <c:ptCount val="30"/>
                <c:pt idx="0">
                  <c:v>4046466</c:v>
                </c:pt>
                <c:pt idx="1">
                  <c:v>782738</c:v>
                </c:pt>
                <c:pt idx="2">
                  <c:v>3521180</c:v>
                </c:pt>
                <c:pt idx="3">
                  <c:v>5863816</c:v>
                </c:pt>
                <c:pt idx="4">
                  <c:v>1190000</c:v>
                </c:pt>
                <c:pt idx="5">
                  <c:v>16288800</c:v>
                </c:pt>
                <c:pt idx="6">
                  <c:v>670763</c:v>
                </c:pt>
                <c:pt idx="7">
                  <c:v>0</c:v>
                </c:pt>
                <c:pt idx="8">
                  <c:v>-1229000</c:v>
                </c:pt>
                <c:pt idx="9">
                  <c:v>0</c:v>
                </c:pt>
                <c:pt idx="10">
                  <c:v>-4290047</c:v>
                </c:pt>
                <c:pt idx="11">
                  <c:v>466749</c:v>
                </c:pt>
                <c:pt idx="12">
                  <c:v>-649305</c:v>
                </c:pt>
                <c:pt idx="13">
                  <c:v>2644695</c:v>
                </c:pt>
                <c:pt idx="14">
                  <c:v>1737000</c:v>
                </c:pt>
                <c:pt idx="15">
                  <c:v>409779</c:v>
                </c:pt>
                <c:pt idx="16">
                  <c:v>0</c:v>
                </c:pt>
                <c:pt idx="17">
                  <c:v>-4649000</c:v>
                </c:pt>
                <c:pt idx="18">
                  <c:v>98000</c:v>
                </c:pt>
                <c:pt idx="19">
                  <c:v>0</c:v>
                </c:pt>
                <c:pt idx="20">
                  <c:v>-3954200</c:v>
                </c:pt>
                <c:pt idx="21">
                  <c:v>0</c:v>
                </c:pt>
                <c:pt idx="22">
                  <c:v>0</c:v>
                </c:pt>
                <c:pt idx="23">
                  <c:v>3005524</c:v>
                </c:pt>
                <c:pt idx="24">
                  <c:v>1149013</c:v>
                </c:pt>
                <c:pt idx="25">
                  <c:v>563941</c:v>
                </c:pt>
                <c:pt idx="26">
                  <c:v>886885</c:v>
                </c:pt>
                <c:pt idx="27">
                  <c:v>0</c:v>
                </c:pt>
                <c:pt idx="28">
                  <c:v>492529</c:v>
                </c:pt>
                <c:pt idx="29">
                  <c:v>-37904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7B-4200-903C-4A952A727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403792"/>
        <c:axId val="499405752"/>
      </c:barChart>
      <c:catAx>
        <c:axId val="499403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</a:t>
                </a:r>
                <a:r>
                  <a:rPr lang="fa-IR" sz="1400" b="1" baseline="0"/>
                  <a:t>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405752"/>
        <c:crosses val="autoZero"/>
        <c:auto val="1"/>
        <c:lblAlgn val="ctr"/>
        <c:lblOffset val="100"/>
        <c:noMultiLvlLbl val="0"/>
      </c:catAx>
      <c:valAx>
        <c:axId val="499405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حجم خرید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40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1"/>
          <c:tx>
            <c:strRef>
              <c:f>'تعداد براساس قیمت'!$I$1</c:f>
              <c:strCache>
                <c:ptCount val="1"/>
                <c:pt idx="0">
                  <c:v>تعداد خرید حقوقی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'حجم براساس قیمت'!$G$2:$G$31</c:f>
              <c:numCache>
                <c:formatCode>0.00E+00</c:formatCode>
                <c:ptCount val="30"/>
                <c:pt idx="0">
                  <c:v>45043.083333333328</c:v>
                </c:pt>
                <c:pt idx="1">
                  <c:v>46101.25</c:v>
                </c:pt>
                <c:pt idx="2">
                  <c:v>47159.416666666657</c:v>
                </c:pt>
                <c:pt idx="3">
                  <c:v>48217.583333333328</c:v>
                </c:pt>
                <c:pt idx="4">
                  <c:v>49275.749999999985</c:v>
                </c:pt>
                <c:pt idx="5">
                  <c:v>50333.916666666657</c:v>
                </c:pt>
                <c:pt idx="6">
                  <c:v>51392.083333333314</c:v>
                </c:pt>
                <c:pt idx="7">
                  <c:v>52450.249999999985</c:v>
                </c:pt>
                <c:pt idx="8">
                  <c:v>53508.416666666642</c:v>
                </c:pt>
                <c:pt idx="9">
                  <c:v>54566.583333333314</c:v>
                </c:pt>
                <c:pt idx="10">
                  <c:v>55624.749999999971</c:v>
                </c:pt>
                <c:pt idx="11">
                  <c:v>56682.916666666642</c:v>
                </c:pt>
                <c:pt idx="12">
                  <c:v>57741.083333333299</c:v>
                </c:pt>
                <c:pt idx="13">
                  <c:v>58799.249999999971</c:v>
                </c:pt>
                <c:pt idx="14">
                  <c:v>59857.416666666628</c:v>
                </c:pt>
                <c:pt idx="15">
                  <c:v>60915.583333333299</c:v>
                </c:pt>
                <c:pt idx="16">
                  <c:v>61973.749999999956</c:v>
                </c:pt>
                <c:pt idx="17">
                  <c:v>63031.916666666628</c:v>
                </c:pt>
                <c:pt idx="18">
                  <c:v>64090.083333333285</c:v>
                </c:pt>
                <c:pt idx="19">
                  <c:v>65148.249999999956</c:v>
                </c:pt>
                <c:pt idx="20">
                  <c:v>66206.416666666628</c:v>
                </c:pt>
                <c:pt idx="21">
                  <c:v>67264.583333333285</c:v>
                </c:pt>
                <c:pt idx="22">
                  <c:v>68322.749999999971</c:v>
                </c:pt>
                <c:pt idx="23">
                  <c:v>69380.916666666628</c:v>
                </c:pt>
                <c:pt idx="24">
                  <c:v>70439.083333333314</c:v>
                </c:pt>
                <c:pt idx="25">
                  <c:v>71497.249999999971</c:v>
                </c:pt>
                <c:pt idx="26">
                  <c:v>72555.416666666657</c:v>
                </c:pt>
                <c:pt idx="27">
                  <c:v>73613.583333333314</c:v>
                </c:pt>
                <c:pt idx="28">
                  <c:v>74671.75</c:v>
                </c:pt>
                <c:pt idx="29">
                  <c:v>75729.916666666657</c:v>
                </c:pt>
              </c:numCache>
            </c:numRef>
          </c:cat>
          <c:val>
            <c:numRef>
              <c:f>'تعداد براساس قیمت'!$I$2:$I$31</c:f>
              <c:numCache>
                <c:formatCode>0.00E+00</c:formatCode>
                <c:ptCount val="30"/>
                <c:pt idx="0">
                  <c:v>15</c:v>
                </c:pt>
                <c:pt idx="1">
                  <c:v>-2</c:v>
                </c:pt>
                <c:pt idx="2">
                  <c:v>7</c:v>
                </c:pt>
                <c:pt idx="3">
                  <c:v>-4</c:v>
                </c:pt>
                <c:pt idx="4">
                  <c:v>-1</c:v>
                </c:pt>
                <c:pt idx="5">
                  <c:v>14</c:v>
                </c:pt>
                <c:pt idx="6">
                  <c:v>2</c:v>
                </c:pt>
                <c:pt idx="7">
                  <c:v>0</c:v>
                </c:pt>
                <c:pt idx="8">
                  <c:v>-1</c:v>
                </c:pt>
                <c:pt idx="9">
                  <c:v>0</c:v>
                </c:pt>
                <c:pt idx="10">
                  <c:v>-6</c:v>
                </c:pt>
                <c:pt idx="11">
                  <c:v>23</c:v>
                </c:pt>
                <c:pt idx="12">
                  <c:v>-42</c:v>
                </c:pt>
                <c:pt idx="13">
                  <c:v>-2</c:v>
                </c:pt>
                <c:pt idx="14">
                  <c:v>-2</c:v>
                </c:pt>
                <c:pt idx="15">
                  <c:v>-17</c:v>
                </c:pt>
                <c:pt idx="16">
                  <c:v>0</c:v>
                </c:pt>
                <c:pt idx="17">
                  <c:v>-8</c:v>
                </c:pt>
                <c:pt idx="18">
                  <c:v>-14</c:v>
                </c:pt>
                <c:pt idx="19">
                  <c:v>0</c:v>
                </c:pt>
                <c:pt idx="20">
                  <c:v>-9</c:v>
                </c:pt>
                <c:pt idx="21">
                  <c:v>0</c:v>
                </c:pt>
                <c:pt idx="22">
                  <c:v>0</c:v>
                </c:pt>
                <c:pt idx="23">
                  <c:v>6</c:v>
                </c:pt>
                <c:pt idx="24">
                  <c:v>4</c:v>
                </c:pt>
                <c:pt idx="25">
                  <c:v>-1</c:v>
                </c:pt>
                <c:pt idx="26">
                  <c:v>2</c:v>
                </c:pt>
                <c:pt idx="27">
                  <c:v>0</c:v>
                </c:pt>
                <c:pt idx="28">
                  <c:v>9</c:v>
                </c:pt>
                <c:pt idx="2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D-495C-911E-3CF8A49A5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404184"/>
        <c:axId val="499407320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'تعداد براساس قیمت'!$H$1</c15:sqref>
                        </c15:formulaRef>
                      </c:ext>
                    </c:extLst>
                    <c:strCache>
                      <c:ptCount val="1"/>
                      <c:pt idx="0">
                        <c:v>تعداد خرید حقیقی</c:v>
                      </c:pt>
                    </c:strCache>
                  </c:strRef>
                </c:tx>
                <c:spPr>
                  <a:solidFill>
                    <a:srgbClr val="FF000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'حجم براساس قیمت'!$G$2:$G$31</c15:sqref>
                        </c15:formulaRef>
                      </c:ext>
                    </c:extLst>
                    <c:numCache>
                      <c:formatCode>0.00E+00</c:formatCode>
                      <c:ptCount val="30"/>
                      <c:pt idx="0">
                        <c:v>45043.083333333328</c:v>
                      </c:pt>
                      <c:pt idx="1">
                        <c:v>46101.25</c:v>
                      </c:pt>
                      <c:pt idx="2">
                        <c:v>47159.416666666657</c:v>
                      </c:pt>
                      <c:pt idx="3">
                        <c:v>48217.583333333328</c:v>
                      </c:pt>
                      <c:pt idx="4">
                        <c:v>49275.749999999985</c:v>
                      </c:pt>
                      <c:pt idx="5">
                        <c:v>50333.916666666657</c:v>
                      </c:pt>
                      <c:pt idx="6">
                        <c:v>51392.083333333314</c:v>
                      </c:pt>
                      <c:pt idx="7">
                        <c:v>52450.249999999985</c:v>
                      </c:pt>
                      <c:pt idx="8">
                        <c:v>53508.416666666642</c:v>
                      </c:pt>
                      <c:pt idx="9">
                        <c:v>54566.583333333314</c:v>
                      </c:pt>
                      <c:pt idx="10">
                        <c:v>55624.749999999971</c:v>
                      </c:pt>
                      <c:pt idx="11">
                        <c:v>56682.916666666642</c:v>
                      </c:pt>
                      <c:pt idx="12">
                        <c:v>57741.083333333299</c:v>
                      </c:pt>
                      <c:pt idx="13">
                        <c:v>58799.249999999971</c:v>
                      </c:pt>
                      <c:pt idx="14">
                        <c:v>59857.416666666628</c:v>
                      </c:pt>
                      <c:pt idx="15">
                        <c:v>60915.583333333299</c:v>
                      </c:pt>
                      <c:pt idx="16">
                        <c:v>61973.749999999956</c:v>
                      </c:pt>
                      <c:pt idx="17">
                        <c:v>63031.916666666628</c:v>
                      </c:pt>
                      <c:pt idx="18">
                        <c:v>64090.083333333285</c:v>
                      </c:pt>
                      <c:pt idx="19">
                        <c:v>65148.249999999956</c:v>
                      </c:pt>
                      <c:pt idx="20">
                        <c:v>66206.416666666628</c:v>
                      </c:pt>
                      <c:pt idx="21">
                        <c:v>67264.583333333285</c:v>
                      </c:pt>
                      <c:pt idx="22">
                        <c:v>68322.749999999971</c:v>
                      </c:pt>
                      <c:pt idx="23">
                        <c:v>69380.916666666628</c:v>
                      </c:pt>
                      <c:pt idx="24">
                        <c:v>70439.083333333314</c:v>
                      </c:pt>
                      <c:pt idx="25">
                        <c:v>71497.249999999971</c:v>
                      </c:pt>
                      <c:pt idx="26">
                        <c:v>72555.416666666657</c:v>
                      </c:pt>
                      <c:pt idx="27">
                        <c:v>73613.583333333314</c:v>
                      </c:pt>
                      <c:pt idx="28">
                        <c:v>74671.75</c:v>
                      </c:pt>
                      <c:pt idx="29">
                        <c:v>75729.916666666657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'تعداد براساس قیمت'!$H$2:$H$31</c15:sqref>
                        </c15:formulaRef>
                      </c:ext>
                    </c:extLst>
                    <c:numCache>
                      <c:formatCode>0.00E+00</c:formatCode>
                      <c:ptCount val="30"/>
                      <c:pt idx="0">
                        <c:v>-3026</c:v>
                      </c:pt>
                      <c:pt idx="1">
                        <c:v>-1316</c:v>
                      </c:pt>
                      <c:pt idx="2">
                        <c:v>-2650</c:v>
                      </c:pt>
                      <c:pt idx="3">
                        <c:v>-1510</c:v>
                      </c:pt>
                      <c:pt idx="4">
                        <c:v>-1273</c:v>
                      </c:pt>
                      <c:pt idx="5">
                        <c:v>-1362</c:v>
                      </c:pt>
                      <c:pt idx="6">
                        <c:v>-367</c:v>
                      </c:pt>
                      <c:pt idx="7">
                        <c:v>0</c:v>
                      </c:pt>
                      <c:pt idx="8">
                        <c:v>-435</c:v>
                      </c:pt>
                      <c:pt idx="9">
                        <c:v>0</c:v>
                      </c:pt>
                      <c:pt idx="10">
                        <c:v>298</c:v>
                      </c:pt>
                      <c:pt idx="11">
                        <c:v>1103</c:v>
                      </c:pt>
                      <c:pt idx="12">
                        <c:v>-1580</c:v>
                      </c:pt>
                      <c:pt idx="13">
                        <c:v>-601</c:v>
                      </c:pt>
                      <c:pt idx="14">
                        <c:v>605</c:v>
                      </c:pt>
                      <c:pt idx="15">
                        <c:v>-153</c:v>
                      </c:pt>
                      <c:pt idx="16">
                        <c:v>0</c:v>
                      </c:pt>
                      <c:pt idx="17">
                        <c:v>-157</c:v>
                      </c:pt>
                      <c:pt idx="18">
                        <c:v>1047</c:v>
                      </c:pt>
                      <c:pt idx="19">
                        <c:v>0</c:v>
                      </c:pt>
                      <c:pt idx="20">
                        <c:v>1253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5</c:v>
                      </c:pt>
                      <c:pt idx="24">
                        <c:v>744</c:v>
                      </c:pt>
                      <c:pt idx="25">
                        <c:v>143</c:v>
                      </c:pt>
                      <c:pt idx="26">
                        <c:v>69</c:v>
                      </c:pt>
                      <c:pt idx="27">
                        <c:v>0</c:v>
                      </c:pt>
                      <c:pt idx="28">
                        <c:v>1578</c:v>
                      </c:pt>
                      <c:pt idx="29">
                        <c:v>804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E4D-495C-911E-3CF8A49A5BE7}"/>
                  </c:ext>
                </c:extLst>
              </c15:ser>
            </c15:filteredBarSeries>
          </c:ext>
        </c:extLst>
      </c:barChart>
      <c:catAx>
        <c:axId val="4994041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</a:t>
                </a:r>
                <a:r>
                  <a:rPr lang="fa-IR" sz="1400" b="1" baseline="0"/>
                  <a:t>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407320"/>
        <c:crosses val="autoZero"/>
        <c:auto val="1"/>
        <c:lblAlgn val="ctr"/>
        <c:lblOffset val="100"/>
        <c:noMultiLvlLbl val="0"/>
      </c:catAx>
      <c:valAx>
        <c:axId val="499407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تعداد خرید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40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'بازدهی قیمت و ریسک'!$G$1</c:f>
              <c:strCache>
                <c:ptCount val="1"/>
                <c:pt idx="0">
                  <c:v>نسبت 20 روز بازدهی سهام به بازدهی شاخص کل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'بازدهی قیمت و ریسک'!$A$2:$A$61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'بازدهی قیمت و ریسک'!$G$2:$G$61</c:f>
              <c:numCache>
                <c:formatCode>0.00E+00</c:formatCode>
                <c:ptCount val="60"/>
                <c:pt idx="19">
                  <c:v>3.8981957471747495</c:v>
                </c:pt>
                <c:pt idx="20">
                  <c:v>2.5059455958521495</c:v>
                </c:pt>
                <c:pt idx="21">
                  <c:v>2.1961391308643821</c:v>
                </c:pt>
                <c:pt idx="22">
                  <c:v>2.1153293239993096</c:v>
                </c:pt>
                <c:pt idx="23">
                  <c:v>1.8046825243077158</c:v>
                </c:pt>
                <c:pt idx="24">
                  <c:v>1.526121722234095</c:v>
                </c:pt>
                <c:pt idx="25">
                  <c:v>1.5086132189174455</c:v>
                </c:pt>
                <c:pt idx="26">
                  <c:v>1.671135002585765</c:v>
                </c:pt>
                <c:pt idx="27">
                  <c:v>1.5403507205358911</c:v>
                </c:pt>
                <c:pt idx="28">
                  <c:v>1.5884929167830482</c:v>
                </c:pt>
                <c:pt idx="29">
                  <c:v>1.1567055549434095</c:v>
                </c:pt>
                <c:pt idx="30">
                  <c:v>1.1282409360141268</c:v>
                </c:pt>
                <c:pt idx="31">
                  <c:v>0.84582993489641056</c:v>
                </c:pt>
                <c:pt idx="32">
                  <c:v>0.8297018940882398</c:v>
                </c:pt>
                <c:pt idx="33">
                  <c:v>1.3710339913243095</c:v>
                </c:pt>
                <c:pt idx="34">
                  <c:v>1.0861682127110044</c:v>
                </c:pt>
                <c:pt idx="35">
                  <c:v>1.0633276581818709</c:v>
                </c:pt>
                <c:pt idx="36">
                  <c:v>0.92267488193891134</c:v>
                </c:pt>
                <c:pt idx="37">
                  <c:v>0.52769135280967727</c:v>
                </c:pt>
                <c:pt idx="38">
                  <c:v>0.33310220520787576</c:v>
                </c:pt>
                <c:pt idx="39">
                  <c:v>0.38324965085277563</c:v>
                </c:pt>
                <c:pt idx="40">
                  <c:v>0.66622730654912576</c:v>
                </c:pt>
                <c:pt idx="41">
                  <c:v>0.69071343726304646</c:v>
                </c:pt>
                <c:pt idx="42">
                  <c:v>1.0273109714726694</c:v>
                </c:pt>
                <c:pt idx="43">
                  <c:v>1.0303775081811901</c:v>
                </c:pt>
                <c:pt idx="44">
                  <c:v>1.1260594350731132</c:v>
                </c:pt>
                <c:pt idx="45">
                  <c:v>1.4517313077733802</c:v>
                </c:pt>
                <c:pt idx="46">
                  <c:v>1.6825396560039871</c:v>
                </c:pt>
                <c:pt idx="47">
                  <c:v>1.7809640273230662</c:v>
                </c:pt>
                <c:pt idx="48">
                  <c:v>1.6530374114526516</c:v>
                </c:pt>
                <c:pt idx="49">
                  <c:v>1.3914649557088741</c:v>
                </c:pt>
                <c:pt idx="50">
                  <c:v>1.0960569877113395</c:v>
                </c:pt>
                <c:pt idx="51">
                  <c:v>1.2723329903802616</c:v>
                </c:pt>
                <c:pt idx="52">
                  <c:v>1.5304053573425005</c:v>
                </c:pt>
                <c:pt idx="53">
                  <c:v>1.6446991438667433</c:v>
                </c:pt>
                <c:pt idx="54">
                  <c:v>1.5236090624043319</c:v>
                </c:pt>
                <c:pt idx="55">
                  <c:v>0.9759386699068674</c:v>
                </c:pt>
                <c:pt idx="56">
                  <c:v>0.84732528528398354</c:v>
                </c:pt>
                <c:pt idx="57">
                  <c:v>0.67767657003263093</c:v>
                </c:pt>
                <c:pt idx="58">
                  <c:v>0.31299960467908039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A-4CF7-909A-1A979CCEE37A}"/>
            </c:ext>
          </c:extLst>
        </c:ser>
        <c:ser>
          <c:idx val="0"/>
          <c:order val="1"/>
          <c:tx>
            <c:strRef>
              <c:f>'بازدهی قیمت و ریسک'!$H$1</c:f>
              <c:strCache>
                <c:ptCount val="1"/>
                <c:pt idx="0">
                  <c:v>نسبت 20 روز بازدهی سهام به بازدهی شاخص کل هم وزن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'بازدهی قیمت و ریسک'!$A$2:$A$61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'بازدهی قیمت و ریسک'!$H$2:$H$61</c:f>
              <c:numCache>
                <c:formatCode>0.00E+00</c:formatCode>
                <c:ptCount val="60"/>
                <c:pt idx="19">
                  <c:v>7.2021247813356659</c:v>
                </c:pt>
                <c:pt idx="20">
                  <c:v>3.6254656403893835</c:v>
                </c:pt>
                <c:pt idx="21">
                  <c:v>3.1881136207773242</c:v>
                </c:pt>
                <c:pt idx="22">
                  <c:v>3.1868102806285372</c:v>
                </c:pt>
                <c:pt idx="23">
                  <c:v>2.5261310096299199</c:v>
                </c:pt>
                <c:pt idx="24">
                  <c:v>1.9115289192124181</c:v>
                </c:pt>
                <c:pt idx="25">
                  <c:v>1.8491461952239163</c:v>
                </c:pt>
                <c:pt idx="26">
                  <c:v>1.7056291051379584</c:v>
                </c:pt>
                <c:pt idx="27">
                  <c:v>1.3339885082580369</c:v>
                </c:pt>
                <c:pt idx="28">
                  <c:v>1.4358917157576199</c:v>
                </c:pt>
                <c:pt idx="29">
                  <c:v>0.99047842466637781</c:v>
                </c:pt>
                <c:pt idx="30">
                  <c:v>0.91420116224534642</c:v>
                </c:pt>
                <c:pt idx="31">
                  <c:v>0.68422375505875577</c:v>
                </c:pt>
                <c:pt idx="32">
                  <c:v>0.6620249197439384</c:v>
                </c:pt>
                <c:pt idx="33">
                  <c:v>0.9752697627098853</c:v>
                </c:pt>
                <c:pt idx="34">
                  <c:v>0.83453827252695878</c:v>
                </c:pt>
                <c:pt idx="35">
                  <c:v>0.7419021902745353</c:v>
                </c:pt>
                <c:pt idx="36">
                  <c:v>0.64675470470920793</c:v>
                </c:pt>
                <c:pt idx="37">
                  <c:v>0.3869175796115184</c:v>
                </c:pt>
                <c:pt idx="38">
                  <c:v>0.25502223518745881</c:v>
                </c:pt>
                <c:pt idx="39">
                  <c:v>0.28037851708772882</c:v>
                </c:pt>
                <c:pt idx="40">
                  <c:v>0.42187568412104531</c:v>
                </c:pt>
                <c:pt idx="41">
                  <c:v>0.46890121327716355</c:v>
                </c:pt>
                <c:pt idx="42">
                  <c:v>0.70054279263008923</c:v>
                </c:pt>
                <c:pt idx="43">
                  <c:v>0.75199748053431903</c:v>
                </c:pt>
                <c:pt idx="44">
                  <c:v>0.88713052624086974</c:v>
                </c:pt>
                <c:pt idx="45">
                  <c:v>1.1733677386149675</c:v>
                </c:pt>
                <c:pt idx="46">
                  <c:v>1.4854828418879971</c:v>
                </c:pt>
                <c:pt idx="47">
                  <c:v>1.5888698702557105</c:v>
                </c:pt>
                <c:pt idx="48">
                  <c:v>1.5840363685345487</c:v>
                </c:pt>
                <c:pt idx="49">
                  <c:v>1.3502831240016762</c:v>
                </c:pt>
                <c:pt idx="50">
                  <c:v>1.0774128684231246</c:v>
                </c:pt>
                <c:pt idx="51">
                  <c:v>1.2094564779307519</c:v>
                </c:pt>
                <c:pt idx="52">
                  <c:v>1.3641103835766388</c:v>
                </c:pt>
                <c:pt idx="53">
                  <c:v>1.4598522999866579</c:v>
                </c:pt>
                <c:pt idx="54">
                  <c:v>1.3683942808199969</c:v>
                </c:pt>
                <c:pt idx="55">
                  <c:v>0.881668180667601</c:v>
                </c:pt>
                <c:pt idx="56">
                  <c:v>0.76673614383487076</c:v>
                </c:pt>
                <c:pt idx="57">
                  <c:v>0.56735811405915815</c:v>
                </c:pt>
                <c:pt idx="58">
                  <c:v>0.24175305841778072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A-4CF7-909A-1A979CCEE37A}"/>
            </c:ext>
          </c:extLst>
        </c:ser>
        <c:ser>
          <c:idx val="1"/>
          <c:order val="2"/>
          <c:tx>
            <c:strRef>
              <c:f>'بازدهی قیمت و ریسک'!$I$1</c:f>
              <c:strCache>
                <c:ptCount val="1"/>
                <c:pt idx="0">
                  <c:v>نسبت 20 روز بازدهی سهام به بازدهی شاخص گروهی سهام در آن قرار دارد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'بازدهی قیمت و ریسک'!$A$2:$A$61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'بازدهی قیمت و ریسک'!$I$2:$I$61</c:f>
              <c:numCache>
                <c:formatCode>0.00E+00</c:formatCode>
                <c:ptCount val="60"/>
                <c:pt idx="19">
                  <c:v>3.1892536413033743</c:v>
                </c:pt>
                <c:pt idx="20">
                  <c:v>2.2592563449238137</c:v>
                </c:pt>
                <c:pt idx="21">
                  <c:v>2.0382108782738744</c:v>
                </c:pt>
                <c:pt idx="22">
                  <c:v>2.003351141570056</c:v>
                </c:pt>
                <c:pt idx="23">
                  <c:v>1.7148891638593031</c:v>
                </c:pt>
                <c:pt idx="24">
                  <c:v>1.4632314798516428</c:v>
                </c:pt>
                <c:pt idx="25">
                  <c:v>1.4603259561831829</c:v>
                </c:pt>
                <c:pt idx="26">
                  <c:v>1.6595874906199031</c:v>
                </c:pt>
                <c:pt idx="27">
                  <c:v>1.55266993349507</c:v>
                </c:pt>
                <c:pt idx="28">
                  <c:v>1.5947596634829615</c:v>
                </c:pt>
                <c:pt idx="29">
                  <c:v>1.1477228035259366</c:v>
                </c:pt>
                <c:pt idx="30">
                  <c:v>1.1199288973922656</c:v>
                </c:pt>
                <c:pt idx="31">
                  <c:v>0.84857493951460239</c:v>
                </c:pt>
                <c:pt idx="32">
                  <c:v>0.85763682005876163</c:v>
                </c:pt>
                <c:pt idx="33">
                  <c:v>1.4555325595292319</c:v>
                </c:pt>
                <c:pt idx="34">
                  <c:v>1.1345797475862922</c:v>
                </c:pt>
                <c:pt idx="35">
                  <c:v>1.134701208765359</c:v>
                </c:pt>
                <c:pt idx="36">
                  <c:v>1.00083944429438</c:v>
                </c:pt>
                <c:pt idx="37">
                  <c:v>0.57398507298702828</c:v>
                </c:pt>
                <c:pt idx="38">
                  <c:v>0.36200781336923193</c:v>
                </c:pt>
                <c:pt idx="39">
                  <c:v>0.42009073986212309</c:v>
                </c:pt>
                <c:pt idx="40">
                  <c:v>0.75919559529071845</c:v>
                </c:pt>
                <c:pt idx="41">
                  <c:v>0.76248345482905711</c:v>
                </c:pt>
                <c:pt idx="42">
                  <c:v>1.0923936317224754</c:v>
                </c:pt>
                <c:pt idx="43">
                  <c:v>1.0615960035095329</c:v>
                </c:pt>
                <c:pt idx="44">
                  <c:v>1.1467256365482286</c:v>
                </c:pt>
                <c:pt idx="45">
                  <c:v>1.4493232486427989</c:v>
                </c:pt>
                <c:pt idx="46">
                  <c:v>1.6744258574678001</c:v>
                </c:pt>
                <c:pt idx="47">
                  <c:v>1.7330880295546407</c:v>
                </c:pt>
                <c:pt idx="48">
                  <c:v>1.6136395037371525</c:v>
                </c:pt>
                <c:pt idx="49">
                  <c:v>1.3574334419361345</c:v>
                </c:pt>
                <c:pt idx="50">
                  <c:v>1.0752371433638173</c:v>
                </c:pt>
                <c:pt idx="51">
                  <c:v>1.2326192462510805</c:v>
                </c:pt>
                <c:pt idx="52">
                  <c:v>1.4717742472096182</c:v>
                </c:pt>
                <c:pt idx="53">
                  <c:v>1.5846816356434572</c:v>
                </c:pt>
                <c:pt idx="54">
                  <c:v>1.4571568090549691</c:v>
                </c:pt>
                <c:pt idx="55">
                  <c:v>0.92399681712014414</c:v>
                </c:pt>
                <c:pt idx="56">
                  <c:v>0.79692508945534979</c:v>
                </c:pt>
                <c:pt idx="57">
                  <c:v>0.63977706332392936</c:v>
                </c:pt>
                <c:pt idx="58">
                  <c:v>0.29288310274081319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3A-4CF7-909A-1A979CCEE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385128"/>
        <c:axId val="506381208"/>
      </c:lineChart>
      <c:catAx>
        <c:axId val="506385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381208"/>
        <c:crosses val="autoZero"/>
        <c:auto val="1"/>
        <c:lblAlgn val="ctr"/>
        <c:lblOffset val="100"/>
        <c:tickLblSkip val="10"/>
        <c:tickMarkSkip val="1"/>
        <c:noMultiLvlLbl val="0"/>
      </c:catAx>
      <c:valAx>
        <c:axId val="50638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نسبت بازدهی 20روزه سهام با شاخص ها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385128"/>
        <c:crosses val="autoZero"/>
        <c:crossBetween val="between"/>
      </c:valAx>
      <c:spPr>
        <a:noFill/>
        <a:ln>
          <a:solidFill>
            <a:srgbClr val="0070C0"/>
          </a:solidFill>
        </a:ln>
        <a:effectLst/>
      </c:spPr>
    </c:plotArea>
    <c:legend>
      <c:legendPos val="b"/>
      <c:layout>
        <c:manualLayout>
          <c:xMode val="edge"/>
          <c:yMode val="edge"/>
          <c:x val="1.1260015574976212E-2"/>
          <c:y val="0.93076152918690858"/>
          <c:w val="0.9"/>
          <c:h val="3.7221322347273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1400458122988"/>
          <c:y val="7.4825038969802513E-2"/>
          <c:w val="0.87081932789099892"/>
          <c:h val="0.82122864206222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'بازدهی قیمت و ریسک'!$B$1</c:f>
              <c:strCache>
                <c:ptCount val="1"/>
                <c:pt idx="0">
                  <c:v>بازدهی روزانه</c:v>
                </c:pt>
              </c:strCache>
            </c:strRef>
          </c:tx>
          <c:spPr>
            <a:solidFill>
              <a:srgbClr val="0070C0"/>
            </a:solidFill>
            <a:ln w="3175" cap="flat" cmpd="sng" algn="ctr">
              <a:solidFill>
                <a:srgbClr val="00B0F0"/>
              </a:solidFill>
              <a:prstDash val="solid"/>
            </a:ln>
            <a:effectLst/>
          </c:spPr>
          <c:invertIfNegative val="0"/>
          <c:cat>
            <c:numRef>
              <c:f>حجم!$A$2:$A$61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'بازدهی قیمت و ریسک'!$B$2:$B$60</c:f>
              <c:numCache>
                <c:formatCode>0.00%</c:formatCode>
                <c:ptCount val="59"/>
                <c:pt idx="0">
                  <c:v>1.069055186362323E-2</c:v>
                </c:pt>
                <c:pt idx="1">
                  <c:v>-2.1110964507190921E-2</c:v>
                </c:pt>
                <c:pt idx="2">
                  <c:v>3.756121669587096E-2</c:v>
                </c:pt>
                <c:pt idx="3">
                  <c:v>3.2975360498852468E-2</c:v>
                </c:pt>
                <c:pt idx="4">
                  <c:v>6.6025278249386907E-3</c:v>
                </c:pt>
                <c:pt idx="5">
                  <c:v>1.3743128435782109E-3</c:v>
                </c:pt>
                <c:pt idx="6">
                  <c:v>-1.8652526512788523E-2</c:v>
                </c:pt>
                <c:pt idx="7">
                  <c:v>1.9918208208844532E-2</c:v>
                </c:pt>
                <c:pt idx="8">
                  <c:v>-1.0491762408326928E-2</c:v>
                </c:pt>
                <c:pt idx="9">
                  <c:v>4.5372469975644578E-2</c:v>
                </c:pt>
                <c:pt idx="10">
                  <c:v>1.1207294783988431E-2</c:v>
                </c:pt>
                <c:pt idx="11">
                  <c:v>1.3605577293582537E-2</c:v>
                </c:pt>
                <c:pt idx="12">
                  <c:v>-1.2188430788524848E-2</c:v>
                </c:pt>
                <c:pt idx="13">
                  <c:v>-1.1505653640150764E-3</c:v>
                </c:pt>
                <c:pt idx="14">
                  <c:v>-3.9005401970130284E-2</c:v>
                </c:pt>
                <c:pt idx="15">
                  <c:v>-1.8062329503182609E-2</c:v>
                </c:pt>
                <c:pt idx="16">
                  <c:v>1.9994107000042092E-2</c:v>
                </c:pt>
                <c:pt idx="17">
                  <c:v>4.9995873225486959E-2</c:v>
                </c:pt>
                <c:pt idx="18">
                  <c:v>4.9993122015445986E-2</c:v>
                </c:pt>
                <c:pt idx="19">
                  <c:v>4.6527296887574628E-2</c:v>
                </c:pt>
                <c:pt idx="20">
                  <c:v>3.7394710016631791E-2</c:v>
                </c:pt>
                <c:pt idx="21">
                  <c:v>3.4322852020410979E-2</c:v>
                </c:pt>
                <c:pt idx="22">
                  <c:v>-3.6167269454490908E-3</c:v>
                </c:pt>
                <c:pt idx="23">
                  <c:v>-2.8603927603626511E-3</c:v>
                </c:pt>
                <c:pt idx="24">
                  <c:v>-9.1258324805824423E-3</c:v>
                </c:pt>
                <c:pt idx="25">
                  <c:v>-1.3611661333739651E-2</c:v>
                </c:pt>
                <c:pt idx="26">
                  <c:v>-2.0184336542917462E-2</c:v>
                </c:pt>
                <c:pt idx="27">
                  <c:v>1.8270359276192479E-2</c:v>
                </c:pt>
                <c:pt idx="28">
                  <c:v>-1.0442112506451058E-2</c:v>
                </c:pt>
                <c:pt idx="29">
                  <c:v>5.0066929749839192E-3</c:v>
                </c:pt>
                <c:pt idx="30">
                  <c:v>-2.7555309543166526E-2</c:v>
                </c:pt>
                <c:pt idx="31">
                  <c:v>-4.3936105873563624E-3</c:v>
                </c:pt>
                <c:pt idx="32">
                  <c:v>3.4750138464562007E-2</c:v>
                </c:pt>
                <c:pt idx="33">
                  <c:v>-1.4106637198701567E-2</c:v>
                </c:pt>
                <c:pt idx="34">
                  <c:v>8.8618014325995195E-3</c:v>
                </c:pt>
                <c:pt idx="35">
                  <c:v>1.7307525388421143E-2</c:v>
                </c:pt>
                <c:pt idx="36">
                  <c:v>-1.238865567728064E-2</c:v>
                </c:pt>
                <c:pt idx="37">
                  <c:v>2.7126961089225239E-3</c:v>
                </c:pt>
                <c:pt idx="38">
                  <c:v>4.1166233005359022E-2</c:v>
                </c:pt>
                <c:pt idx="39">
                  <c:v>4.9965244447386717E-2</c:v>
                </c:pt>
                <c:pt idx="40">
                  <c:v>4.9967686511877177E-2</c:v>
                </c:pt>
                <c:pt idx="41">
                  <c:v>4.183993634684962E-2</c:v>
                </c:pt>
                <c:pt idx="42">
                  <c:v>-5.4756621228277472E-3</c:v>
                </c:pt>
                <c:pt idx="43">
                  <c:v>1.096815323538787E-2</c:v>
                </c:pt>
                <c:pt idx="44">
                  <c:v>1.9333572196345395E-2</c:v>
                </c:pt>
                <c:pt idx="45">
                  <c:v>4.4612226533940723E-2</c:v>
                </c:pt>
                <c:pt idx="46">
                  <c:v>2.1589027820773384E-2</c:v>
                </c:pt>
                <c:pt idx="47">
                  <c:v>3.9261669806721911E-3</c:v>
                </c:pt>
                <c:pt idx="48">
                  <c:v>-2.5735245869368366E-2</c:v>
                </c:pt>
                <c:pt idx="49">
                  <c:v>-4.9678062447803012E-2</c:v>
                </c:pt>
                <c:pt idx="50">
                  <c:v>2.1899362154500356E-2</c:v>
                </c:pt>
                <c:pt idx="51">
                  <c:v>3.2998127470698385E-2</c:v>
                </c:pt>
                <c:pt idx="52">
                  <c:v>2.3968096248355129E-2</c:v>
                </c:pt>
                <c:pt idx="53">
                  <c:v>-7.4220747715023801E-3</c:v>
                </c:pt>
                <c:pt idx="54">
                  <c:v>-4.7217047811554572E-2</c:v>
                </c:pt>
                <c:pt idx="55">
                  <c:v>-3.0851786630430263E-2</c:v>
                </c:pt>
                <c:pt idx="56">
                  <c:v>-4.9989984834177471E-2</c:v>
                </c:pt>
                <c:pt idx="57">
                  <c:v>-4.0060240963855423E-2</c:v>
                </c:pt>
                <c:pt idx="58">
                  <c:v>-0.05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F-4CCA-976F-1785B5FAA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06385520"/>
        <c:axId val="506387480"/>
      </c:barChart>
      <c:catAx>
        <c:axId val="50638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6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387480"/>
        <c:crosses val="autoZero"/>
        <c:auto val="1"/>
        <c:lblAlgn val="ctr"/>
        <c:lblOffset val="100"/>
        <c:noMultiLvlLbl val="1"/>
      </c:catAx>
      <c:valAx>
        <c:axId val="506387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بازدهی روزانه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385520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1400458122988"/>
          <c:y val="7.4825038969802513E-2"/>
          <c:w val="0.87081932789099892"/>
          <c:h val="0.82122864206222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'بازدهی قیمت و ریسک'!$C$1</c:f>
              <c:strCache>
                <c:ptCount val="1"/>
                <c:pt idx="0">
                  <c:v>بازدهی هفتگی (5 روز)</c:v>
                </c:pt>
              </c:strCache>
            </c:strRef>
          </c:tx>
          <c:spPr>
            <a:solidFill>
              <a:srgbClr val="0070C0"/>
            </a:solidFill>
            <a:ln w="3175" cap="flat" cmpd="sng" algn="ctr">
              <a:solidFill>
                <a:srgbClr val="00B0F0"/>
              </a:solidFill>
              <a:prstDash val="solid"/>
            </a:ln>
            <a:effectLst/>
          </c:spPr>
          <c:invertIfNegative val="0"/>
          <c:cat>
            <c:numRef>
              <c:f>'بازدهی قیمت و ریسک'!$A$2:$A$12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'بازدهی قیمت و ریسک'!$C$2:$C$13</c:f>
              <c:numCache>
                <c:formatCode>0.00%</c:formatCode>
                <c:ptCount val="12"/>
                <c:pt idx="0">
                  <c:v>6.0364945658213501E-2</c:v>
                </c:pt>
                <c:pt idx="1">
                  <c:v>-8.2458770614692659E-3</c:v>
                </c:pt>
                <c:pt idx="2">
                  <c:v>1.1307718572375424E-2</c:v>
                </c:pt>
                <c:pt idx="3">
                  <c:v>0.10422005455898156</c:v>
                </c:pt>
                <c:pt idx="4">
                  <c:v>6.6062199331151525E-2</c:v>
                </c:pt>
                <c:pt idx="5">
                  <c:v>-2.6139807337430376E-2</c:v>
                </c:pt>
                <c:pt idx="6">
                  <c:v>-1.2315995225822076E-2</c:v>
                </c:pt>
                <c:pt idx="7">
                  <c:v>4.8902005034285219E-2</c:v>
                </c:pt>
                <c:pt idx="8">
                  <c:v>9.9840796960955852E-2</c:v>
                </c:pt>
                <c:pt idx="9">
                  <c:v>4.3782689387548507E-2</c:v>
                </c:pt>
                <c:pt idx="10">
                  <c:v>7.2898653437278527E-2</c:v>
                </c:pt>
                <c:pt idx="11">
                  <c:v>-0.16037382659216018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A-4471-9B7D-CF6F6F136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78385896"/>
        <c:axId val="378381584"/>
      </c:barChart>
      <c:catAx>
        <c:axId val="378385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6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81584"/>
        <c:crosses val="autoZero"/>
        <c:auto val="1"/>
        <c:lblAlgn val="ctr"/>
        <c:lblOffset val="100"/>
        <c:noMultiLvlLbl val="1"/>
      </c:catAx>
      <c:valAx>
        <c:axId val="37838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200" b="1"/>
                  <a:t>بازدهی هفتگی</a:t>
                </a:r>
                <a:r>
                  <a:rPr lang="en-US" sz="1200" b="1"/>
                  <a:t> </a:t>
                </a:r>
                <a:r>
                  <a:rPr lang="en-US" sz="1200" b="1" baseline="0"/>
                  <a:t> </a:t>
                </a:r>
                <a:r>
                  <a:rPr lang="fa-IR" sz="1200" b="1" baseline="0"/>
                  <a:t>(5 روز)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85896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1400458122988"/>
          <c:y val="7.4825038969802513E-2"/>
          <c:w val="0.87081932789099892"/>
          <c:h val="0.82122864206222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'بازدهی قیمت و ریسک'!$F$1</c:f>
              <c:strCache>
                <c:ptCount val="1"/>
                <c:pt idx="0">
                  <c:v>نسبت بازدهی هفتگی به قدرمطلق بازدهی هفتگی</c:v>
                </c:pt>
              </c:strCache>
            </c:strRef>
          </c:tx>
          <c:spPr>
            <a:solidFill>
              <a:srgbClr val="0070C0"/>
            </a:solidFill>
            <a:ln w="3175" cap="flat" cmpd="sng" algn="ctr">
              <a:solidFill>
                <a:srgbClr val="00B0F0"/>
              </a:solidFill>
              <a:prstDash val="solid"/>
            </a:ln>
            <a:effectLst/>
          </c:spPr>
          <c:invertIfNegative val="0"/>
          <c:cat>
            <c:numRef>
              <c:f>حجم!$A$2:$A$61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'بازدهی قیمت و ریسک'!$F$2:$F$13</c:f>
              <c:numCache>
                <c:formatCode>0.00%</c:formatCode>
                <c:ptCount val="12"/>
                <c:pt idx="0">
                  <c:v>0.55410869598262347</c:v>
                </c:pt>
                <c:pt idx="1">
                  <c:v>-8.6065536301315262E-2</c:v>
                </c:pt>
                <c:pt idx="2">
                  <c:v>0.14655415546751779</c:v>
                </c:pt>
                <c:pt idx="3">
                  <c:v>0.56465576107359861</c:v>
                </c:pt>
                <c:pt idx="4">
                  <c:v>0.75654844590253612</c:v>
                </c:pt>
                <c:pt idx="5">
                  <c:v>-0.38716943450205715</c:v>
                </c:pt>
                <c:pt idx="6">
                  <c:v>-0.13735183435227979</c:v>
                </c:pt>
                <c:pt idx="7">
                  <c:v>0.39583830871933651</c:v>
                </c:pt>
                <c:pt idx="8">
                  <c:v>0.78254331474787087</c:v>
                </c:pt>
                <c:pt idx="9">
                  <c:v>0.30082774417902669</c:v>
                </c:pt>
                <c:pt idx="10">
                  <c:v>0.54603807071696397</c:v>
                </c:pt>
                <c:pt idx="11">
                  <c:v>-0.93839636124407899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E-47D4-93A0-4EB03ADDF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78387856"/>
        <c:axId val="378387072"/>
      </c:barChart>
      <c:catAx>
        <c:axId val="378387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6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87072"/>
        <c:crosses val="autoZero"/>
        <c:auto val="1"/>
        <c:lblAlgn val="ctr"/>
        <c:lblOffset val="100"/>
        <c:noMultiLvlLbl val="1"/>
      </c:catAx>
      <c:valAx>
        <c:axId val="37838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نسبت بازدهی هفتگی به بازدهی قدرمطلق تجمعی روزانه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8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1400458122988"/>
          <c:y val="4.2562832564302787E-2"/>
          <c:w val="0.87081932789099892"/>
          <c:h val="0.819212194323452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'بازدهی قیمت و ریسک'!$D$1</c:f>
              <c:strCache>
                <c:ptCount val="1"/>
                <c:pt idx="0">
                  <c:v>بازدهی ماهانه (20 روز)</c:v>
                </c:pt>
              </c:strCache>
            </c:strRef>
          </c:tx>
          <c:spPr>
            <a:solidFill>
              <a:srgbClr val="0070C0"/>
            </a:solidFill>
            <a:ln w="3175" cap="flat" cmpd="sng" algn="ctr">
              <a:solidFill>
                <a:srgbClr val="00B0F0"/>
              </a:solidFill>
              <a:prstDash val="solid"/>
            </a:ln>
            <a:effectLst/>
          </c:spPr>
          <c:invertIfNegative val="0"/>
          <c:cat>
            <c:numRef>
              <c:f>'بازدهی قیمت و ریسک'!$A$2:$A$4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'بازدهی قیمت و ریسک'!$D$2:$D$4</c:f>
              <c:numCache>
                <c:formatCode>0.00%</c:formatCode>
                <c:ptCount val="3"/>
                <c:pt idx="0">
                  <c:v>0.18754028404418466</c:v>
                </c:pt>
                <c:pt idx="1">
                  <c:v>8.0565838653718899E-2</c:v>
                </c:pt>
                <c:pt idx="2">
                  <c:v>-4.5522611560347412E-2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6-4144-AAF6-68D7DA708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96578296"/>
        <c:axId val="496579864"/>
      </c:barChart>
      <c:catAx>
        <c:axId val="496578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600" b="1"/>
                  <a:t>زمان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0.52570609443050387"/>
              <c:y val="0.90394442657396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579864"/>
        <c:crosses val="autoZero"/>
        <c:auto val="1"/>
        <c:lblAlgn val="ctr"/>
        <c:lblOffset val="100"/>
        <c:noMultiLvlLbl val="1"/>
      </c:catAx>
      <c:valAx>
        <c:axId val="49657986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1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prstClr val="black">
                        <a:lumMod val="65000"/>
                        <a:lumOff val="35000"/>
                      </a:prst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200" b="1"/>
                  <a:t>بازدهی ماهانه </a:t>
                </a:r>
                <a:r>
                  <a:rPr lang="fa-IR" sz="1200" b="1" i="0" baseline="0">
                    <a:effectLst/>
                  </a:rPr>
                  <a:t>(20 روز)</a:t>
                </a:r>
                <a:endParaRPr lang="en-US" sz="1200" b="1">
                  <a:effectLst/>
                </a:endParaRPr>
              </a:p>
              <a:p>
                <a:pPr marL="0" marR="0" lvl="0" indent="0" algn="ctr" defTabSz="914400" rtl="1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prstClr val="black">
                        <a:lumMod val="65000"/>
                        <a:lumOff val="35000"/>
                      </a:prstClr>
                    </a:solidFill>
                  </a:defRPr>
                </a:pP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prstClr val="black">
                      <a:lumMod val="65000"/>
                      <a:lumOff val="35000"/>
                    </a:prst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578296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248807360618388"/>
          <c:y val="0.95387499630858985"/>
          <c:w val="0.14828392604770557"/>
          <c:h val="3.40267045344488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strRef>
              <c:f>'بازدهی قیمت و ریسک'!$M$1</c:f>
              <c:strCache>
                <c:ptCount val="1"/>
                <c:pt idx="0">
                  <c:v>ریسک</c:v>
                </c:pt>
              </c:strCache>
            </c:strRef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'حجم هر نفر'!$A$2:$A$61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'بازدهی قیمت و ریسک'!$M$2:$M$61</c:f>
              <c:numCache>
                <c:formatCode>General</c:formatCode>
                <c:ptCount val="60"/>
                <c:pt idx="20" formatCode="0.00E+00">
                  <c:v>2.64290130572763</c:v>
                </c:pt>
                <c:pt idx="21" formatCode="0.00E+00">
                  <c:v>2.6903726465887781</c:v>
                </c:pt>
                <c:pt idx="22" formatCode="0.00E+00">
                  <c:v>2.6020811492982259</c:v>
                </c:pt>
                <c:pt idx="23" formatCode="0.00E+00">
                  <c:v>2.5749900228632603</c:v>
                </c:pt>
                <c:pt idx="24" formatCode="0.00E+00">
                  <c:v>2.5425716626897281</c:v>
                </c:pt>
                <c:pt idx="25" formatCode="0.00E+00">
                  <c:v>2.5909549599692565</c:v>
                </c:pt>
                <c:pt idx="26" formatCode="0.00E+00">
                  <c:v>2.6288490016874237</c:v>
                </c:pt>
                <c:pt idx="27" formatCode="0.00E+00">
                  <c:v>2.6399530617281703</c:v>
                </c:pt>
                <c:pt idx="28" formatCode="0.00E+00">
                  <c:v>2.6347902868219646</c:v>
                </c:pt>
                <c:pt idx="29" formatCode="0.00E+00">
                  <c:v>2.6313360621591073</c:v>
                </c:pt>
                <c:pt idx="30" formatCode="0.00E+00">
                  <c:v>2.5262592857631274</c:v>
                </c:pt>
                <c:pt idx="31" formatCode="0.00E+00">
                  <c:v>2.6079781664461992</c:v>
                </c:pt>
                <c:pt idx="32" formatCode="0.00E+00">
                  <c:v>2.6005952111344879</c:v>
                </c:pt>
                <c:pt idx="33" formatCode="0.00E+00">
                  <c:v>2.6315531977628783</c:v>
                </c:pt>
                <c:pt idx="34" formatCode="0.00E+00">
                  <c:v>2.6510728810694917</c:v>
                </c:pt>
                <c:pt idx="35" formatCode="0.00E+00">
                  <c:v>2.4394317274360779</c:v>
                </c:pt>
                <c:pt idx="36" formatCode="0.00E+00">
                  <c:v>2.3468057869230825</c:v>
                </c:pt>
                <c:pt idx="37" formatCode="0.00E+00">
                  <c:v>2.3839564949183849</c:v>
                </c:pt>
                <c:pt idx="38" formatCode="0.00E+00">
                  <c:v>2.2076440967003492</c:v>
                </c:pt>
                <c:pt idx="39" formatCode="0.00E+00">
                  <c:v>2.144282375138554</c:v>
                </c:pt>
                <c:pt idx="40" formatCode="0.00E+00">
                  <c:v>2.1611281458456246</c:v>
                </c:pt>
                <c:pt idx="41" formatCode="0.00E+00">
                  <c:v>2.2606231863489539</c:v>
                </c:pt>
                <c:pt idx="42" formatCode="0.00E+00">
                  <c:v>2.3093886703957391</c:v>
                </c:pt>
                <c:pt idx="43" formatCode="0.00E+00">
                  <c:v>2.3143528085533216</c:v>
                </c:pt>
                <c:pt idx="44" formatCode="0.00E+00">
                  <c:v>2.3096702844843793</c:v>
                </c:pt>
                <c:pt idx="45" formatCode="0.00E+00">
                  <c:v>2.3213101872071911</c:v>
                </c:pt>
                <c:pt idx="46" formatCode="0.00E+00">
                  <c:v>2.3764922009215828</c:v>
                </c:pt>
                <c:pt idx="47" formatCode="0.00E+00">
                  <c:v>2.2685599643081211</c:v>
                </c:pt>
                <c:pt idx="48" formatCode="0.00E+00">
                  <c:v>2.2784012443351243</c:v>
                </c:pt>
                <c:pt idx="49" formatCode="0.00E+00">
                  <c:v>2.3613013932806339</c:v>
                </c:pt>
                <c:pt idx="50" formatCode="0.00E+00">
                  <c:v>2.6955627773816984</c:v>
                </c:pt>
                <c:pt idx="51" formatCode="0.00E+00">
                  <c:v>2.5604107534996507</c:v>
                </c:pt>
                <c:pt idx="52" formatCode="0.00E+00">
                  <c:v>2.5598981593263979</c:v>
                </c:pt>
                <c:pt idx="53" formatCode="0.00E+00">
                  <c:v>2.5311147054301357</c:v>
                </c:pt>
                <c:pt idx="54" formatCode="0.00E+00">
                  <c:v>2.5006341677729735</c:v>
                </c:pt>
                <c:pt idx="55" formatCode="0.00E+00">
                  <c:v>2.8212510018943466</c:v>
                </c:pt>
                <c:pt idx="56" formatCode="0.00E+00">
                  <c:v>2.9660468388817014</c:v>
                </c:pt>
                <c:pt idx="57" formatCode="0.00E+00">
                  <c:v>3.2027939299236383</c:v>
                </c:pt>
                <c:pt idx="58" formatCode="0.00E+00">
                  <c:v>3.3485891542200079</c:v>
                </c:pt>
                <c:pt idx="59" formatCode="0.00E+00">
                  <c:v>3.4590608924050108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3D-4454-B75E-EBDC366F9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579080"/>
        <c:axId val="496579472"/>
      </c:lineChart>
      <c:scatterChart>
        <c:scatterStyle val="lineMarker"/>
        <c:varyColors val="0"/>
        <c:ser>
          <c:idx val="1"/>
          <c:order val="1"/>
          <c:tx>
            <c:strRef>
              <c:f>DATA!$H$1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y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3D-4454-B75E-EBDC366F9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343848"/>
        <c:axId val="497346200"/>
      </c:scatterChart>
      <c:catAx>
        <c:axId val="496579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579472"/>
        <c:crosses val="autoZero"/>
        <c:auto val="1"/>
        <c:lblAlgn val="ctr"/>
        <c:lblOffset val="100"/>
        <c:noMultiLvlLbl val="1"/>
      </c:catAx>
      <c:valAx>
        <c:axId val="49657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ریسک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579080"/>
        <c:crosses val="autoZero"/>
        <c:crossBetween val="between"/>
      </c:valAx>
      <c:valAx>
        <c:axId val="497346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343848"/>
        <c:crosses val="max"/>
        <c:crossBetween val="midCat"/>
      </c:valAx>
      <c:valAx>
        <c:axId val="497343848"/>
        <c:scaling>
          <c:orientation val="minMax"/>
        </c:scaling>
        <c:delete val="1"/>
        <c:axPos val="t"/>
        <c:majorTickMark val="out"/>
        <c:minorTickMark val="none"/>
        <c:tickLblPos val="nextTo"/>
        <c:crossAx val="497346200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strRef>
              <c:f>'بازدهی قیمت و ریسک'!$R$1</c:f>
              <c:strCache>
                <c:ptCount val="1"/>
                <c:pt idx="0">
                  <c:v>کانال کشش قیمتی تقاضا (بین صفر و یک)</c:v>
                </c:pt>
              </c:strCache>
            </c:strRef>
          </c:tx>
          <c:spPr>
            <a:ln w="31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'حجم هر نفر'!$A$2:$A$61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'بازدهی قیمت و ریسک'!$R$2:$R$61</c:f>
              <c:numCache>
                <c:formatCode>0.00E+00</c:formatCode>
                <c:ptCount val="60"/>
                <c:pt idx="20">
                  <c:v>0.9779349684794616</c:v>
                </c:pt>
                <c:pt idx="21">
                  <c:v>0.51509829304446364</c:v>
                </c:pt>
                <c:pt idx="22">
                  <c:v>0.52973114643159958</c:v>
                </c:pt>
                <c:pt idx="23">
                  <c:v>0.67441942618673711</c:v>
                </c:pt>
                <c:pt idx="24">
                  <c:v>7.8919396669212549E-2</c:v>
                </c:pt>
                <c:pt idx="25">
                  <c:v>0.51877128813052376</c:v>
                </c:pt>
                <c:pt idx="26">
                  <c:v>0.59642688659812748</c:v>
                </c:pt>
                <c:pt idx="27">
                  <c:v>0.52962011710236001</c:v>
                </c:pt>
                <c:pt idx="28">
                  <c:v>0.49438536794687321</c:v>
                </c:pt>
                <c:pt idx="29">
                  <c:v>0.49640058305265761</c:v>
                </c:pt>
                <c:pt idx="30">
                  <c:v>0.40348427868994247</c:v>
                </c:pt>
                <c:pt idx="31">
                  <c:v>0.48181085457485884</c:v>
                </c:pt>
                <c:pt idx="32">
                  <c:v>0.67680545636292777</c:v>
                </c:pt>
                <c:pt idx="33">
                  <c:v>0.47554350716787119</c:v>
                </c:pt>
                <c:pt idx="34">
                  <c:v>0.42943958449520736</c:v>
                </c:pt>
                <c:pt idx="35">
                  <c:v>0.41580609357951731</c:v>
                </c:pt>
                <c:pt idx="36">
                  <c:v>0.564002981564799</c:v>
                </c:pt>
                <c:pt idx="37">
                  <c:v>0.44268949799209845</c:v>
                </c:pt>
                <c:pt idx="38">
                  <c:v>0.4014700547879993</c:v>
                </c:pt>
                <c:pt idx="39">
                  <c:v>0.50452653474017306</c:v>
                </c:pt>
                <c:pt idx="40">
                  <c:v>0.56769466018190384</c:v>
                </c:pt>
                <c:pt idx="41">
                  <c:v>0.55872787699563187</c:v>
                </c:pt>
                <c:pt idx="42">
                  <c:v>0.55807541258461513</c:v>
                </c:pt>
                <c:pt idx="43">
                  <c:v>0.77166469910066593</c:v>
                </c:pt>
                <c:pt idx="44">
                  <c:v>0.33650389043955015</c:v>
                </c:pt>
                <c:pt idx="45">
                  <c:v>0.51360748882524143</c:v>
                </c:pt>
                <c:pt idx="46">
                  <c:v>0.48936690943045008</c:v>
                </c:pt>
                <c:pt idx="47">
                  <c:v>0.61674484737309554</c:v>
                </c:pt>
                <c:pt idx="48">
                  <c:v>0.16457939429635485</c:v>
                </c:pt>
                <c:pt idx="49">
                  <c:v>0.43409860720366195</c:v>
                </c:pt>
                <c:pt idx="50">
                  <c:v>0.48147998784116963</c:v>
                </c:pt>
                <c:pt idx="51">
                  <c:v>0.28230571010794864</c:v>
                </c:pt>
                <c:pt idx="52">
                  <c:v>0.81153347153661626</c:v>
                </c:pt>
                <c:pt idx="53">
                  <c:v>0.40751353884002856</c:v>
                </c:pt>
                <c:pt idx="54">
                  <c:v>0.81241873779975116</c:v>
                </c:pt>
                <c:pt idx="55">
                  <c:v>8.9724598383608231E-2</c:v>
                </c:pt>
                <c:pt idx="56">
                  <c:v>0.70289728636039894</c:v>
                </c:pt>
                <c:pt idx="57">
                  <c:v>0.31810856311342123</c:v>
                </c:pt>
                <c:pt idx="58">
                  <c:v>0.26696176289911827</c:v>
                </c:pt>
                <c:pt idx="59">
                  <c:v>0.62430156772487011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E-4303-A69A-C1CCA5CE2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347376"/>
        <c:axId val="497348160"/>
      </c:lineChart>
      <c:scatterChart>
        <c:scatterStyle val="lineMarker"/>
        <c:varyColors val="0"/>
        <c:ser>
          <c:idx val="1"/>
          <c:order val="1"/>
          <c:tx>
            <c:strRef>
              <c:f>DATA!$H$1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y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DE-4303-A69A-C1CCA5CE2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545776"/>
        <c:axId val="371543816"/>
      </c:scatterChart>
      <c:catAx>
        <c:axId val="497347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348160"/>
        <c:crosses val="autoZero"/>
        <c:auto val="1"/>
        <c:lblAlgn val="ctr"/>
        <c:lblOffset val="100"/>
        <c:noMultiLvlLbl val="1"/>
      </c:catAx>
      <c:valAx>
        <c:axId val="49734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کشش قیمتی</a:t>
                </a:r>
                <a:r>
                  <a:rPr lang="fa-IR" sz="1400" b="1" baseline="0"/>
                  <a:t> تقاضا (بین صفر و یک)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347376"/>
        <c:crosses val="autoZero"/>
        <c:crossBetween val="between"/>
        <c:majorUnit val="0.1"/>
      </c:valAx>
      <c:valAx>
        <c:axId val="3715438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545776"/>
        <c:crosses val="max"/>
        <c:crossBetween val="midCat"/>
      </c:valAx>
      <c:valAx>
        <c:axId val="371545776"/>
        <c:scaling>
          <c:orientation val="minMax"/>
        </c:scaling>
        <c:delete val="1"/>
        <c:axPos val="t"/>
        <c:majorTickMark val="out"/>
        <c:minorTickMark val="none"/>
        <c:tickLblPos val="nextTo"/>
        <c:crossAx val="371543816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strRef>
              <c:f>'همبستگی و بتا'!$T$1</c:f>
              <c:strCache>
                <c:ptCount val="1"/>
                <c:pt idx="0">
                  <c:v>نرخ رشد قیمت پایانی (20 روز)</c:v>
                </c:pt>
              </c:strCache>
            </c:strRef>
          </c:tx>
          <c:spPr>
            <a:ln w="31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'حجم هر نفر'!$A$2:$A$61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'همبستگی و بتا'!$T$2:$T$60</c:f>
              <c:numCache>
                <c:formatCode>General</c:formatCode>
                <c:ptCount val="59"/>
                <c:pt idx="19" formatCode="0.00E+00">
                  <c:v>6.2338389507558293E-3</c:v>
                </c:pt>
                <c:pt idx="20" formatCode="0.00E+00">
                  <c:v>7.2414522987161861E-3</c:v>
                </c:pt>
                <c:pt idx="21" formatCode="0.00E+00">
                  <c:v>8.6376547649668033E-3</c:v>
                </c:pt>
                <c:pt idx="22" formatCode="0.00E+00">
                  <c:v>9.8592935593123498E-3</c:v>
                </c:pt>
                <c:pt idx="23" formatCode="0.00E+00">
                  <c:v>1.1064659112272302E-2</c:v>
                </c:pt>
                <c:pt idx="24" formatCode="0.00E+00">
                  <c:v>1.2280864067392009E-2</c:v>
                </c:pt>
                <c:pt idx="25" formatCode="0.00E+00">
                  <c:v>1.3083995281323701E-2</c:v>
                </c:pt>
                <c:pt idx="26" formatCode="0.00E+00">
                  <c:v>1.3368590298044169E-2</c:v>
                </c:pt>
                <c:pt idx="27" formatCode="0.00E+00">
                  <c:v>1.2781846780253453E-2</c:v>
                </c:pt>
                <c:pt idx="28" formatCode="0.00E+00">
                  <c:v>1.2481511289773572E-2</c:v>
                </c:pt>
                <c:pt idx="29" formatCode="0.00E+00">
                  <c:v>1.1603393562887773E-2</c:v>
                </c:pt>
                <c:pt idx="30" formatCode="0.00E+00">
                  <c:v>1.1187334944107563E-2</c:v>
                </c:pt>
                <c:pt idx="31" formatCode="0.00E+00">
                  <c:v>1.032464738950448E-2</c:v>
                </c:pt>
                <c:pt idx="32" formatCode="0.00E+00">
                  <c:v>9.4511886267158469E-3</c:v>
                </c:pt>
                <c:pt idx="33" formatCode="0.00E+00">
                  <c:v>8.7554781667404744E-3</c:v>
                </c:pt>
                <c:pt idx="34" formatCode="0.00E+00">
                  <c:v>7.6471518896391796E-3</c:v>
                </c:pt>
                <c:pt idx="35" formatCode="0.00E+00">
                  <c:v>5.9353010410351853E-3</c:v>
                </c:pt>
                <c:pt idx="36" formatCode="0.00E+00">
                  <c:v>4.0083160112845779E-3</c:v>
                </c:pt>
                <c:pt idx="37" formatCode="0.00E+00">
                  <c:v>1.9115711144126798E-3</c:v>
                </c:pt>
                <c:pt idx="38" formatCode="0.00E+00">
                  <c:v>3.0531313729955501E-4</c:v>
                </c:pt>
                <c:pt idx="39" formatCode="0.00E+00">
                  <c:v>-1.8652243301415977E-4</c:v>
                </c:pt>
                <c:pt idx="40" formatCode="0.00E+00">
                  <c:v>5.5797176875969662E-4</c:v>
                </c:pt>
                <c:pt idx="41" formatCode="0.00E+00">
                  <c:v>2.4299598611716875E-3</c:v>
                </c:pt>
                <c:pt idx="42" formatCode="0.00E+00">
                  <c:v>5.2549056755888772E-3</c:v>
                </c:pt>
                <c:pt idx="43" formatCode="0.00E+00">
                  <c:v>7.6520185084464742E-3</c:v>
                </c:pt>
                <c:pt idx="44" formatCode="0.00E+00">
                  <c:v>9.908905326193115E-3</c:v>
                </c:pt>
                <c:pt idx="45" formatCode="0.00E+00">
                  <c:v>1.2033638508166735E-2</c:v>
                </c:pt>
                <c:pt idx="46" formatCode="0.00E+00">
                  <c:v>1.4306283238285176E-2</c:v>
                </c:pt>
                <c:pt idx="47" formatCode="0.00E+00">
                  <c:v>1.6168416500917306E-2</c:v>
                </c:pt>
                <c:pt idx="48" formatCode="0.00E+00">
                  <c:v>1.7866910832524955E-2</c:v>
                </c:pt>
                <c:pt idx="49" formatCode="0.00E+00">
                  <c:v>1.853221658127284E-2</c:v>
                </c:pt>
                <c:pt idx="50" formatCode="0.00E+00">
                  <c:v>1.8112086646546829E-2</c:v>
                </c:pt>
                <c:pt idx="51" formatCode="0.00E+00">
                  <c:v>1.7319995037096188E-2</c:v>
                </c:pt>
                <c:pt idx="52" formatCode="0.00E+00">
                  <c:v>1.6607293847239607E-2</c:v>
                </c:pt>
                <c:pt idx="53" formatCode="0.00E+00">
                  <c:v>1.6335567662401653E-2</c:v>
                </c:pt>
                <c:pt idx="54" formatCode="0.00E+00">
                  <c:v>1.5359963383818082E-2</c:v>
                </c:pt>
                <c:pt idx="55" formatCode="0.00E+00">
                  <c:v>1.3428022215336339E-2</c:v>
                </c:pt>
                <c:pt idx="56" formatCode="0.00E+00">
                  <c:v>1.1020730670213289E-2</c:v>
                </c:pt>
                <c:pt idx="57" formatCode="0.00E+00">
                  <c:v>7.5543977976209259E-3</c:v>
                </c:pt>
                <c:pt idx="58" formatCode="0.00E+00">
                  <c:v>3.4532240630137708E-3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4-4FFE-A3FC-6DF8FF680F12}"/>
            </c:ext>
          </c:extLst>
        </c:ser>
        <c:ser>
          <c:idx val="0"/>
          <c:order val="2"/>
          <c:tx>
            <c:strRef>
              <c:f>'همبستگی و بتا'!$S$1</c:f>
              <c:strCache>
                <c:ptCount val="1"/>
                <c:pt idx="0">
                  <c:v>نرخ رشد قیمت پایانی (5 روز)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'همبستگی و بتا'!$A$2:$A$61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'همبستگی و بتا'!$S$2:$S$61</c:f>
              <c:numCache>
                <c:formatCode>0.00E+00</c:formatCode>
                <c:ptCount val="60"/>
                <c:pt idx="4">
                  <c:v>1.3422115031720232E-2</c:v>
                </c:pt>
                <c:pt idx="5">
                  <c:v>1.7884324319662623E-2</c:v>
                </c:pt>
                <c:pt idx="6">
                  <c:v>1.9166563620625698E-2</c:v>
                </c:pt>
                <c:pt idx="7">
                  <c:v>5.0484397264778545E-3</c:v>
                </c:pt>
                <c:pt idx="8">
                  <c:v>3.5542695139850046E-5</c:v>
                </c:pt>
                <c:pt idx="9">
                  <c:v>-1.5664999079759735E-3</c:v>
                </c:pt>
                <c:pt idx="10">
                  <c:v>7.9577964813792139E-3</c:v>
                </c:pt>
                <c:pt idx="11">
                  <c:v>1.6380764325969806E-2</c:v>
                </c:pt>
                <c:pt idx="12">
                  <c:v>1.7245847996792601E-2</c:v>
                </c:pt>
                <c:pt idx="13">
                  <c:v>1.3657375825622178E-2</c:v>
                </c:pt>
                <c:pt idx="14">
                  <c:v>2.359782479260112E-3</c:v>
                </c:pt>
                <c:pt idx="15">
                  <c:v>-9.1765823517437096E-3</c:v>
                </c:pt>
                <c:pt idx="16">
                  <c:v>-1.8284510044570764E-2</c:v>
                </c:pt>
                <c:pt idx="17">
                  <c:v>-1.3727521947717111E-2</c:v>
                </c:pt>
                <c:pt idx="18">
                  <c:v>2.3330143930294579E-3</c:v>
                </c:pt>
                <c:pt idx="19">
                  <c:v>2.7060446188737514E-2</c:v>
                </c:pt>
                <c:pt idx="20">
                  <c:v>4.2490037585914846E-2</c:v>
                </c:pt>
                <c:pt idx="21">
                  <c:v>4.5214411320287806E-2</c:v>
                </c:pt>
                <c:pt idx="22">
                  <c:v>4.0973325378627239E-2</c:v>
                </c:pt>
                <c:pt idx="23">
                  <c:v>2.9226466808526939E-2</c:v>
                </c:pt>
                <c:pt idx="24">
                  <c:v>1.5617915088453789E-2</c:v>
                </c:pt>
                <c:pt idx="25">
                  <c:v>2.9176940435191776E-3</c:v>
                </c:pt>
                <c:pt idx="26">
                  <c:v>-7.0554256172444237E-3</c:v>
                </c:pt>
                <c:pt idx="27">
                  <c:v>-1.1466594057384023E-2</c:v>
                </c:pt>
                <c:pt idx="28">
                  <c:v>-8.4577523121050942E-3</c:v>
                </c:pt>
                <c:pt idx="29">
                  <c:v>-5.5521081118350751E-3</c:v>
                </c:pt>
                <c:pt idx="30">
                  <c:v>-8.1021003136967033E-4</c:v>
                </c:pt>
                <c:pt idx="31">
                  <c:v>-3.5865103968699542E-3</c:v>
                </c:pt>
                <c:pt idx="32">
                  <c:v>-9.8423611864744982E-3</c:v>
                </c:pt>
                <c:pt idx="33">
                  <c:v>-1.8462788897102358E-3</c:v>
                </c:pt>
                <c:pt idx="34">
                  <c:v>4.8067645562514252E-4</c:v>
                </c:pt>
                <c:pt idx="35">
                  <c:v>6.8502048741437239E-3</c:v>
                </c:pt>
                <c:pt idx="36">
                  <c:v>8.6196390580550366E-3</c:v>
                </c:pt>
                <c:pt idx="37">
                  <c:v>2.4611031553314106E-3</c:v>
                </c:pt>
                <c:pt idx="38">
                  <c:v>3.6979409781650332E-3</c:v>
                </c:pt>
                <c:pt idx="39">
                  <c:v>8.6569949886852304E-3</c:v>
                </c:pt>
                <c:pt idx="40">
                  <c:v>2.0484358556710706E-2</c:v>
                </c:pt>
                <c:pt idx="41">
                  <c:v>3.7335622407248449E-2</c:v>
                </c:pt>
                <c:pt idx="42">
                  <c:v>4.5483713688051465E-2</c:v>
                </c:pt>
                <c:pt idx="43">
                  <c:v>3.5192617592508135E-2</c:v>
                </c:pt>
                <c:pt idx="44">
                  <c:v>2.2284274914780199E-2</c:v>
                </c:pt>
                <c:pt idx="45">
                  <c:v>1.3591057046882859E-2</c:v>
                </c:pt>
                <c:pt idx="46">
                  <c:v>1.6832007963530651E-2</c:v>
                </c:pt>
                <c:pt idx="47">
                  <c:v>2.5391888702220124E-2</c:v>
                </c:pt>
                <c:pt idx="48">
                  <c:v>2.3992910350235232E-2</c:v>
                </c:pt>
                <c:pt idx="49">
                  <c:v>1.0934503266901405E-2</c:v>
                </c:pt>
                <c:pt idx="50">
                  <c:v>-1.2334819564368172E-2</c:v>
                </c:pt>
                <c:pt idx="51">
                  <c:v>-1.7969662558979679E-2</c:v>
                </c:pt>
                <c:pt idx="52">
                  <c:v>-7.6083644397044259E-3</c:v>
                </c:pt>
                <c:pt idx="53">
                  <c:v>1.0834675313370474E-2</c:v>
                </c:pt>
                <c:pt idx="54">
                  <c:v>1.9576179109168697E-2</c:v>
                </c:pt>
                <c:pt idx="55">
                  <c:v>1.7092056982516727E-3</c:v>
                </c:pt>
                <c:pt idx="56">
                  <c:v>-1.8049120749974893E-2</c:v>
                </c:pt>
                <c:pt idx="57">
                  <c:v>-3.5404381668586012E-2</c:v>
                </c:pt>
                <c:pt idx="58">
                  <c:v>-4.2583499594648209E-2</c:v>
                </c:pt>
                <c:pt idx="59">
                  <c:v>-4.4011830264557898E-2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14-4FFE-A3FC-6DF8FF680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218840"/>
        <c:axId val="512216096"/>
      </c:lineChart>
      <c:scatterChart>
        <c:scatterStyle val="lineMarker"/>
        <c:varyColors val="0"/>
        <c:ser>
          <c:idx val="1"/>
          <c:order val="1"/>
          <c:tx>
            <c:strRef>
              <c:f>DATA!$H$1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y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14-4FFE-A3FC-6DF8FF680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215704"/>
        <c:axId val="512218448"/>
      </c:scatterChart>
      <c:catAx>
        <c:axId val="512218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16096"/>
        <c:crosses val="autoZero"/>
        <c:auto val="1"/>
        <c:lblAlgn val="ctr"/>
        <c:lblOffset val="100"/>
        <c:noMultiLvlLbl val="1"/>
      </c:catAx>
      <c:valAx>
        <c:axId val="51221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100" b="1" i="0" baseline="0">
                    <a:effectLst/>
                  </a:rPr>
                  <a:t>نرخ رشد قیمت </a:t>
                </a:r>
                <a:endParaRPr lang="en-US" sz="11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18840"/>
        <c:crosses val="autoZero"/>
        <c:crossBetween val="between"/>
      </c:valAx>
      <c:valAx>
        <c:axId val="51221844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15704"/>
        <c:crosses val="max"/>
        <c:crossBetween val="midCat"/>
      </c:valAx>
      <c:valAx>
        <c:axId val="512215704"/>
        <c:scaling>
          <c:orientation val="minMax"/>
        </c:scaling>
        <c:delete val="1"/>
        <c:axPos val="b"/>
        <c:majorTickMark val="out"/>
        <c:minorTickMark val="none"/>
        <c:tickLblPos val="nextTo"/>
        <c:crossAx val="512218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'تعداد براساس قیمت'!$H$1</c:f>
              <c:strCache>
                <c:ptCount val="1"/>
                <c:pt idx="0">
                  <c:v>تعداد خرید حقیقی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'حجم براساس قیمت'!$G$2:$G$31</c:f>
              <c:numCache>
                <c:formatCode>0.00E+00</c:formatCode>
                <c:ptCount val="30"/>
                <c:pt idx="0">
                  <c:v>45043.083333333328</c:v>
                </c:pt>
                <c:pt idx="1">
                  <c:v>46101.25</c:v>
                </c:pt>
                <c:pt idx="2">
                  <c:v>47159.416666666657</c:v>
                </c:pt>
                <c:pt idx="3">
                  <c:v>48217.583333333328</c:v>
                </c:pt>
                <c:pt idx="4">
                  <c:v>49275.749999999985</c:v>
                </c:pt>
                <c:pt idx="5">
                  <c:v>50333.916666666657</c:v>
                </c:pt>
                <c:pt idx="6">
                  <c:v>51392.083333333314</c:v>
                </c:pt>
                <c:pt idx="7">
                  <c:v>52450.249999999985</c:v>
                </c:pt>
                <c:pt idx="8">
                  <c:v>53508.416666666642</c:v>
                </c:pt>
                <c:pt idx="9">
                  <c:v>54566.583333333314</c:v>
                </c:pt>
                <c:pt idx="10">
                  <c:v>55624.749999999971</c:v>
                </c:pt>
                <c:pt idx="11">
                  <c:v>56682.916666666642</c:v>
                </c:pt>
                <c:pt idx="12">
                  <c:v>57741.083333333299</c:v>
                </c:pt>
                <c:pt idx="13">
                  <c:v>58799.249999999971</c:v>
                </c:pt>
                <c:pt idx="14">
                  <c:v>59857.416666666628</c:v>
                </c:pt>
                <c:pt idx="15">
                  <c:v>60915.583333333299</c:v>
                </c:pt>
                <c:pt idx="16">
                  <c:v>61973.749999999956</c:v>
                </c:pt>
                <c:pt idx="17">
                  <c:v>63031.916666666628</c:v>
                </c:pt>
                <c:pt idx="18">
                  <c:v>64090.083333333285</c:v>
                </c:pt>
                <c:pt idx="19">
                  <c:v>65148.249999999956</c:v>
                </c:pt>
                <c:pt idx="20">
                  <c:v>66206.416666666628</c:v>
                </c:pt>
                <c:pt idx="21">
                  <c:v>67264.583333333285</c:v>
                </c:pt>
                <c:pt idx="22">
                  <c:v>68322.749999999971</c:v>
                </c:pt>
                <c:pt idx="23">
                  <c:v>69380.916666666628</c:v>
                </c:pt>
                <c:pt idx="24">
                  <c:v>70439.083333333314</c:v>
                </c:pt>
                <c:pt idx="25">
                  <c:v>71497.249999999971</c:v>
                </c:pt>
                <c:pt idx="26">
                  <c:v>72555.416666666657</c:v>
                </c:pt>
                <c:pt idx="27">
                  <c:v>73613.583333333314</c:v>
                </c:pt>
                <c:pt idx="28">
                  <c:v>74671.75</c:v>
                </c:pt>
                <c:pt idx="29">
                  <c:v>75729.916666666657</c:v>
                </c:pt>
              </c:numCache>
            </c:numRef>
          </c:cat>
          <c:val>
            <c:numRef>
              <c:f>'تعداد براساس قیمت'!$H$2:$H$31</c:f>
              <c:numCache>
                <c:formatCode>0.00E+00</c:formatCode>
                <c:ptCount val="30"/>
                <c:pt idx="0">
                  <c:v>-3026</c:v>
                </c:pt>
                <c:pt idx="1">
                  <c:v>-1316</c:v>
                </c:pt>
                <c:pt idx="2">
                  <c:v>-2650</c:v>
                </c:pt>
                <c:pt idx="3">
                  <c:v>-1510</c:v>
                </c:pt>
                <c:pt idx="4">
                  <c:v>-1273</c:v>
                </c:pt>
                <c:pt idx="5">
                  <c:v>-1362</c:v>
                </c:pt>
                <c:pt idx="6">
                  <c:v>-367</c:v>
                </c:pt>
                <c:pt idx="7">
                  <c:v>0</c:v>
                </c:pt>
                <c:pt idx="8">
                  <c:v>-435</c:v>
                </c:pt>
                <c:pt idx="9">
                  <c:v>0</c:v>
                </c:pt>
                <c:pt idx="10">
                  <c:v>298</c:v>
                </c:pt>
                <c:pt idx="11">
                  <c:v>1103</c:v>
                </c:pt>
                <c:pt idx="12">
                  <c:v>-1580</c:v>
                </c:pt>
                <c:pt idx="13">
                  <c:v>-601</c:v>
                </c:pt>
                <c:pt idx="14">
                  <c:v>605</c:v>
                </c:pt>
                <c:pt idx="15">
                  <c:v>-153</c:v>
                </c:pt>
                <c:pt idx="16">
                  <c:v>0</c:v>
                </c:pt>
                <c:pt idx="17">
                  <c:v>-157</c:v>
                </c:pt>
                <c:pt idx="18">
                  <c:v>1047</c:v>
                </c:pt>
                <c:pt idx="19">
                  <c:v>0</c:v>
                </c:pt>
                <c:pt idx="20">
                  <c:v>1253</c:v>
                </c:pt>
                <c:pt idx="21">
                  <c:v>0</c:v>
                </c:pt>
                <c:pt idx="22">
                  <c:v>0</c:v>
                </c:pt>
                <c:pt idx="23">
                  <c:v>5</c:v>
                </c:pt>
                <c:pt idx="24">
                  <c:v>744</c:v>
                </c:pt>
                <c:pt idx="25">
                  <c:v>143</c:v>
                </c:pt>
                <c:pt idx="26">
                  <c:v>69</c:v>
                </c:pt>
                <c:pt idx="27">
                  <c:v>0</c:v>
                </c:pt>
                <c:pt idx="28">
                  <c:v>1578</c:v>
                </c:pt>
                <c:pt idx="29">
                  <c:v>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0-48EB-AE1A-BAF194BFE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12216488"/>
        <c:axId val="512218056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'تعداد براساس قیمت'!$I$1</c15:sqref>
                        </c15:formulaRef>
                      </c:ext>
                    </c:extLst>
                    <c:strCache>
                      <c:ptCount val="1"/>
                      <c:pt idx="0">
                        <c:v>تعداد خرید حقوقی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'حجم براساس قیمت'!$G$2:$G$31</c15:sqref>
                        </c15:formulaRef>
                      </c:ext>
                    </c:extLst>
                    <c:numCache>
                      <c:formatCode>0.00E+00</c:formatCode>
                      <c:ptCount val="30"/>
                      <c:pt idx="0">
                        <c:v>45043.083333333328</c:v>
                      </c:pt>
                      <c:pt idx="1">
                        <c:v>46101.25</c:v>
                      </c:pt>
                      <c:pt idx="2">
                        <c:v>47159.416666666657</c:v>
                      </c:pt>
                      <c:pt idx="3">
                        <c:v>48217.583333333328</c:v>
                      </c:pt>
                      <c:pt idx="4">
                        <c:v>49275.749999999985</c:v>
                      </c:pt>
                      <c:pt idx="5">
                        <c:v>50333.916666666657</c:v>
                      </c:pt>
                      <c:pt idx="6">
                        <c:v>51392.083333333314</c:v>
                      </c:pt>
                      <c:pt idx="7">
                        <c:v>52450.249999999985</c:v>
                      </c:pt>
                      <c:pt idx="8">
                        <c:v>53508.416666666642</c:v>
                      </c:pt>
                      <c:pt idx="9">
                        <c:v>54566.583333333314</c:v>
                      </c:pt>
                      <c:pt idx="10">
                        <c:v>55624.749999999971</c:v>
                      </c:pt>
                      <c:pt idx="11">
                        <c:v>56682.916666666642</c:v>
                      </c:pt>
                      <c:pt idx="12">
                        <c:v>57741.083333333299</c:v>
                      </c:pt>
                      <c:pt idx="13">
                        <c:v>58799.249999999971</c:v>
                      </c:pt>
                      <c:pt idx="14">
                        <c:v>59857.416666666628</c:v>
                      </c:pt>
                      <c:pt idx="15">
                        <c:v>60915.583333333299</c:v>
                      </c:pt>
                      <c:pt idx="16">
                        <c:v>61973.749999999956</c:v>
                      </c:pt>
                      <c:pt idx="17">
                        <c:v>63031.916666666628</c:v>
                      </c:pt>
                      <c:pt idx="18">
                        <c:v>64090.083333333285</c:v>
                      </c:pt>
                      <c:pt idx="19">
                        <c:v>65148.249999999956</c:v>
                      </c:pt>
                      <c:pt idx="20">
                        <c:v>66206.416666666628</c:v>
                      </c:pt>
                      <c:pt idx="21">
                        <c:v>67264.583333333285</c:v>
                      </c:pt>
                      <c:pt idx="22">
                        <c:v>68322.749999999971</c:v>
                      </c:pt>
                      <c:pt idx="23">
                        <c:v>69380.916666666628</c:v>
                      </c:pt>
                      <c:pt idx="24">
                        <c:v>70439.083333333314</c:v>
                      </c:pt>
                      <c:pt idx="25">
                        <c:v>71497.249999999971</c:v>
                      </c:pt>
                      <c:pt idx="26">
                        <c:v>72555.416666666657</c:v>
                      </c:pt>
                      <c:pt idx="27">
                        <c:v>73613.583333333314</c:v>
                      </c:pt>
                      <c:pt idx="28">
                        <c:v>74671.75</c:v>
                      </c:pt>
                      <c:pt idx="29">
                        <c:v>75729.916666666657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'تعداد براساس قیمت'!$I$2:$I$31</c15:sqref>
                        </c15:formulaRef>
                      </c:ext>
                    </c:extLst>
                    <c:numCache>
                      <c:formatCode>0.00E+00</c:formatCode>
                      <c:ptCount val="30"/>
                      <c:pt idx="0">
                        <c:v>15</c:v>
                      </c:pt>
                      <c:pt idx="1">
                        <c:v>-2</c:v>
                      </c:pt>
                      <c:pt idx="2">
                        <c:v>7</c:v>
                      </c:pt>
                      <c:pt idx="3">
                        <c:v>-4</c:v>
                      </c:pt>
                      <c:pt idx="4">
                        <c:v>-1</c:v>
                      </c:pt>
                      <c:pt idx="5">
                        <c:v>14</c:v>
                      </c:pt>
                      <c:pt idx="6">
                        <c:v>2</c:v>
                      </c:pt>
                      <c:pt idx="7">
                        <c:v>0</c:v>
                      </c:pt>
                      <c:pt idx="8">
                        <c:v>-1</c:v>
                      </c:pt>
                      <c:pt idx="9">
                        <c:v>0</c:v>
                      </c:pt>
                      <c:pt idx="10">
                        <c:v>-6</c:v>
                      </c:pt>
                      <c:pt idx="11">
                        <c:v>23</c:v>
                      </c:pt>
                      <c:pt idx="12">
                        <c:v>-42</c:v>
                      </c:pt>
                      <c:pt idx="13">
                        <c:v>-2</c:v>
                      </c:pt>
                      <c:pt idx="14">
                        <c:v>-2</c:v>
                      </c:pt>
                      <c:pt idx="15">
                        <c:v>-17</c:v>
                      </c:pt>
                      <c:pt idx="16">
                        <c:v>0</c:v>
                      </c:pt>
                      <c:pt idx="17">
                        <c:v>-8</c:v>
                      </c:pt>
                      <c:pt idx="18">
                        <c:v>-14</c:v>
                      </c:pt>
                      <c:pt idx="19">
                        <c:v>0</c:v>
                      </c:pt>
                      <c:pt idx="20">
                        <c:v>-9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6</c:v>
                      </c:pt>
                      <c:pt idx="24">
                        <c:v>4</c:v>
                      </c:pt>
                      <c:pt idx="25">
                        <c:v>-1</c:v>
                      </c:pt>
                      <c:pt idx="26">
                        <c:v>2</c:v>
                      </c:pt>
                      <c:pt idx="27">
                        <c:v>0</c:v>
                      </c:pt>
                      <c:pt idx="28">
                        <c:v>9</c:v>
                      </c:pt>
                      <c:pt idx="29">
                        <c:v>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2D0-48EB-AE1A-BAF194BFE400}"/>
                  </c:ext>
                </c:extLst>
              </c15:ser>
            </c15:filteredBarSeries>
          </c:ext>
        </c:extLst>
      </c:barChart>
      <c:catAx>
        <c:axId val="5122164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</a:t>
                </a:r>
                <a:r>
                  <a:rPr lang="fa-IR" sz="1400" b="1" baseline="0"/>
                  <a:t>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18056"/>
        <c:crosses val="autoZero"/>
        <c:auto val="1"/>
        <c:lblAlgn val="ctr"/>
        <c:lblOffset val="100"/>
        <c:noMultiLvlLbl val="0"/>
      </c:catAx>
      <c:valAx>
        <c:axId val="512218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تعداد خرید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16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حجم!$I$1</c:f>
              <c:strCache>
                <c:ptCount val="1"/>
                <c:pt idx="0">
                  <c:v>حجم معاملات</c:v>
                </c:pt>
              </c:strCache>
            </c:strRef>
          </c:tx>
          <c:spPr>
            <a:solidFill>
              <a:srgbClr val="0070C0"/>
            </a:solidFill>
            <a:ln w="3175" cap="flat" cmpd="sng" algn="ctr">
              <a:solidFill>
                <a:srgbClr val="00B0F0"/>
              </a:solidFill>
              <a:prstDash val="solid"/>
            </a:ln>
            <a:effectLst/>
          </c:spPr>
          <c:invertIfNegative val="0"/>
          <c:cat>
            <c:numRef>
              <c:f>حجم!$A$2:$A$61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حجم!$I$2:$I$61</c:f>
              <c:numCache>
                <c:formatCode>0.00E+00</c:formatCode>
                <c:ptCount val="60"/>
                <c:pt idx="0">
                  <c:v>4719000</c:v>
                </c:pt>
                <c:pt idx="1">
                  <c:v>4284116</c:v>
                </c:pt>
                <c:pt idx="2">
                  <c:v>4306000</c:v>
                </c:pt>
                <c:pt idx="3">
                  <c:v>4826000</c:v>
                </c:pt>
                <c:pt idx="4">
                  <c:v>2589428</c:v>
                </c:pt>
                <c:pt idx="5">
                  <c:v>4030000</c:v>
                </c:pt>
                <c:pt idx="6">
                  <c:v>2407607</c:v>
                </c:pt>
                <c:pt idx="7">
                  <c:v>2218822</c:v>
                </c:pt>
                <c:pt idx="8">
                  <c:v>2329062</c:v>
                </c:pt>
                <c:pt idx="9">
                  <c:v>3442000</c:v>
                </c:pt>
                <c:pt idx="10">
                  <c:v>7547000</c:v>
                </c:pt>
                <c:pt idx="11">
                  <c:v>2755810</c:v>
                </c:pt>
                <c:pt idx="12">
                  <c:v>2665000</c:v>
                </c:pt>
                <c:pt idx="13">
                  <c:v>14413000</c:v>
                </c:pt>
                <c:pt idx="14">
                  <c:v>11516000</c:v>
                </c:pt>
                <c:pt idx="15">
                  <c:v>2291000</c:v>
                </c:pt>
                <c:pt idx="16">
                  <c:v>9387000</c:v>
                </c:pt>
                <c:pt idx="17">
                  <c:v>220544</c:v>
                </c:pt>
                <c:pt idx="18">
                  <c:v>447477</c:v>
                </c:pt>
                <c:pt idx="19">
                  <c:v>1821000</c:v>
                </c:pt>
                <c:pt idx="20">
                  <c:v>13180000</c:v>
                </c:pt>
                <c:pt idx="21">
                  <c:v>6859000</c:v>
                </c:pt>
                <c:pt idx="22">
                  <c:v>9395000</c:v>
                </c:pt>
                <c:pt idx="23">
                  <c:v>4376000</c:v>
                </c:pt>
                <c:pt idx="24">
                  <c:v>8617000</c:v>
                </c:pt>
                <c:pt idx="25">
                  <c:v>9826000</c:v>
                </c:pt>
                <c:pt idx="26">
                  <c:v>3911000</c:v>
                </c:pt>
                <c:pt idx="27">
                  <c:v>3627321</c:v>
                </c:pt>
                <c:pt idx="28">
                  <c:v>3971398</c:v>
                </c:pt>
                <c:pt idx="29">
                  <c:v>2514445</c:v>
                </c:pt>
                <c:pt idx="30">
                  <c:v>2606861</c:v>
                </c:pt>
                <c:pt idx="31">
                  <c:v>2553083</c:v>
                </c:pt>
                <c:pt idx="32">
                  <c:v>1546055</c:v>
                </c:pt>
                <c:pt idx="33">
                  <c:v>1624500</c:v>
                </c:pt>
                <c:pt idx="34">
                  <c:v>2123280</c:v>
                </c:pt>
                <c:pt idx="35">
                  <c:v>1553673</c:v>
                </c:pt>
                <c:pt idx="36">
                  <c:v>2281782</c:v>
                </c:pt>
                <c:pt idx="37">
                  <c:v>2318000</c:v>
                </c:pt>
                <c:pt idx="38">
                  <c:v>2840000</c:v>
                </c:pt>
                <c:pt idx="39">
                  <c:v>2519020</c:v>
                </c:pt>
                <c:pt idx="40">
                  <c:v>9268000</c:v>
                </c:pt>
                <c:pt idx="41">
                  <c:v>10892000</c:v>
                </c:pt>
                <c:pt idx="42">
                  <c:v>6506000</c:v>
                </c:pt>
                <c:pt idx="43">
                  <c:v>4258000</c:v>
                </c:pt>
                <c:pt idx="44">
                  <c:v>2530000</c:v>
                </c:pt>
                <c:pt idx="45">
                  <c:v>2936000</c:v>
                </c:pt>
                <c:pt idx="46">
                  <c:v>3861000</c:v>
                </c:pt>
                <c:pt idx="47">
                  <c:v>3702000</c:v>
                </c:pt>
                <c:pt idx="48">
                  <c:v>2968410</c:v>
                </c:pt>
                <c:pt idx="49">
                  <c:v>3372000</c:v>
                </c:pt>
                <c:pt idx="50">
                  <c:v>3747000</c:v>
                </c:pt>
                <c:pt idx="51">
                  <c:v>1361500</c:v>
                </c:pt>
                <c:pt idx="52">
                  <c:v>2683000</c:v>
                </c:pt>
                <c:pt idx="53">
                  <c:v>2577833</c:v>
                </c:pt>
                <c:pt idx="54">
                  <c:v>1432517</c:v>
                </c:pt>
                <c:pt idx="55">
                  <c:v>3662000</c:v>
                </c:pt>
                <c:pt idx="56">
                  <c:v>740541</c:v>
                </c:pt>
                <c:pt idx="57">
                  <c:v>1793026</c:v>
                </c:pt>
                <c:pt idx="58">
                  <c:v>5638000</c:v>
                </c:pt>
                <c:pt idx="59">
                  <c:v>1567700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9-4A9E-832B-05C0E2A9F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12217664"/>
        <c:axId val="512217272"/>
      </c:barChart>
      <c:lineChart>
        <c:grouping val="standard"/>
        <c:varyColors val="0"/>
        <c:ser>
          <c:idx val="4"/>
          <c:order val="1"/>
          <c:tx>
            <c:strRef>
              <c:f>حجم!$J$1</c:f>
              <c:strCache>
                <c:ptCount val="1"/>
                <c:pt idx="0">
                  <c:v>میانگین حجم معاملات</c:v>
                </c:pt>
              </c:strCache>
            </c:strRef>
          </c:tx>
          <c:spPr>
            <a:ln w="3175" cap="flat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حجم!$A$2:$A$61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حجم!$J$2:$J$61</c:f>
              <c:numCache>
                <c:formatCode>0.00E+00</c:formatCode>
                <c:ptCount val="60"/>
                <c:pt idx="19">
                  <c:v>4410793.3</c:v>
                </c:pt>
                <c:pt idx="20">
                  <c:v>4833843.3</c:v>
                </c:pt>
                <c:pt idx="21">
                  <c:v>4962587.5</c:v>
                </c:pt>
                <c:pt idx="22">
                  <c:v>5217037.5</c:v>
                </c:pt>
                <c:pt idx="23">
                  <c:v>5194537.5</c:v>
                </c:pt>
                <c:pt idx="24">
                  <c:v>5495916.0999999996</c:v>
                </c:pt>
                <c:pt idx="25">
                  <c:v>5785716.0999999996</c:v>
                </c:pt>
                <c:pt idx="26">
                  <c:v>5860885.75</c:v>
                </c:pt>
                <c:pt idx="27">
                  <c:v>5931310.7000000002</c:v>
                </c:pt>
                <c:pt idx="28">
                  <c:v>6013427.5</c:v>
                </c:pt>
                <c:pt idx="29">
                  <c:v>5967049.75</c:v>
                </c:pt>
                <c:pt idx="30">
                  <c:v>5720042.7999999998</c:v>
                </c:pt>
                <c:pt idx="31">
                  <c:v>5709906.4500000002</c:v>
                </c:pt>
                <c:pt idx="32">
                  <c:v>5653959.2000000002</c:v>
                </c:pt>
                <c:pt idx="33">
                  <c:v>5014534.2</c:v>
                </c:pt>
                <c:pt idx="34">
                  <c:v>4544898.2</c:v>
                </c:pt>
                <c:pt idx="35">
                  <c:v>4508031.8499999996</c:v>
                </c:pt>
                <c:pt idx="36">
                  <c:v>4152770.95</c:v>
                </c:pt>
                <c:pt idx="37">
                  <c:v>4257643.75</c:v>
                </c:pt>
                <c:pt idx="38">
                  <c:v>4377269.9000000004</c:v>
                </c:pt>
                <c:pt idx="39">
                  <c:v>4412170.9000000004</c:v>
                </c:pt>
                <c:pt idx="40">
                  <c:v>4216570.9000000004</c:v>
                </c:pt>
                <c:pt idx="41">
                  <c:v>4418220.9000000004</c:v>
                </c:pt>
                <c:pt idx="42">
                  <c:v>4273770.9000000004</c:v>
                </c:pt>
                <c:pt idx="43">
                  <c:v>4267870.9000000004</c:v>
                </c:pt>
                <c:pt idx="44">
                  <c:v>3963520.9</c:v>
                </c:pt>
                <c:pt idx="45">
                  <c:v>3619020.9</c:v>
                </c:pt>
                <c:pt idx="46">
                  <c:v>3616520.9</c:v>
                </c:pt>
                <c:pt idx="47">
                  <c:v>3620254.85</c:v>
                </c:pt>
                <c:pt idx="48">
                  <c:v>3570105.45</c:v>
                </c:pt>
                <c:pt idx="49">
                  <c:v>3612983.2</c:v>
                </c:pt>
                <c:pt idx="50">
                  <c:v>3669990.15</c:v>
                </c:pt>
                <c:pt idx="51">
                  <c:v>3610411</c:v>
                </c:pt>
                <c:pt idx="52">
                  <c:v>3667258.25</c:v>
                </c:pt>
                <c:pt idx="53">
                  <c:v>3714924.9</c:v>
                </c:pt>
                <c:pt idx="54">
                  <c:v>3680386.75</c:v>
                </c:pt>
                <c:pt idx="55">
                  <c:v>3785803.1</c:v>
                </c:pt>
                <c:pt idx="56">
                  <c:v>3708741.05</c:v>
                </c:pt>
                <c:pt idx="57">
                  <c:v>3682492.35</c:v>
                </c:pt>
                <c:pt idx="58">
                  <c:v>3822392.35</c:v>
                </c:pt>
                <c:pt idx="59">
                  <c:v>3774826.35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B9-4A9E-832B-05C0E2A9F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217664"/>
        <c:axId val="512217272"/>
      </c:lineChart>
      <c:lineChart>
        <c:grouping val="standard"/>
        <c:varyColors val="0"/>
        <c:ser>
          <c:idx val="1"/>
          <c:order val="2"/>
          <c:tx>
            <c:v>قیمت پایانی</c:v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B9-4A9E-832B-05C0E2A9F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221192"/>
        <c:axId val="512219232"/>
      </c:lineChart>
      <c:catAx>
        <c:axId val="51221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17272"/>
        <c:crosses val="autoZero"/>
        <c:auto val="1"/>
        <c:lblAlgn val="ctr"/>
        <c:lblOffset val="100"/>
        <c:noMultiLvlLbl val="1"/>
      </c:catAx>
      <c:valAx>
        <c:axId val="512217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 baseline="0"/>
                  <a:t>حجم معاملات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17664"/>
        <c:crosses val="autoZero"/>
        <c:crossBetween val="between"/>
      </c:valAx>
      <c:valAx>
        <c:axId val="5122192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</a:t>
                </a:r>
                <a:r>
                  <a:rPr lang="fa-IR" sz="1400" b="1" baseline="0"/>
                  <a:t>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21192"/>
        <c:crosses val="max"/>
        <c:crossBetween val="between"/>
      </c:valAx>
      <c:catAx>
        <c:axId val="512221192"/>
        <c:scaling>
          <c:orientation val="minMax"/>
        </c:scaling>
        <c:delete val="1"/>
        <c:axPos val="b"/>
        <c:majorTickMark val="out"/>
        <c:minorTickMark val="none"/>
        <c:tickLblPos val="nextTo"/>
        <c:crossAx val="5122192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حجم!$K$1</c:f>
              <c:strCache>
                <c:ptCount val="1"/>
                <c:pt idx="0">
                  <c:v>ارزش معاملات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numRef>
              <c:f>حجم!$A$2:$A$61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حجم!$K$2:$K$61</c:f>
              <c:numCache>
                <c:formatCode>0.00E+00</c:formatCode>
                <c:ptCount val="60"/>
                <c:pt idx="0">
                  <c:v>6292795938000</c:v>
                </c:pt>
                <c:pt idx="1">
                  <c:v>8283843811688</c:v>
                </c:pt>
                <c:pt idx="2">
                  <c:v>17424082596000</c:v>
                </c:pt>
                <c:pt idx="3">
                  <c:v>23305738504000</c:v>
                </c:pt>
                <c:pt idx="4">
                  <c:v>12157403301420</c:v>
                </c:pt>
                <c:pt idx="5">
                  <c:v>23841230140000</c:v>
                </c:pt>
                <c:pt idx="6">
                  <c:v>14615231429473</c:v>
                </c:pt>
                <c:pt idx="7">
                  <c:v>14086073869434</c:v>
                </c:pt>
                <c:pt idx="8">
                  <c:v>14169531092166</c:v>
                </c:pt>
                <c:pt idx="9">
                  <c:v>23587905530000</c:v>
                </c:pt>
                <c:pt idx="10">
                  <c:v>60700256855000</c:v>
                </c:pt>
                <c:pt idx="11">
                  <c:v>23770969444650</c:v>
                </c:pt>
                <c:pt idx="12">
                  <c:v>25470287115000</c:v>
                </c:pt>
                <c:pt idx="13">
                  <c:v>269124306703000</c:v>
                </c:pt>
                <c:pt idx="14">
                  <c:v>290932519796000</c:v>
                </c:pt>
                <c:pt idx="15">
                  <c:v>69480300209000</c:v>
                </c:pt>
                <c:pt idx="16">
                  <c:v>307907671113000</c:v>
                </c:pt>
                <c:pt idx="17">
                  <c:v>7195152283904</c:v>
                </c:pt>
                <c:pt idx="18">
                  <c:v>14482039575951</c:v>
                </c:pt>
                <c:pt idx="19">
                  <c:v>56696403423000</c:v>
                </c:pt>
                <c:pt idx="20">
                  <c:v>354407076340000</c:v>
                </c:pt>
                <c:pt idx="21">
                  <c:v>187036445417000</c:v>
                </c:pt>
                <c:pt idx="22">
                  <c:v>249284703385000</c:v>
                </c:pt>
                <c:pt idx="23">
                  <c:v>119844474888000</c:v>
                </c:pt>
                <c:pt idx="24">
                  <c:v>249942659771000</c:v>
                </c:pt>
                <c:pt idx="25">
                  <c:v>307954337238000</c:v>
                </c:pt>
                <c:pt idx="26">
                  <c:v>123207306093000</c:v>
                </c:pt>
                <c:pt idx="27">
                  <c:v>114010620164001</c:v>
                </c:pt>
                <c:pt idx="28">
                  <c:v>118865844439642</c:v>
                </c:pt>
                <c:pt idx="29">
                  <c:v>75862887610460</c:v>
                </c:pt>
                <c:pt idx="30">
                  <c:v>76333293068229</c:v>
                </c:pt>
                <c:pt idx="31">
                  <c:v>75481490401720</c:v>
                </c:pt>
                <c:pt idx="32">
                  <c:v>45639223566615</c:v>
                </c:pt>
                <c:pt idx="33">
                  <c:v>48092930995500</c:v>
                </c:pt>
                <c:pt idx="34">
                  <c:v>63401223607920</c:v>
                </c:pt>
                <c:pt idx="35">
                  <c:v>46469817198123</c:v>
                </c:pt>
                <c:pt idx="36">
                  <c:v>68953959754572</c:v>
                </c:pt>
                <c:pt idx="37">
                  <c:v>72029195890000</c:v>
                </c:pt>
                <c:pt idx="38">
                  <c:v>88164548200000</c:v>
                </c:pt>
                <c:pt idx="39">
                  <c:v>79694613593000</c:v>
                </c:pt>
                <c:pt idx="40">
                  <c:v>250126174200000</c:v>
                </c:pt>
                <c:pt idx="41">
                  <c:v>243644781800000</c:v>
                </c:pt>
                <c:pt idx="42">
                  <c:v>155986528776000</c:v>
                </c:pt>
                <c:pt idx="43">
                  <c:v>103677173368000</c:v>
                </c:pt>
                <c:pt idx="44">
                  <c:v>63438925220000</c:v>
                </c:pt>
                <c:pt idx="45">
                  <c:v>75274973640000</c:v>
                </c:pt>
                <c:pt idx="46">
                  <c:v>95990695515000</c:v>
                </c:pt>
                <c:pt idx="47">
                  <c:v>94318130730000</c:v>
                </c:pt>
                <c:pt idx="48">
                  <c:v>76645779942030</c:v>
                </c:pt>
                <c:pt idx="49">
                  <c:v>90828232464000</c:v>
                </c:pt>
                <c:pt idx="50">
                  <c:v>105234588675000</c:v>
                </c:pt>
                <c:pt idx="51">
                  <c:v>38139710392000</c:v>
                </c:pt>
                <c:pt idx="52">
                  <c:v>75572082464000</c:v>
                </c:pt>
                <c:pt idx="53">
                  <c:v>70529101004553</c:v>
                </c:pt>
                <c:pt idx="54">
                  <c:v>38921824964012</c:v>
                </c:pt>
                <c:pt idx="55">
                  <c:v>103008903356000</c:v>
                </c:pt>
                <c:pt idx="56">
                  <c:v>21052942283658</c:v>
                </c:pt>
                <c:pt idx="57">
                  <c:v>52166187276388</c:v>
                </c:pt>
                <c:pt idx="58">
                  <c:v>164584146444000</c:v>
                </c:pt>
                <c:pt idx="59">
                  <c:v>45476503169400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A-4031-9AD6-E375C684C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12221584"/>
        <c:axId val="512221976"/>
      </c:barChart>
      <c:lineChart>
        <c:grouping val="standard"/>
        <c:varyColors val="0"/>
        <c:ser>
          <c:idx val="0"/>
          <c:order val="1"/>
          <c:tx>
            <c:strRef>
              <c:f>حجم!$L$1</c:f>
              <c:strCache>
                <c:ptCount val="1"/>
                <c:pt idx="0">
                  <c:v>میانگین ارزش معاملات</c:v>
                </c:pt>
              </c:strCache>
            </c:strRef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حجم!$A$2:$A$61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حجم!$L$2:$L$61</c:f>
              <c:numCache>
                <c:formatCode>General</c:formatCode>
                <c:ptCount val="60"/>
                <c:pt idx="19" formatCode="0.00E+00">
                  <c:v>64176187136534.297</c:v>
                </c:pt>
                <c:pt idx="20" formatCode="0.00E+00">
                  <c:v>81581901156634.297</c:v>
                </c:pt>
                <c:pt idx="21" formatCode="0.00E+00">
                  <c:v>90519531236899.906</c:v>
                </c:pt>
                <c:pt idx="22" formatCode="0.00E+00">
                  <c:v>102112562276349.91</c:v>
                </c:pt>
                <c:pt idx="23" formatCode="0.00E+00">
                  <c:v>106939499095549.91</c:v>
                </c:pt>
                <c:pt idx="24" formatCode="0.00E+00">
                  <c:v>118828761919028.91</c:v>
                </c:pt>
                <c:pt idx="25" formatCode="0.00E+00">
                  <c:v>133034417273928.91</c:v>
                </c:pt>
                <c:pt idx="26" formatCode="0.00E+00">
                  <c:v>138464021007105.25</c:v>
                </c:pt>
                <c:pt idx="27" formatCode="0.00E+00">
                  <c:v>143460248321833.59</c:v>
                </c:pt>
                <c:pt idx="28" formatCode="0.00E+00">
                  <c:v>148695063989207.41</c:v>
                </c:pt>
                <c:pt idx="29" formatCode="0.00E+00">
                  <c:v>151308813093230.41</c:v>
                </c:pt>
                <c:pt idx="30" formatCode="0.00E+00">
                  <c:v>152090464903891.84</c:v>
                </c:pt>
                <c:pt idx="31" formatCode="0.00E+00">
                  <c:v>154675990951745.34</c:v>
                </c:pt>
                <c:pt idx="32" formatCode="0.00E+00">
                  <c:v>155684437774326.09</c:v>
                </c:pt>
                <c:pt idx="33" formatCode="0.00E+00">
                  <c:v>144632868988951.09</c:v>
                </c:pt>
                <c:pt idx="34" formatCode="0.00E+00">
                  <c:v>133256304179547.09</c:v>
                </c:pt>
                <c:pt idx="35" formatCode="0.00E+00">
                  <c:v>132105780029003.25</c:v>
                </c:pt>
                <c:pt idx="36" formatCode="0.00E+00">
                  <c:v>120158094461081.84</c:v>
                </c:pt>
                <c:pt idx="37" formatCode="0.00E+00">
                  <c:v>123399796641386.66</c:v>
                </c:pt>
                <c:pt idx="38" formatCode="0.00E+00">
                  <c:v>127083922072589.09</c:v>
                </c:pt>
                <c:pt idx="39" formatCode="0.00E+00">
                  <c:v>128233832581089.09</c:v>
                </c:pt>
                <c:pt idx="40" formatCode="0.00E+00">
                  <c:v>123019787474089.09</c:v>
                </c:pt>
                <c:pt idx="41" formatCode="0.00E+00">
                  <c:v>125850204293239.09</c:v>
                </c:pt>
                <c:pt idx="42" formatCode="0.00E+00">
                  <c:v>121185295562789.09</c:v>
                </c:pt>
                <c:pt idx="43" formatCode="0.00E+00">
                  <c:v>120376930486789.09</c:v>
                </c:pt>
                <c:pt idx="44" formatCode="0.00E+00">
                  <c:v>111051743759239.09</c:v>
                </c:pt>
                <c:pt idx="45" formatCode="0.00E+00">
                  <c:v>99417775579339.094</c:v>
                </c:pt>
                <c:pt idx="46" formatCode="0.00E+00">
                  <c:v>98056945050439.094</c:v>
                </c:pt>
                <c:pt idx="47" formatCode="0.00E+00">
                  <c:v>97072320578739.047</c:v>
                </c:pt>
                <c:pt idx="48" formatCode="0.00E+00">
                  <c:v>94961317353858.453</c:v>
                </c:pt>
                <c:pt idx="49" formatCode="0.00E+00">
                  <c:v>95709584596535.453</c:v>
                </c:pt>
                <c:pt idx="50" formatCode="0.00E+00">
                  <c:v>97154649376874</c:v>
                </c:pt>
                <c:pt idx="51" formatCode="0.00E+00">
                  <c:v>95287560376388</c:v>
                </c:pt>
                <c:pt idx="52" formatCode="0.00E+00">
                  <c:v>96784203321257.25</c:v>
                </c:pt>
                <c:pt idx="53" formatCode="0.00E+00">
                  <c:v>97906011821709.906</c:v>
                </c:pt>
                <c:pt idx="54" formatCode="0.00E+00">
                  <c:v>96682041889514.5</c:v>
                </c:pt>
                <c:pt idx="55" formatCode="0.00E+00">
                  <c:v>99508996197408.344</c:v>
                </c:pt>
                <c:pt idx="56" formatCode="0.00E+00">
                  <c:v>97113945323862.656</c:v>
                </c:pt>
                <c:pt idx="57" formatCode="0.00E+00">
                  <c:v>96120794893182.047</c:v>
                </c:pt>
                <c:pt idx="58" formatCode="0.00E+00">
                  <c:v>99941774805382.047</c:v>
                </c:pt>
                <c:pt idx="59" formatCode="0.00E+00">
                  <c:v>98230869284202.047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9A-4031-9AD6-E375C684C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221584"/>
        <c:axId val="512221976"/>
      </c:lineChart>
      <c:catAx>
        <c:axId val="512221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100"/>
                  <a:t>زمان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21976"/>
        <c:crosses val="autoZero"/>
        <c:auto val="1"/>
        <c:lblAlgn val="ctr"/>
        <c:lblOffset val="100"/>
        <c:noMultiLvlLbl val="0"/>
      </c:catAx>
      <c:valAx>
        <c:axId val="51222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200"/>
                  <a:t>ارزش معاملات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21584"/>
        <c:crosses val="autoZero"/>
        <c:crossBetween val="between"/>
      </c:valAx>
      <c:spPr>
        <a:pattFill prst="ltDnDiag">
          <a:fgClr>
            <a:srgbClr val="000000">
              <a:alpha val="0"/>
            </a:srgbClr>
          </a:fgClr>
          <a:bgClr>
            <a:srgbClr val="FFFFFF"/>
          </a:bgClr>
        </a:pattFill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حجم!$C$1</c:f>
              <c:strCache>
                <c:ptCount val="1"/>
                <c:pt idx="0">
                  <c:v>حقیقی</c:v>
                </c:pt>
              </c:strCache>
            </c:strRef>
          </c:tx>
          <c:spPr>
            <a:solidFill>
              <a:srgbClr val="FF0000"/>
            </a:solidFill>
            <a:ln w="3175">
              <a:noFill/>
            </a:ln>
            <a:effectLst/>
          </c:spPr>
          <c:invertIfNegative val="0"/>
          <c:cat>
            <c:numRef>
              <c:f>حجم!$A$2:$A$61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حجم!$C$2:$C$61</c:f>
              <c:numCache>
                <c:formatCode>0.00E+00</c:formatCode>
                <c:ptCount val="60"/>
                <c:pt idx="0">
                  <c:v>-1334000</c:v>
                </c:pt>
                <c:pt idx="1">
                  <c:v>-600000</c:v>
                </c:pt>
                <c:pt idx="2">
                  <c:v>-2114000</c:v>
                </c:pt>
                <c:pt idx="3">
                  <c:v>-782000</c:v>
                </c:pt>
                <c:pt idx="4">
                  <c:v>134000</c:v>
                </c:pt>
                <c:pt idx="5">
                  <c:v>-1221000</c:v>
                </c:pt>
                <c:pt idx="6">
                  <c:v>-154000</c:v>
                </c:pt>
                <c:pt idx="7">
                  <c:v>-278000</c:v>
                </c:pt>
                <c:pt idx="8">
                  <c:v>265000</c:v>
                </c:pt>
                <c:pt idx="9">
                  <c:v>-769000</c:v>
                </c:pt>
                <c:pt idx="10">
                  <c:v>-1190000</c:v>
                </c:pt>
                <c:pt idx="11">
                  <c:v>-583000</c:v>
                </c:pt>
                <c:pt idx="12">
                  <c:v>-932000</c:v>
                </c:pt>
                <c:pt idx="13">
                  <c:v>-9114000</c:v>
                </c:pt>
                <c:pt idx="14">
                  <c:v>-6591000</c:v>
                </c:pt>
                <c:pt idx="15">
                  <c:v>-5064000</c:v>
                </c:pt>
                <c:pt idx="16">
                  <c:v>-2475000</c:v>
                </c:pt>
                <c:pt idx="17">
                  <c:v>176933</c:v>
                </c:pt>
                <c:pt idx="18">
                  <c:v>260803</c:v>
                </c:pt>
                <c:pt idx="19">
                  <c:v>1229341</c:v>
                </c:pt>
                <c:pt idx="20">
                  <c:v>4245000</c:v>
                </c:pt>
                <c:pt idx="21">
                  <c:v>-379000</c:v>
                </c:pt>
                <c:pt idx="22">
                  <c:v>735000</c:v>
                </c:pt>
                <c:pt idx="23">
                  <c:v>-853000</c:v>
                </c:pt>
                <c:pt idx="24">
                  <c:v>-1618000</c:v>
                </c:pt>
                <c:pt idx="25">
                  <c:v>-2335000</c:v>
                </c:pt>
                <c:pt idx="26">
                  <c:v>-162000</c:v>
                </c:pt>
                <c:pt idx="27">
                  <c:v>72000</c:v>
                </c:pt>
                <c:pt idx="28">
                  <c:v>1500000</c:v>
                </c:pt>
                <c:pt idx="29">
                  <c:v>-240000</c:v>
                </c:pt>
                <c:pt idx="30">
                  <c:v>889123</c:v>
                </c:pt>
                <c:pt idx="31">
                  <c:v>-283000</c:v>
                </c:pt>
                <c:pt idx="32">
                  <c:v>45000</c:v>
                </c:pt>
                <c:pt idx="33">
                  <c:v>-85000</c:v>
                </c:pt>
                <c:pt idx="34">
                  <c:v>-256000</c:v>
                </c:pt>
                <c:pt idx="35">
                  <c:v>-49000</c:v>
                </c:pt>
                <c:pt idx="36">
                  <c:v>-310000</c:v>
                </c:pt>
                <c:pt idx="37">
                  <c:v>-854000</c:v>
                </c:pt>
                <c:pt idx="38">
                  <c:v>30000</c:v>
                </c:pt>
                <c:pt idx="39">
                  <c:v>-593000</c:v>
                </c:pt>
                <c:pt idx="40">
                  <c:v>4650000</c:v>
                </c:pt>
                <c:pt idx="41">
                  <c:v>4619000</c:v>
                </c:pt>
                <c:pt idx="42">
                  <c:v>-1607000</c:v>
                </c:pt>
                <c:pt idx="43">
                  <c:v>-372000</c:v>
                </c:pt>
                <c:pt idx="44">
                  <c:v>-725000</c:v>
                </c:pt>
                <c:pt idx="45">
                  <c:v>-564000</c:v>
                </c:pt>
                <c:pt idx="46">
                  <c:v>777000</c:v>
                </c:pt>
                <c:pt idx="47">
                  <c:v>-616000</c:v>
                </c:pt>
                <c:pt idx="48">
                  <c:v>-343000</c:v>
                </c:pt>
                <c:pt idx="49">
                  <c:v>-1116000</c:v>
                </c:pt>
                <c:pt idx="50">
                  <c:v>-1149000</c:v>
                </c:pt>
                <c:pt idx="51">
                  <c:v>72000</c:v>
                </c:pt>
                <c:pt idx="52">
                  <c:v>-154000</c:v>
                </c:pt>
                <c:pt idx="53">
                  <c:v>807541</c:v>
                </c:pt>
                <c:pt idx="54">
                  <c:v>190000</c:v>
                </c:pt>
                <c:pt idx="55">
                  <c:v>-960000</c:v>
                </c:pt>
                <c:pt idx="56">
                  <c:v>-300000</c:v>
                </c:pt>
                <c:pt idx="57">
                  <c:v>-664974</c:v>
                </c:pt>
                <c:pt idx="58">
                  <c:v>-98000</c:v>
                </c:pt>
                <c:pt idx="59">
                  <c:v>183516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4-4DCD-AED9-265FFD405E54}"/>
            </c:ext>
          </c:extLst>
        </c:ser>
        <c:ser>
          <c:idx val="4"/>
          <c:order val="1"/>
          <c:tx>
            <c:strRef>
              <c:f>حجم!$D$1</c:f>
              <c:strCache>
                <c:ptCount val="1"/>
                <c:pt idx="0">
                  <c:v>حقوقی</c:v>
                </c:pt>
              </c:strCache>
            </c:strRef>
          </c:tx>
          <c:spPr>
            <a:solidFill>
              <a:srgbClr val="00B0F0"/>
            </a:solidFill>
            <a:ln w="3175" cap="flat" cmpd="sng" algn="ctr">
              <a:noFill/>
              <a:prstDash val="solid"/>
            </a:ln>
            <a:effectLst/>
          </c:spPr>
          <c:invertIfNegative val="0"/>
          <c:cat>
            <c:numRef>
              <c:f>حجم!$A$2:$A$61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حجم!$D$2:$D$61</c:f>
              <c:numCache>
                <c:formatCode>0.00E+00</c:formatCode>
                <c:ptCount val="60"/>
                <c:pt idx="0">
                  <c:v>1333502</c:v>
                </c:pt>
                <c:pt idx="1">
                  <c:v>600116</c:v>
                </c:pt>
                <c:pt idx="2">
                  <c:v>2112848</c:v>
                </c:pt>
                <c:pt idx="3">
                  <c:v>782738</c:v>
                </c:pt>
                <c:pt idx="4">
                  <c:v>-134189</c:v>
                </c:pt>
                <c:pt idx="5">
                  <c:v>1220923</c:v>
                </c:pt>
                <c:pt idx="6">
                  <c:v>154501</c:v>
                </c:pt>
                <c:pt idx="7">
                  <c:v>278008</c:v>
                </c:pt>
                <c:pt idx="8">
                  <c:v>-264654</c:v>
                </c:pt>
                <c:pt idx="9">
                  <c:v>769172</c:v>
                </c:pt>
                <c:pt idx="10">
                  <c:v>1190000</c:v>
                </c:pt>
                <c:pt idx="11">
                  <c:v>582800</c:v>
                </c:pt>
                <c:pt idx="12">
                  <c:v>931566</c:v>
                </c:pt>
                <c:pt idx="13">
                  <c:v>9115000</c:v>
                </c:pt>
                <c:pt idx="14">
                  <c:v>6591000</c:v>
                </c:pt>
                <c:pt idx="15">
                  <c:v>5064168</c:v>
                </c:pt>
                <c:pt idx="16">
                  <c:v>2474000</c:v>
                </c:pt>
                <c:pt idx="17">
                  <c:v>-176933</c:v>
                </c:pt>
                <c:pt idx="18">
                  <c:v>-260803</c:v>
                </c:pt>
                <c:pt idx="19">
                  <c:v>-1229000</c:v>
                </c:pt>
                <c:pt idx="20">
                  <c:v>-4245000</c:v>
                </c:pt>
                <c:pt idx="21">
                  <c:v>379000</c:v>
                </c:pt>
                <c:pt idx="22">
                  <c:v>-735000</c:v>
                </c:pt>
                <c:pt idx="23">
                  <c:v>853000</c:v>
                </c:pt>
                <c:pt idx="24">
                  <c:v>1619000</c:v>
                </c:pt>
                <c:pt idx="25">
                  <c:v>2335000</c:v>
                </c:pt>
                <c:pt idx="26">
                  <c:v>162000</c:v>
                </c:pt>
                <c:pt idx="27">
                  <c:v>-71682</c:v>
                </c:pt>
                <c:pt idx="28">
                  <c:v>-1500602</c:v>
                </c:pt>
                <c:pt idx="29">
                  <c:v>240349</c:v>
                </c:pt>
                <c:pt idx="30">
                  <c:v>-889139</c:v>
                </c:pt>
                <c:pt idx="31">
                  <c:v>283151</c:v>
                </c:pt>
                <c:pt idx="32">
                  <c:v>-45047</c:v>
                </c:pt>
                <c:pt idx="33">
                  <c:v>84966</c:v>
                </c:pt>
                <c:pt idx="34">
                  <c:v>255280</c:v>
                </c:pt>
                <c:pt idx="35">
                  <c:v>49612</c:v>
                </c:pt>
                <c:pt idx="36">
                  <c:v>309695</c:v>
                </c:pt>
                <c:pt idx="37">
                  <c:v>854509</c:v>
                </c:pt>
                <c:pt idx="38">
                  <c:v>-30000</c:v>
                </c:pt>
                <c:pt idx="39">
                  <c:v>593295</c:v>
                </c:pt>
                <c:pt idx="40">
                  <c:v>-4649000</c:v>
                </c:pt>
                <c:pt idx="41">
                  <c:v>-4619000</c:v>
                </c:pt>
                <c:pt idx="42">
                  <c:v>1606646</c:v>
                </c:pt>
                <c:pt idx="43">
                  <c:v>373000</c:v>
                </c:pt>
                <c:pt idx="44">
                  <c:v>725878</c:v>
                </c:pt>
                <c:pt idx="45">
                  <c:v>563941</c:v>
                </c:pt>
                <c:pt idx="46">
                  <c:v>-777000</c:v>
                </c:pt>
                <c:pt idx="47">
                  <c:v>616000</c:v>
                </c:pt>
                <c:pt idx="48">
                  <c:v>342868</c:v>
                </c:pt>
                <c:pt idx="49">
                  <c:v>1115529</c:v>
                </c:pt>
                <c:pt idx="50">
                  <c:v>1149013</c:v>
                </c:pt>
                <c:pt idx="51">
                  <c:v>-72017</c:v>
                </c:pt>
                <c:pt idx="52">
                  <c:v>154000</c:v>
                </c:pt>
                <c:pt idx="53">
                  <c:v>-807167</c:v>
                </c:pt>
                <c:pt idx="54">
                  <c:v>-189605</c:v>
                </c:pt>
                <c:pt idx="55">
                  <c:v>958902</c:v>
                </c:pt>
                <c:pt idx="56">
                  <c:v>300000</c:v>
                </c:pt>
                <c:pt idx="57">
                  <c:v>664800</c:v>
                </c:pt>
                <c:pt idx="58">
                  <c:v>98000</c:v>
                </c:pt>
                <c:pt idx="59">
                  <c:v>-183516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E4-4DCD-AED9-265FFD405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12220016"/>
        <c:axId val="512220408"/>
      </c:barChart>
      <c:lineChart>
        <c:grouping val="standard"/>
        <c:varyColors val="0"/>
        <c:ser>
          <c:idx val="1"/>
          <c:order val="2"/>
          <c:tx>
            <c:v>قیمت پایانی</c:v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E4-4DCD-AED9-265FFD405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215312"/>
        <c:axId val="512214920"/>
      </c:lineChart>
      <c:catAx>
        <c:axId val="512220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20408"/>
        <c:crosses val="autoZero"/>
        <c:auto val="1"/>
        <c:lblAlgn val="ctr"/>
        <c:lblOffset val="100"/>
        <c:noMultiLvlLbl val="1"/>
      </c:catAx>
      <c:valAx>
        <c:axId val="51222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 baseline="0"/>
                  <a:t>حجم (خرید منهای فروش)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20016"/>
        <c:crosses val="autoZero"/>
        <c:crossBetween val="between"/>
      </c:valAx>
      <c:valAx>
        <c:axId val="5122149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</a:t>
                </a:r>
                <a:r>
                  <a:rPr lang="fa-IR" sz="1400" b="1" baseline="0"/>
                  <a:t>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15312"/>
        <c:crosses val="max"/>
        <c:crossBetween val="between"/>
      </c:valAx>
      <c:catAx>
        <c:axId val="512215312"/>
        <c:scaling>
          <c:orientation val="minMax"/>
        </c:scaling>
        <c:delete val="1"/>
        <c:axPos val="b"/>
        <c:majorTickMark val="out"/>
        <c:minorTickMark val="none"/>
        <c:tickLblPos val="nextTo"/>
        <c:crossAx val="5122149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71400458122988"/>
          <c:y val="7.4825038969802513E-2"/>
          <c:w val="0.87081932789099892"/>
          <c:h val="0.82122864206222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حجم!$C$1</c:f>
              <c:strCache>
                <c:ptCount val="1"/>
                <c:pt idx="0">
                  <c:v>حقیقی</c:v>
                </c:pt>
              </c:strCache>
            </c:strRef>
          </c:tx>
          <c:spPr>
            <a:solidFill>
              <a:srgbClr val="FF0000"/>
            </a:solidFill>
            <a:ln w="3175" cap="flat" cmpd="sng" algn="ctr">
              <a:noFill/>
              <a:prstDash val="solid"/>
            </a:ln>
            <a:effectLst/>
          </c:spPr>
          <c:invertIfNegative val="0"/>
          <c:cat>
            <c:numRef>
              <c:f>حجم!$A$2:$A$61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حجم!$C$2:$C$61</c:f>
              <c:numCache>
                <c:formatCode>0.00E+00</c:formatCode>
                <c:ptCount val="60"/>
                <c:pt idx="0">
                  <c:v>-1334000</c:v>
                </c:pt>
                <c:pt idx="1">
                  <c:v>-600000</c:v>
                </c:pt>
                <c:pt idx="2">
                  <c:v>-2114000</c:v>
                </c:pt>
                <c:pt idx="3">
                  <c:v>-782000</c:v>
                </c:pt>
                <c:pt idx="4">
                  <c:v>134000</c:v>
                </c:pt>
                <c:pt idx="5">
                  <c:v>-1221000</c:v>
                </c:pt>
                <c:pt idx="6">
                  <c:v>-154000</c:v>
                </c:pt>
                <c:pt idx="7">
                  <c:v>-278000</c:v>
                </c:pt>
                <c:pt idx="8">
                  <c:v>265000</c:v>
                </c:pt>
                <c:pt idx="9">
                  <c:v>-769000</c:v>
                </c:pt>
                <c:pt idx="10">
                  <c:v>-1190000</c:v>
                </c:pt>
                <c:pt idx="11">
                  <c:v>-583000</c:v>
                </c:pt>
                <c:pt idx="12">
                  <c:v>-932000</c:v>
                </c:pt>
                <c:pt idx="13">
                  <c:v>-9114000</c:v>
                </c:pt>
                <c:pt idx="14">
                  <c:v>-6591000</c:v>
                </c:pt>
                <c:pt idx="15">
                  <c:v>-5064000</c:v>
                </c:pt>
                <c:pt idx="16">
                  <c:v>-2475000</c:v>
                </c:pt>
                <c:pt idx="17">
                  <c:v>176933</c:v>
                </c:pt>
                <c:pt idx="18">
                  <c:v>260803</c:v>
                </c:pt>
                <c:pt idx="19">
                  <c:v>1229341</c:v>
                </c:pt>
                <c:pt idx="20">
                  <c:v>4245000</c:v>
                </c:pt>
                <c:pt idx="21">
                  <c:v>-379000</c:v>
                </c:pt>
                <c:pt idx="22">
                  <c:v>735000</c:v>
                </c:pt>
                <c:pt idx="23">
                  <c:v>-853000</c:v>
                </c:pt>
                <c:pt idx="24">
                  <c:v>-1618000</c:v>
                </c:pt>
                <c:pt idx="25">
                  <c:v>-2335000</c:v>
                </c:pt>
                <c:pt idx="26">
                  <c:v>-162000</c:v>
                </c:pt>
                <c:pt idx="27">
                  <c:v>72000</c:v>
                </c:pt>
                <c:pt idx="28">
                  <c:v>1500000</c:v>
                </c:pt>
                <c:pt idx="29">
                  <c:v>-240000</c:v>
                </c:pt>
                <c:pt idx="30">
                  <c:v>889123</c:v>
                </c:pt>
                <c:pt idx="31">
                  <c:v>-283000</c:v>
                </c:pt>
                <c:pt idx="32">
                  <c:v>45000</c:v>
                </c:pt>
                <c:pt idx="33">
                  <c:v>-85000</c:v>
                </c:pt>
                <c:pt idx="34">
                  <c:v>-256000</c:v>
                </c:pt>
                <c:pt idx="35">
                  <c:v>-49000</c:v>
                </c:pt>
                <c:pt idx="36">
                  <c:v>-310000</c:v>
                </c:pt>
                <c:pt idx="37">
                  <c:v>-854000</c:v>
                </c:pt>
                <c:pt idx="38">
                  <c:v>30000</c:v>
                </c:pt>
                <c:pt idx="39">
                  <c:v>-593000</c:v>
                </c:pt>
                <c:pt idx="40">
                  <c:v>4650000</c:v>
                </c:pt>
                <c:pt idx="41">
                  <c:v>4619000</c:v>
                </c:pt>
                <c:pt idx="42">
                  <c:v>-1607000</c:v>
                </c:pt>
                <c:pt idx="43">
                  <c:v>-372000</c:v>
                </c:pt>
                <c:pt idx="44">
                  <c:v>-725000</c:v>
                </c:pt>
                <c:pt idx="45">
                  <c:v>-564000</c:v>
                </c:pt>
                <c:pt idx="46">
                  <c:v>777000</c:v>
                </c:pt>
                <c:pt idx="47">
                  <c:v>-616000</c:v>
                </c:pt>
                <c:pt idx="48">
                  <c:v>-343000</c:v>
                </c:pt>
                <c:pt idx="49">
                  <c:v>-1116000</c:v>
                </c:pt>
                <c:pt idx="50">
                  <c:v>-1149000</c:v>
                </c:pt>
                <c:pt idx="51">
                  <c:v>72000</c:v>
                </c:pt>
                <c:pt idx="52">
                  <c:v>-154000</c:v>
                </c:pt>
                <c:pt idx="53">
                  <c:v>807541</c:v>
                </c:pt>
                <c:pt idx="54">
                  <c:v>190000</c:v>
                </c:pt>
                <c:pt idx="55">
                  <c:v>-960000</c:v>
                </c:pt>
                <c:pt idx="56">
                  <c:v>-300000</c:v>
                </c:pt>
                <c:pt idx="57">
                  <c:v>-664974</c:v>
                </c:pt>
                <c:pt idx="58">
                  <c:v>-98000</c:v>
                </c:pt>
                <c:pt idx="59">
                  <c:v>183516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2-44F1-A4A2-57DB34387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69563624"/>
        <c:axId val="469559704"/>
      </c:barChart>
      <c:scatterChart>
        <c:scatterStyle val="lineMarker"/>
        <c:varyColors val="0"/>
        <c:ser>
          <c:idx val="4"/>
          <c:order val="1"/>
          <c:tx>
            <c:strRef>
              <c:f>حجم!$E$1</c:f>
              <c:strCache>
                <c:ptCount val="1"/>
                <c:pt idx="0">
                  <c:v>میانگین حقیقی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حجم!$A$21:$A$61</c:f>
              <c:numCache>
                <c:formatCode>General</c:formatCode>
                <c:ptCount val="4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</c:numCache>
            </c:numRef>
          </c:xVal>
          <c:yVal>
            <c:numRef>
              <c:f>حجم!$E$21:$E$61</c:f>
              <c:numCache>
                <c:formatCode>0.00E+00</c:formatCode>
                <c:ptCount val="41"/>
                <c:pt idx="0">
                  <c:v>-1556746.15</c:v>
                </c:pt>
                <c:pt idx="1">
                  <c:v>-1277796.1499999999</c:v>
                </c:pt>
                <c:pt idx="2">
                  <c:v>-1266746.1499999999</c:v>
                </c:pt>
                <c:pt idx="3">
                  <c:v>-1124296.1499999999</c:v>
                </c:pt>
                <c:pt idx="4">
                  <c:v>-1127846.1499999999</c:v>
                </c:pt>
                <c:pt idx="5">
                  <c:v>-1215446.1499999999</c:v>
                </c:pt>
                <c:pt idx="6">
                  <c:v>-1271146.1499999999</c:v>
                </c:pt>
                <c:pt idx="7">
                  <c:v>-1271546.1499999999</c:v>
                </c:pt>
                <c:pt idx="8">
                  <c:v>-1254046.1499999999</c:v>
                </c:pt>
                <c:pt idx="9">
                  <c:v>-1192296.1499999999</c:v>
                </c:pt>
                <c:pt idx="10">
                  <c:v>-1165846.1499999999</c:v>
                </c:pt>
                <c:pt idx="11">
                  <c:v>-1061890</c:v>
                </c:pt>
                <c:pt idx="12">
                  <c:v>-1046890</c:v>
                </c:pt>
                <c:pt idx="13">
                  <c:v>-998040</c:v>
                </c:pt>
                <c:pt idx="14">
                  <c:v>-546590</c:v>
                </c:pt>
                <c:pt idx="15">
                  <c:v>-229840</c:v>
                </c:pt>
                <c:pt idx="16">
                  <c:v>20910</c:v>
                </c:pt>
                <c:pt idx="17">
                  <c:v>129160</c:v>
                </c:pt>
                <c:pt idx="18">
                  <c:v>77613.350000000006</c:v>
                </c:pt>
                <c:pt idx="19">
                  <c:v>66073.2</c:v>
                </c:pt>
                <c:pt idx="20">
                  <c:v>-25043.85</c:v>
                </c:pt>
                <c:pt idx="21">
                  <c:v>-4793.8500000000004</c:v>
                </c:pt>
                <c:pt idx="22">
                  <c:v>245106.15</c:v>
                </c:pt>
                <c:pt idx="23">
                  <c:v>128006.15</c:v>
                </c:pt>
                <c:pt idx="24">
                  <c:v>152056.15</c:v>
                </c:pt>
                <c:pt idx="25">
                  <c:v>196706.15</c:v>
                </c:pt>
                <c:pt idx="26">
                  <c:v>285256.15000000002</c:v>
                </c:pt>
                <c:pt idx="27">
                  <c:v>332206.15000000002</c:v>
                </c:pt>
                <c:pt idx="28">
                  <c:v>297806.15000000002</c:v>
                </c:pt>
                <c:pt idx="29">
                  <c:v>205656.15</c:v>
                </c:pt>
                <c:pt idx="30">
                  <c:v>161856.15</c:v>
                </c:pt>
                <c:pt idx="31">
                  <c:v>59950</c:v>
                </c:pt>
                <c:pt idx="32">
                  <c:v>77700</c:v>
                </c:pt>
                <c:pt idx="33">
                  <c:v>67750</c:v>
                </c:pt>
                <c:pt idx="34">
                  <c:v>112377.05</c:v>
                </c:pt>
                <c:pt idx="35">
                  <c:v>134677.04999999999</c:v>
                </c:pt>
                <c:pt idx="36">
                  <c:v>89127.05</c:v>
                </c:pt>
                <c:pt idx="37">
                  <c:v>89627.05</c:v>
                </c:pt>
                <c:pt idx="38">
                  <c:v>99078.35</c:v>
                </c:pt>
                <c:pt idx="39">
                  <c:v>92678.35</c:v>
                </c:pt>
                <c:pt idx="40">
                  <c:v>131504.15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02-44F1-A4A2-57DB34387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563624"/>
        <c:axId val="469559704"/>
      </c:scatterChart>
      <c:catAx>
        <c:axId val="469563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6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59704"/>
        <c:crosses val="autoZero"/>
        <c:auto val="1"/>
        <c:lblAlgn val="ctr"/>
        <c:lblOffset val="100"/>
        <c:noMultiLvlLbl val="1"/>
      </c:catAx>
      <c:valAx>
        <c:axId val="46955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حجم </a:t>
                </a:r>
                <a:r>
                  <a:rPr lang="fa-IR" sz="1400" b="1" baseline="0"/>
                  <a:t>حقیقی (حجم خرید منهای فروش)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63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حجم!$D$1</c:f>
              <c:strCache>
                <c:ptCount val="1"/>
                <c:pt idx="0">
                  <c:v>حقوقی</c:v>
                </c:pt>
              </c:strCache>
            </c:strRef>
          </c:tx>
          <c:spPr>
            <a:solidFill>
              <a:srgbClr val="FF0000"/>
            </a:solidFill>
            <a:ln w="3175" cap="flat" cmpd="sng" algn="ctr">
              <a:noFill/>
              <a:prstDash val="solid"/>
            </a:ln>
            <a:effectLst/>
          </c:spPr>
          <c:invertIfNegative val="0"/>
          <c:cat>
            <c:numRef>
              <c:f>حجم!$A$2:$A$61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حجم!$D$2:$D$61</c:f>
              <c:numCache>
                <c:formatCode>0.00E+00</c:formatCode>
                <c:ptCount val="60"/>
                <c:pt idx="0">
                  <c:v>1333502</c:v>
                </c:pt>
                <c:pt idx="1">
                  <c:v>600116</c:v>
                </c:pt>
                <c:pt idx="2">
                  <c:v>2112848</c:v>
                </c:pt>
                <c:pt idx="3">
                  <c:v>782738</c:v>
                </c:pt>
                <c:pt idx="4">
                  <c:v>-134189</c:v>
                </c:pt>
                <c:pt idx="5">
                  <c:v>1220923</c:v>
                </c:pt>
                <c:pt idx="6">
                  <c:v>154501</c:v>
                </c:pt>
                <c:pt idx="7">
                  <c:v>278008</c:v>
                </c:pt>
                <c:pt idx="8">
                  <c:v>-264654</c:v>
                </c:pt>
                <c:pt idx="9">
                  <c:v>769172</c:v>
                </c:pt>
                <c:pt idx="10">
                  <c:v>1190000</c:v>
                </c:pt>
                <c:pt idx="11">
                  <c:v>582800</c:v>
                </c:pt>
                <c:pt idx="12">
                  <c:v>931566</c:v>
                </c:pt>
                <c:pt idx="13">
                  <c:v>9115000</c:v>
                </c:pt>
                <c:pt idx="14">
                  <c:v>6591000</c:v>
                </c:pt>
                <c:pt idx="15">
                  <c:v>5064168</c:v>
                </c:pt>
                <c:pt idx="16">
                  <c:v>2474000</c:v>
                </c:pt>
                <c:pt idx="17">
                  <c:v>-176933</c:v>
                </c:pt>
                <c:pt idx="18">
                  <c:v>-260803</c:v>
                </c:pt>
                <c:pt idx="19">
                  <c:v>-1229000</c:v>
                </c:pt>
                <c:pt idx="20">
                  <c:v>-4245000</c:v>
                </c:pt>
                <c:pt idx="21">
                  <c:v>379000</c:v>
                </c:pt>
                <c:pt idx="22">
                  <c:v>-735000</c:v>
                </c:pt>
                <c:pt idx="23">
                  <c:v>853000</c:v>
                </c:pt>
                <c:pt idx="24">
                  <c:v>1619000</c:v>
                </c:pt>
                <c:pt idx="25">
                  <c:v>2335000</c:v>
                </c:pt>
                <c:pt idx="26">
                  <c:v>162000</c:v>
                </c:pt>
                <c:pt idx="27">
                  <c:v>-71682</c:v>
                </c:pt>
                <c:pt idx="28">
                  <c:v>-1500602</c:v>
                </c:pt>
                <c:pt idx="29">
                  <c:v>240349</c:v>
                </c:pt>
                <c:pt idx="30">
                  <c:v>-889139</c:v>
                </c:pt>
                <c:pt idx="31">
                  <c:v>283151</c:v>
                </c:pt>
                <c:pt idx="32">
                  <c:v>-45047</c:v>
                </c:pt>
                <c:pt idx="33">
                  <c:v>84966</c:v>
                </c:pt>
                <c:pt idx="34">
                  <c:v>255280</c:v>
                </c:pt>
                <c:pt idx="35">
                  <c:v>49612</c:v>
                </c:pt>
                <c:pt idx="36">
                  <c:v>309695</c:v>
                </c:pt>
                <c:pt idx="37">
                  <c:v>854509</c:v>
                </c:pt>
                <c:pt idx="38">
                  <c:v>-30000</c:v>
                </c:pt>
                <c:pt idx="39">
                  <c:v>593295</c:v>
                </c:pt>
                <c:pt idx="40">
                  <c:v>-4649000</c:v>
                </c:pt>
                <c:pt idx="41">
                  <c:v>-4619000</c:v>
                </c:pt>
                <c:pt idx="42">
                  <c:v>1606646</c:v>
                </c:pt>
                <c:pt idx="43">
                  <c:v>373000</c:v>
                </c:pt>
                <c:pt idx="44">
                  <c:v>725878</c:v>
                </c:pt>
                <c:pt idx="45">
                  <c:v>563941</c:v>
                </c:pt>
                <c:pt idx="46">
                  <c:v>-777000</c:v>
                </c:pt>
                <c:pt idx="47">
                  <c:v>616000</c:v>
                </c:pt>
                <c:pt idx="48">
                  <c:v>342868</c:v>
                </c:pt>
                <c:pt idx="49">
                  <c:v>1115529</c:v>
                </c:pt>
                <c:pt idx="50">
                  <c:v>1149013</c:v>
                </c:pt>
                <c:pt idx="51">
                  <c:v>-72017</c:v>
                </c:pt>
                <c:pt idx="52">
                  <c:v>154000</c:v>
                </c:pt>
                <c:pt idx="53">
                  <c:v>-807167</c:v>
                </c:pt>
                <c:pt idx="54">
                  <c:v>-189605</c:v>
                </c:pt>
                <c:pt idx="55">
                  <c:v>958902</c:v>
                </c:pt>
                <c:pt idx="56">
                  <c:v>300000</c:v>
                </c:pt>
                <c:pt idx="57">
                  <c:v>664800</c:v>
                </c:pt>
                <c:pt idx="58">
                  <c:v>98000</c:v>
                </c:pt>
                <c:pt idx="59">
                  <c:v>-183516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3-43C0-8200-7C9CAF0CD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69568720"/>
        <c:axId val="469562448"/>
      </c:barChart>
      <c:scatterChart>
        <c:scatterStyle val="lineMarker"/>
        <c:varyColors val="0"/>
        <c:ser>
          <c:idx val="4"/>
          <c:order val="1"/>
          <c:tx>
            <c:strRef>
              <c:f>حجم!$F$1</c:f>
              <c:strCache>
                <c:ptCount val="1"/>
                <c:pt idx="0">
                  <c:v>میانگین حقوقی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حجم!$A$21:$A$61</c:f>
              <c:numCache>
                <c:formatCode>General</c:formatCode>
                <c:ptCount val="4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</c:numCache>
            </c:numRef>
          </c:xVal>
          <c:yVal>
            <c:numRef>
              <c:f>حجم!$F$21:$F$61</c:f>
              <c:numCache>
                <c:formatCode>0.00E+00</c:formatCode>
                <c:ptCount val="41"/>
                <c:pt idx="0">
                  <c:v>1556738.15</c:v>
                </c:pt>
                <c:pt idx="1">
                  <c:v>1277813.05</c:v>
                </c:pt>
                <c:pt idx="2">
                  <c:v>1266757.25</c:v>
                </c:pt>
                <c:pt idx="3">
                  <c:v>1124364.8500000001</c:v>
                </c:pt>
                <c:pt idx="4">
                  <c:v>1127877.95</c:v>
                </c:pt>
                <c:pt idx="5">
                  <c:v>1215537.3999999999</c:v>
                </c:pt>
                <c:pt idx="6">
                  <c:v>1271241.25</c:v>
                </c:pt>
                <c:pt idx="7">
                  <c:v>1271616.2</c:v>
                </c:pt>
                <c:pt idx="8">
                  <c:v>1254131.7</c:v>
                </c:pt>
                <c:pt idx="9">
                  <c:v>1192334.3</c:v>
                </c:pt>
                <c:pt idx="10">
                  <c:v>1165893.1499999999</c:v>
                </c:pt>
                <c:pt idx="11">
                  <c:v>1061936.2</c:v>
                </c:pt>
                <c:pt idx="12">
                  <c:v>1046953.75</c:v>
                </c:pt>
                <c:pt idx="13">
                  <c:v>998123.1</c:v>
                </c:pt>
                <c:pt idx="14">
                  <c:v>546621.4</c:v>
                </c:pt>
                <c:pt idx="15">
                  <c:v>229835.4</c:v>
                </c:pt>
                <c:pt idx="16">
                  <c:v>-20892.400000000001</c:v>
                </c:pt>
                <c:pt idx="17">
                  <c:v>-129107.65</c:v>
                </c:pt>
                <c:pt idx="18">
                  <c:v>-77535.55</c:v>
                </c:pt>
                <c:pt idx="19">
                  <c:v>-65995.399999999994</c:v>
                </c:pt>
                <c:pt idx="20">
                  <c:v>25119.35</c:v>
                </c:pt>
                <c:pt idx="21">
                  <c:v>4919.3500000000004</c:v>
                </c:pt>
                <c:pt idx="22">
                  <c:v>-244980.65</c:v>
                </c:pt>
                <c:pt idx="23">
                  <c:v>-127898.35</c:v>
                </c:pt>
                <c:pt idx="24">
                  <c:v>-151898.35</c:v>
                </c:pt>
                <c:pt idx="25">
                  <c:v>-196554.45</c:v>
                </c:pt>
                <c:pt idx="26">
                  <c:v>-285107.40000000002</c:v>
                </c:pt>
                <c:pt idx="27">
                  <c:v>-332057.40000000002</c:v>
                </c:pt>
                <c:pt idx="28">
                  <c:v>-297673.3</c:v>
                </c:pt>
                <c:pt idx="29">
                  <c:v>-205499.8</c:v>
                </c:pt>
                <c:pt idx="30">
                  <c:v>-161740.79999999999</c:v>
                </c:pt>
                <c:pt idx="31">
                  <c:v>-59833.2</c:v>
                </c:pt>
                <c:pt idx="32">
                  <c:v>-77591.600000000006</c:v>
                </c:pt>
                <c:pt idx="33">
                  <c:v>-67639.25</c:v>
                </c:pt>
                <c:pt idx="34">
                  <c:v>-112245.9</c:v>
                </c:pt>
                <c:pt idx="35">
                  <c:v>-134490.15</c:v>
                </c:pt>
                <c:pt idx="36">
                  <c:v>-89025.65</c:v>
                </c:pt>
                <c:pt idx="37">
                  <c:v>-89510.399999999994</c:v>
                </c:pt>
                <c:pt idx="38">
                  <c:v>-98995.85</c:v>
                </c:pt>
                <c:pt idx="39">
                  <c:v>-92595.85</c:v>
                </c:pt>
                <c:pt idx="40">
                  <c:v>-131436.4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B3-43C0-8200-7C9CAF0CD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568720"/>
        <c:axId val="469562448"/>
      </c:scatterChart>
      <c:catAx>
        <c:axId val="46956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200" b="1"/>
                  <a:t>زمان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62448"/>
        <c:crosses val="autoZero"/>
        <c:auto val="1"/>
        <c:lblAlgn val="ctr"/>
        <c:lblOffset val="100"/>
        <c:noMultiLvlLbl val="1"/>
      </c:catAx>
      <c:valAx>
        <c:axId val="4695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حجم حقوقی</a:t>
                </a:r>
                <a:r>
                  <a:rPr lang="fa-IR" sz="1400" b="1" baseline="0"/>
                  <a:t> </a:t>
                </a:r>
              </a:p>
              <a:p>
                <a:pPr>
                  <a:defRPr/>
                </a:pPr>
                <a:r>
                  <a:rPr lang="fa-IR" sz="1400" b="1" baseline="0"/>
                  <a:t>(حجم خرید منهای فروش)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6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'حجم هر نفر'!$E$1</c:f>
              <c:strCache>
                <c:ptCount val="1"/>
                <c:pt idx="0">
                  <c:v>حقیقی هر نفر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'حجم هر نفر'!$A$2:$A$61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'حجم هر نفر'!$E$2:$E$61</c:f>
              <c:numCache>
                <c:formatCode>0.00E+00</c:formatCode>
                <c:ptCount val="60"/>
                <c:pt idx="0">
                  <c:v>861.28510038109744</c:v>
                </c:pt>
                <c:pt idx="1">
                  <c:v>-132.73564868906897</c:v>
                </c:pt>
                <c:pt idx="2">
                  <c:v>20.521833741343016</c:v>
                </c:pt>
                <c:pt idx="3">
                  <c:v>1245.3480998837208</c:v>
                </c:pt>
                <c:pt idx="4">
                  <c:v>704.87593968094689</c:v>
                </c:pt>
                <c:pt idx="5">
                  <c:v>-547.45058091514784</c:v>
                </c:pt>
                <c:pt idx="6">
                  <c:v>190.60267087172906</c:v>
                </c:pt>
                <c:pt idx="7">
                  <c:v>228.6888160426297</c:v>
                </c:pt>
                <c:pt idx="8">
                  <c:v>278.79765862629984</c:v>
                </c:pt>
                <c:pt idx="9">
                  <c:v>86.82708243815614</c:v>
                </c:pt>
                <c:pt idx="10">
                  <c:v>1192.6848180897234</c:v>
                </c:pt>
                <c:pt idx="11">
                  <c:v>-607.96832252685454</c:v>
                </c:pt>
                <c:pt idx="12">
                  <c:v>-667.78287146615185</c:v>
                </c:pt>
                <c:pt idx="13">
                  <c:v>-5576.8390581955919</c:v>
                </c:pt>
                <c:pt idx="14">
                  <c:v>-2054.5152613087394</c:v>
                </c:pt>
                <c:pt idx="15">
                  <c:v>-2021.3651429672179</c:v>
                </c:pt>
                <c:pt idx="16">
                  <c:v>5710.6555897147837</c:v>
                </c:pt>
                <c:pt idx="17">
                  <c:v>73132.114035087725</c:v>
                </c:pt>
                <c:pt idx="18">
                  <c:v>33744.77086438152</c:v>
                </c:pt>
                <c:pt idx="19">
                  <c:v>42258.681688043973</c:v>
                </c:pt>
                <c:pt idx="20">
                  <c:v>1818.0739066924461</c:v>
                </c:pt>
                <c:pt idx="21">
                  <c:v>231.20402964998129</c:v>
                </c:pt>
                <c:pt idx="22">
                  <c:v>2271.3085234093637</c:v>
                </c:pt>
                <c:pt idx="23">
                  <c:v>-846.28172149253555</c:v>
                </c:pt>
                <c:pt idx="24">
                  <c:v>-1398.189798693275</c:v>
                </c:pt>
                <c:pt idx="25">
                  <c:v>-1830.0913772185829</c:v>
                </c:pt>
                <c:pt idx="26">
                  <c:v>-340.91417648036622</c:v>
                </c:pt>
                <c:pt idx="27">
                  <c:v>-392.85429189517117</c:v>
                </c:pt>
                <c:pt idx="28">
                  <c:v>293.59378819804215</c:v>
                </c:pt>
                <c:pt idx="29">
                  <c:v>-390.8831647810116</c:v>
                </c:pt>
                <c:pt idx="30">
                  <c:v>969.54903642185104</c:v>
                </c:pt>
                <c:pt idx="31">
                  <c:v>-979.44548593491572</c:v>
                </c:pt>
                <c:pt idx="32">
                  <c:v>-175.14238724469533</c:v>
                </c:pt>
                <c:pt idx="33">
                  <c:v>207.99085450258235</c:v>
                </c:pt>
                <c:pt idx="34">
                  <c:v>-725.75553613741749</c:v>
                </c:pt>
                <c:pt idx="35">
                  <c:v>1177.4737792969363</c:v>
                </c:pt>
                <c:pt idx="36">
                  <c:v>453.26068154298537</c:v>
                </c:pt>
                <c:pt idx="37">
                  <c:v>-537.68283790160012</c:v>
                </c:pt>
                <c:pt idx="38">
                  <c:v>1618.8124444294615</c:v>
                </c:pt>
                <c:pt idx="39">
                  <c:v>6635.1086681829665</c:v>
                </c:pt>
                <c:pt idx="40">
                  <c:v>6130.5249372476255</c:v>
                </c:pt>
                <c:pt idx="41">
                  <c:v>2061.7976658754201</c:v>
                </c:pt>
                <c:pt idx="42">
                  <c:v>-1179.2007159646209</c:v>
                </c:pt>
                <c:pt idx="43">
                  <c:v>778.32432773043047</c:v>
                </c:pt>
                <c:pt idx="44">
                  <c:v>-96.480331262940126</c:v>
                </c:pt>
                <c:pt idx="45">
                  <c:v>-697.47878550056407</c:v>
                </c:pt>
                <c:pt idx="46">
                  <c:v>-326.43549589858321</c:v>
                </c:pt>
                <c:pt idx="47">
                  <c:v>-929.84211042463471</c:v>
                </c:pt>
                <c:pt idx="48">
                  <c:v>-1427.6640368607507</c:v>
                </c:pt>
                <c:pt idx="49">
                  <c:v>-2331.1309244135255</c:v>
                </c:pt>
                <c:pt idx="50">
                  <c:v>-1484.2815829079</c:v>
                </c:pt>
                <c:pt idx="51">
                  <c:v>-215.23063533507411</c:v>
                </c:pt>
                <c:pt idx="52">
                  <c:v>-294.10430099235396</c:v>
                </c:pt>
                <c:pt idx="53">
                  <c:v>931.31836251278878</c:v>
                </c:pt>
                <c:pt idx="54">
                  <c:v>317.10391146332404</c:v>
                </c:pt>
                <c:pt idx="55">
                  <c:v>-468.94223247004561</c:v>
                </c:pt>
                <c:pt idx="56">
                  <c:v>-105344.32168237855</c:v>
                </c:pt>
                <c:pt idx="57">
                  <c:v>-25482.987345879301</c:v>
                </c:pt>
                <c:pt idx="58">
                  <c:v>-1260.4584379701505</c:v>
                </c:pt>
                <c:pt idx="59">
                  <c:v>-4942.0544229905699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3-43C2-823E-AC0882D90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69566760"/>
        <c:axId val="469564800"/>
      </c:barChart>
      <c:scatterChart>
        <c:scatterStyle val="lineMarker"/>
        <c:varyColors val="0"/>
        <c:ser>
          <c:idx val="1"/>
          <c:order val="1"/>
          <c:tx>
            <c:strRef>
              <c:f>DATA!$H$1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y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C3-43C2-823E-AC0882D90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569504"/>
        <c:axId val="469564408"/>
      </c:scatterChart>
      <c:catAx>
        <c:axId val="469566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64800"/>
        <c:crosses val="autoZero"/>
        <c:auto val="1"/>
        <c:lblAlgn val="ctr"/>
        <c:lblOffset val="100"/>
        <c:noMultiLvlLbl val="1"/>
      </c:catAx>
      <c:valAx>
        <c:axId val="46956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حجم هر</a:t>
                </a:r>
                <a:r>
                  <a:rPr lang="fa-IR" sz="1400" b="1" baseline="0"/>
                  <a:t> نفر (حجم خرید منهای فروش)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66760"/>
        <c:crosses val="autoZero"/>
        <c:crossBetween val="between"/>
      </c:valAx>
      <c:valAx>
        <c:axId val="4695644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69504"/>
        <c:crosses val="max"/>
        <c:crossBetween val="midCat"/>
      </c:valAx>
      <c:valAx>
        <c:axId val="469569504"/>
        <c:scaling>
          <c:orientation val="minMax"/>
        </c:scaling>
        <c:delete val="1"/>
        <c:axPos val="b"/>
        <c:majorTickMark val="out"/>
        <c:minorTickMark val="none"/>
        <c:tickLblPos val="nextTo"/>
        <c:crossAx val="469564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'حجم هر نفر'!$I$1</c:f>
              <c:strCache>
                <c:ptCount val="1"/>
                <c:pt idx="0">
                  <c:v>حقوقی هر نفر</c:v>
                </c:pt>
              </c:strCache>
            </c:strRef>
          </c:tx>
          <c:spPr>
            <a:solidFill>
              <a:srgbClr val="00B0F0"/>
            </a:solidFill>
            <a:ln w="3175">
              <a:solidFill>
                <a:srgbClr val="00B0F0"/>
              </a:solidFill>
            </a:ln>
            <a:effectLst/>
          </c:spPr>
          <c:invertIfNegative val="0"/>
          <c:cat>
            <c:numRef>
              <c:f>'حجم هر نفر'!$A$2:$A$61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'حجم هر نفر'!$I$2:$I$61</c:f>
              <c:numCache>
                <c:formatCode>0.00E+00</c:formatCode>
                <c:ptCount val="60"/>
                <c:pt idx="0">
                  <c:v>198928.79365079364</c:v>
                </c:pt>
                <c:pt idx="1">
                  <c:v>7737.9159663865576</c:v>
                </c:pt>
                <c:pt idx="2">
                  <c:v>147478.28571428574</c:v>
                </c:pt>
                <c:pt idx="3">
                  <c:v>95945.878787878799</c:v>
                </c:pt>
                <c:pt idx="4">
                  <c:v>-38065.5</c:v>
                </c:pt>
                <c:pt idx="5">
                  <c:v>101743.58333333334</c:v>
                </c:pt>
                <c:pt idx="6">
                  <c:v>33252.03571428571</c:v>
                </c:pt>
                <c:pt idx="7">
                  <c:v>47877.857142857145</c:v>
                </c:pt>
                <c:pt idx="8">
                  <c:v>-4699</c:v>
                </c:pt>
                <c:pt idx="9">
                  <c:v>29052.476190476191</c:v>
                </c:pt>
                <c:pt idx="10">
                  <c:v>102757.14285714284</c:v>
                </c:pt>
                <c:pt idx="11">
                  <c:v>52979.75</c:v>
                </c:pt>
                <c:pt idx="12">
                  <c:v>89705.444444444467</c:v>
                </c:pt>
                <c:pt idx="13">
                  <c:v>297233.33333333326</c:v>
                </c:pt>
                <c:pt idx="14">
                  <c:v>326676.4705882353</c:v>
                </c:pt>
                <c:pt idx="15">
                  <c:v>383988.358974359</c:v>
                </c:pt>
                <c:pt idx="16">
                  <c:v>353428.57142857148</c:v>
                </c:pt>
                <c:pt idx="17">
                  <c:v>-176933</c:v>
                </c:pt>
                <c:pt idx="18">
                  <c:v>-75088.833333333328</c:v>
                </c:pt>
                <c:pt idx="19">
                  <c:v>-234350</c:v>
                </c:pt>
                <c:pt idx="20">
                  <c:v>-155950</c:v>
                </c:pt>
                <c:pt idx="21">
                  <c:v>123626.92307692308</c:v>
                </c:pt>
                <c:pt idx="22">
                  <c:v>701375</c:v>
                </c:pt>
                <c:pt idx="23">
                  <c:v>-35560.606060606078</c:v>
                </c:pt>
                <c:pt idx="24">
                  <c:v>229013.986013986</c:v>
                </c:pt>
                <c:pt idx="25">
                  <c:v>659337.6623376623</c:v>
                </c:pt>
                <c:pt idx="26">
                  <c:v>-11888.888888888876</c:v>
                </c:pt>
                <c:pt idx="27">
                  <c:v>-395592.19230769231</c:v>
                </c:pt>
                <c:pt idx="28">
                  <c:v>-359475.25</c:v>
                </c:pt>
                <c:pt idx="29">
                  <c:v>17185.8</c:v>
                </c:pt>
                <c:pt idx="30">
                  <c:v>-122361.1333333333</c:v>
                </c:pt>
                <c:pt idx="31">
                  <c:v>787.78787878787989</c:v>
                </c:pt>
                <c:pt idx="32">
                  <c:v>-1539.3333333333358</c:v>
                </c:pt>
                <c:pt idx="33">
                  <c:v>32623.714285714283</c:v>
                </c:pt>
                <c:pt idx="34">
                  <c:v>-4120</c:v>
                </c:pt>
                <c:pt idx="35">
                  <c:v>24806</c:v>
                </c:pt>
                <c:pt idx="36">
                  <c:v>-28348</c:v>
                </c:pt>
                <c:pt idx="37">
                  <c:v>106387.51428571429</c:v>
                </c:pt>
                <c:pt idx="38">
                  <c:v>104311.11111111112</c:v>
                </c:pt>
                <c:pt idx="39">
                  <c:v>421794.375</c:v>
                </c:pt>
                <c:pt idx="40">
                  <c:v>-182594.77124183008</c:v>
                </c:pt>
                <c:pt idx="41">
                  <c:v>-333100</c:v>
                </c:pt>
                <c:pt idx="42">
                  <c:v>189075.71111111113</c:v>
                </c:pt>
                <c:pt idx="43">
                  <c:v>-34444.444444444438</c:v>
                </c:pt>
                <c:pt idx="44">
                  <c:v>62142.345454545459</c:v>
                </c:pt>
                <c:pt idx="45">
                  <c:v>81660.111111111109</c:v>
                </c:pt>
                <c:pt idx="46">
                  <c:v>-40800</c:v>
                </c:pt>
                <c:pt idx="47">
                  <c:v>41333.333333333314</c:v>
                </c:pt>
                <c:pt idx="48">
                  <c:v>5917.8500000000058</c:v>
                </c:pt>
                <c:pt idx="49">
                  <c:v>76945.666666666672</c:v>
                </c:pt>
                <c:pt idx="50">
                  <c:v>97253.25</c:v>
                </c:pt>
                <c:pt idx="51">
                  <c:v>3370.75</c:v>
                </c:pt>
                <c:pt idx="52">
                  <c:v>38500</c:v>
                </c:pt>
                <c:pt idx="53">
                  <c:v>-181671.15178571429</c:v>
                </c:pt>
                <c:pt idx="54">
                  <c:v>-22765.9</c:v>
                </c:pt>
                <c:pt idx="55">
                  <c:v>70439.78571428571</c:v>
                </c:pt>
                <c:pt idx="56">
                  <c:v>100000</c:v>
                </c:pt>
                <c:pt idx="57">
                  <c:v>260095.45454545453</c:v>
                </c:pt>
                <c:pt idx="58">
                  <c:v>144396.13526570046</c:v>
                </c:pt>
                <c:pt idx="59">
                  <c:v>150586.90476190476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D-4671-B688-AE02C1C28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69566368"/>
        <c:axId val="469563232"/>
      </c:barChart>
      <c:scatterChart>
        <c:scatterStyle val="lineMarker"/>
        <c:varyColors val="0"/>
        <c:ser>
          <c:idx val="1"/>
          <c:order val="1"/>
          <c:tx>
            <c:strRef>
              <c:f>DATA!$H$1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y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AD-4671-B688-AE02C1C28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565976"/>
        <c:axId val="469559312"/>
      </c:scatterChart>
      <c:catAx>
        <c:axId val="469566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63232"/>
        <c:crosses val="autoZero"/>
        <c:auto val="1"/>
        <c:lblAlgn val="ctr"/>
        <c:lblOffset val="100"/>
        <c:noMultiLvlLbl val="1"/>
      </c:catAx>
      <c:valAx>
        <c:axId val="46956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حجم هر</a:t>
                </a:r>
                <a:r>
                  <a:rPr lang="fa-IR" sz="1400" b="1" baseline="0"/>
                  <a:t> نفر (حجم خرید منهای فروش)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66368"/>
        <c:crosses val="autoZero"/>
        <c:crossBetween val="between"/>
      </c:valAx>
      <c:valAx>
        <c:axId val="4695593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65976"/>
        <c:crosses val="max"/>
        <c:crossBetween val="midCat"/>
      </c:valAx>
      <c:valAx>
        <c:axId val="469565976"/>
        <c:scaling>
          <c:orientation val="minMax"/>
        </c:scaling>
        <c:delete val="1"/>
        <c:axPos val="b"/>
        <c:majorTickMark val="out"/>
        <c:minorTickMark val="none"/>
        <c:tickLblPos val="nextTo"/>
        <c:crossAx val="46955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'حجم هر نفر'!$K$1</c:f>
              <c:strCache>
                <c:ptCount val="1"/>
                <c:pt idx="0">
                  <c:v>نسبت قدرت  خریدار</c:v>
                </c:pt>
              </c:strCache>
            </c:strRef>
          </c:tx>
          <c:spPr>
            <a:solidFill>
              <a:srgbClr val="0070C0"/>
            </a:solidFill>
            <a:ln w="3175">
              <a:solidFill>
                <a:srgbClr val="00B0F0"/>
              </a:solidFill>
            </a:ln>
            <a:effectLst/>
          </c:spPr>
          <c:invertIfNegative val="0"/>
          <c:cat>
            <c:numRef>
              <c:f>'حجم هر نفر'!$A$2:$A$61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'حجم هر نفر'!$K$2:$K$61</c:f>
              <c:numCache>
                <c:formatCode>0.00E+00</c:formatCode>
                <c:ptCount val="60"/>
                <c:pt idx="0">
                  <c:v>2.1811708860759493</c:v>
                </c:pt>
                <c:pt idx="1">
                  <c:v>1.0858263854830799</c:v>
                </c:pt>
                <c:pt idx="2">
                  <c:v>1.9955522609340253</c:v>
                </c:pt>
                <c:pt idx="3">
                  <c:v>2.0838815789473686</c:v>
                </c:pt>
                <c:pt idx="4">
                  <c:v>1.3469150174621654</c:v>
                </c:pt>
                <c:pt idx="5">
                  <c:v>1.125</c:v>
                </c:pt>
                <c:pt idx="6">
                  <c:v>1.2246455834242094</c:v>
                </c:pt>
                <c:pt idx="7">
                  <c:v>1.3273703041144902</c:v>
                </c:pt>
                <c:pt idx="8">
                  <c:v>1.0198300283286119</c:v>
                </c:pt>
                <c:pt idx="9">
                  <c:v>1.3617216117216118</c:v>
                </c:pt>
                <c:pt idx="10">
                  <c:v>2.4124168514412418</c:v>
                </c:pt>
                <c:pt idx="11">
                  <c:v>0.92307692307692313</c:v>
                </c:pt>
                <c:pt idx="12">
                  <c:v>1.137029288702929</c:v>
                </c:pt>
                <c:pt idx="13">
                  <c:v>1.399636693914623</c:v>
                </c:pt>
                <c:pt idx="14">
                  <c:v>1.9403541472506989</c:v>
                </c:pt>
                <c:pt idx="15">
                  <c:v>1.5977312390924956</c:v>
                </c:pt>
                <c:pt idx="16">
                  <c:v>3.93603744149766</c:v>
                </c:pt>
                <c:pt idx="17">
                  <c:v>38.333333333333336</c:v>
                </c:pt>
                <c:pt idx="18">
                  <c:v>19</c:v>
                </c:pt>
                <c:pt idx="19">
                  <c:v>11.634146341463415</c:v>
                </c:pt>
                <c:pt idx="20">
                  <c:v>0.93881363848668842</c:v>
                </c:pt>
                <c:pt idx="21">
                  <c:v>1.2415730337078652</c:v>
                </c:pt>
                <c:pt idx="22">
                  <c:v>0.65471923536439669</c:v>
                </c:pt>
                <c:pt idx="23">
                  <c:v>0.93684210526315792</c:v>
                </c:pt>
                <c:pt idx="24">
                  <c:v>1.049165120593692</c:v>
                </c:pt>
                <c:pt idx="25">
                  <c:v>1.2857142857142858</c:v>
                </c:pt>
                <c:pt idx="26">
                  <c:v>0.87780548628428923</c:v>
                </c:pt>
                <c:pt idx="27">
                  <c:v>0.77224986180210065</c:v>
                </c:pt>
                <c:pt idx="28">
                  <c:v>0.61862806796727499</c:v>
                </c:pt>
                <c:pt idx="29">
                  <c:v>0.93093661305581832</c:v>
                </c:pt>
                <c:pt idx="30">
                  <c:v>1.0436590436590436</c:v>
                </c:pt>
                <c:pt idx="31">
                  <c:v>0.66050955414012735</c:v>
                </c:pt>
                <c:pt idx="32">
                  <c:v>0.8513388734995383</c:v>
                </c:pt>
                <c:pt idx="33">
                  <c:v>1.2352231604342581</c:v>
                </c:pt>
                <c:pt idx="34">
                  <c:v>0.81378600823045266</c:v>
                </c:pt>
                <c:pt idx="35">
                  <c:v>2.2994923857868019</c:v>
                </c:pt>
                <c:pt idx="36">
                  <c:v>1.5063469675599437</c:v>
                </c:pt>
                <c:pt idx="37">
                  <c:v>1.2496969696969698</c:v>
                </c:pt>
                <c:pt idx="38">
                  <c:v>2.5121163166397413</c:v>
                </c:pt>
                <c:pt idx="39">
                  <c:v>6.84020618556701</c:v>
                </c:pt>
                <c:pt idx="40">
                  <c:v>1.1959619952494063</c:v>
                </c:pt>
                <c:pt idx="41">
                  <c:v>0.65306122448979587</c:v>
                </c:pt>
                <c:pt idx="42">
                  <c:v>0.92087542087542085</c:v>
                </c:pt>
                <c:pt idx="43">
                  <c:v>1.6730954676952747</c:v>
                </c:pt>
                <c:pt idx="44">
                  <c:v>1.4227226202661207</c:v>
                </c:pt>
                <c:pt idx="45">
                  <c:v>0.88398692810457513</c:v>
                </c:pt>
                <c:pt idx="46">
                  <c:v>0.55528255528255532</c:v>
                </c:pt>
                <c:pt idx="47">
                  <c:v>0.80275624461670969</c:v>
                </c:pt>
                <c:pt idx="48">
                  <c:v>0.53273137697516926</c:v>
                </c:pt>
                <c:pt idx="49">
                  <c:v>0.53123209169054442</c:v>
                </c:pt>
                <c:pt idx="50">
                  <c:v>0.63829787234042556</c:v>
                </c:pt>
                <c:pt idx="51">
                  <c:v>0.787321063394683</c:v>
                </c:pt>
                <c:pt idx="52">
                  <c:v>0.94693396226415094</c:v>
                </c:pt>
                <c:pt idx="53">
                  <c:v>1.0747663551401869</c:v>
                </c:pt>
                <c:pt idx="54">
                  <c:v>1.1554545454545455</c:v>
                </c:pt>
                <c:pt idx="55">
                  <c:v>1.0915163660654643</c:v>
                </c:pt>
                <c:pt idx="56">
                  <c:v>7.0850202429149798E-3</c:v>
                </c:pt>
                <c:pt idx="57">
                  <c:v>7.0544554455445538E-2</c:v>
                </c:pt>
                <c:pt idx="58">
                  <c:v>0.56633081444164568</c:v>
                </c:pt>
                <c:pt idx="59">
                  <c:v>0.13086642599277978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7-4AAA-BF0B-0B5756685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69562840"/>
        <c:axId val="469557744"/>
      </c:barChart>
      <c:scatterChart>
        <c:scatterStyle val="lineMarker"/>
        <c:varyColors val="0"/>
        <c:ser>
          <c:idx val="1"/>
          <c:order val="1"/>
          <c:tx>
            <c:strRef>
              <c:f>DATA!$H$1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y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C7-4AAA-BF0B-0B5756685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558920"/>
        <c:axId val="469564016"/>
      </c:scatterChart>
      <c:catAx>
        <c:axId val="469562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57744"/>
        <c:crosses val="autoZero"/>
        <c:auto val="1"/>
        <c:lblAlgn val="ctr"/>
        <c:lblOffset val="100"/>
        <c:noMultiLvlLbl val="1"/>
      </c:catAx>
      <c:valAx>
        <c:axId val="46955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نسبت قدرت خریدار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62840"/>
        <c:crosses val="autoZero"/>
        <c:crossBetween val="between"/>
      </c:valAx>
      <c:valAx>
        <c:axId val="4695640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58920"/>
        <c:crosses val="max"/>
        <c:crossBetween val="midCat"/>
      </c:valAx>
      <c:valAx>
        <c:axId val="469558920"/>
        <c:scaling>
          <c:orientation val="minMax"/>
        </c:scaling>
        <c:delete val="1"/>
        <c:axPos val="b"/>
        <c:majorTickMark val="out"/>
        <c:minorTickMark val="none"/>
        <c:tickLblPos val="nextTo"/>
        <c:crossAx val="469564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حجم!$G$1</c:f>
              <c:strCache>
                <c:ptCount val="1"/>
                <c:pt idx="0">
                  <c:v>حقیقی تجمعی</c:v>
                </c:pt>
              </c:strCache>
            </c:strRef>
          </c:tx>
          <c:spPr>
            <a:ln w="38100" cap="flat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حجم!$A$2:$A$61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حجم!$G$2:$G$61</c:f>
              <c:numCache>
                <c:formatCode>0.00E+00</c:formatCode>
                <c:ptCount val="60"/>
                <c:pt idx="0">
                  <c:v>-1334000</c:v>
                </c:pt>
                <c:pt idx="1">
                  <c:v>-1934000</c:v>
                </c:pt>
                <c:pt idx="2">
                  <c:v>-4048000</c:v>
                </c:pt>
                <c:pt idx="3">
                  <c:v>-4830000</c:v>
                </c:pt>
                <c:pt idx="4">
                  <c:v>-4696000</c:v>
                </c:pt>
                <c:pt idx="5">
                  <c:v>-5917000</c:v>
                </c:pt>
                <c:pt idx="6">
                  <c:v>-6071000</c:v>
                </c:pt>
                <c:pt idx="7">
                  <c:v>-6349000</c:v>
                </c:pt>
                <c:pt idx="8">
                  <c:v>-6084000</c:v>
                </c:pt>
                <c:pt idx="9">
                  <c:v>-6853000</c:v>
                </c:pt>
                <c:pt idx="10">
                  <c:v>-8043000</c:v>
                </c:pt>
                <c:pt idx="11">
                  <c:v>-8626000</c:v>
                </c:pt>
                <c:pt idx="12">
                  <c:v>-9558000</c:v>
                </c:pt>
                <c:pt idx="13">
                  <c:v>-18672000</c:v>
                </c:pt>
                <c:pt idx="14">
                  <c:v>-25263000</c:v>
                </c:pt>
                <c:pt idx="15">
                  <c:v>-30327000</c:v>
                </c:pt>
                <c:pt idx="16">
                  <c:v>-32802000</c:v>
                </c:pt>
                <c:pt idx="17">
                  <c:v>-32625067</c:v>
                </c:pt>
                <c:pt idx="18">
                  <c:v>-32364264</c:v>
                </c:pt>
                <c:pt idx="19">
                  <c:v>-31134923</c:v>
                </c:pt>
                <c:pt idx="20">
                  <c:v>-26889923</c:v>
                </c:pt>
                <c:pt idx="21">
                  <c:v>-27268923</c:v>
                </c:pt>
                <c:pt idx="22">
                  <c:v>-26533923</c:v>
                </c:pt>
                <c:pt idx="23">
                  <c:v>-27386923</c:v>
                </c:pt>
                <c:pt idx="24">
                  <c:v>-29004923</c:v>
                </c:pt>
                <c:pt idx="25">
                  <c:v>-31339923</c:v>
                </c:pt>
                <c:pt idx="26">
                  <c:v>-31501923</c:v>
                </c:pt>
                <c:pt idx="27">
                  <c:v>-31429923</c:v>
                </c:pt>
                <c:pt idx="28">
                  <c:v>-29929923</c:v>
                </c:pt>
                <c:pt idx="29">
                  <c:v>-30169923</c:v>
                </c:pt>
                <c:pt idx="30">
                  <c:v>-29280800</c:v>
                </c:pt>
                <c:pt idx="31">
                  <c:v>-29563800</c:v>
                </c:pt>
                <c:pt idx="32">
                  <c:v>-29518800</c:v>
                </c:pt>
                <c:pt idx="33">
                  <c:v>-29603800</c:v>
                </c:pt>
                <c:pt idx="34">
                  <c:v>-29859800</c:v>
                </c:pt>
                <c:pt idx="35">
                  <c:v>-29908800</c:v>
                </c:pt>
                <c:pt idx="36">
                  <c:v>-30218800</c:v>
                </c:pt>
                <c:pt idx="37">
                  <c:v>-31072800</c:v>
                </c:pt>
                <c:pt idx="38">
                  <c:v>-31042800</c:v>
                </c:pt>
                <c:pt idx="39">
                  <c:v>-31635800</c:v>
                </c:pt>
                <c:pt idx="40">
                  <c:v>-26985800</c:v>
                </c:pt>
                <c:pt idx="41">
                  <c:v>-22366800</c:v>
                </c:pt>
                <c:pt idx="42">
                  <c:v>-23973800</c:v>
                </c:pt>
                <c:pt idx="43">
                  <c:v>-24345800</c:v>
                </c:pt>
                <c:pt idx="44">
                  <c:v>-25070800</c:v>
                </c:pt>
                <c:pt idx="45">
                  <c:v>-25634800</c:v>
                </c:pt>
                <c:pt idx="46">
                  <c:v>-24857800</c:v>
                </c:pt>
                <c:pt idx="47">
                  <c:v>-25473800</c:v>
                </c:pt>
                <c:pt idx="48">
                  <c:v>-25816800</c:v>
                </c:pt>
                <c:pt idx="49">
                  <c:v>-26932800</c:v>
                </c:pt>
                <c:pt idx="50">
                  <c:v>-28081800</c:v>
                </c:pt>
                <c:pt idx="51">
                  <c:v>-28009800</c:v>
                </c:pt>
                <c:pt idx="52">
                  <c:v>-28163800</c:v>
                </c:pt>
                <c:pt idx="53">
                  <c:v>-27356259</c:v>
                </c:pt>
                <c:pt idx="54">
                  <c:v>-27166259</c:v>
                </c:pt>
                <c:pt idx="55">
                  <c:v>-28126259</c:v>
                </c:pt>
                <c:pt idx="56">
                  <c:v>-28426259</c:v>
                </c:pt>
                <c:pt idx="57">
                  <c:v>-29091233</c:v>
                </c:pt>
                <c:pt idx="58">
                  <c:v>-29189233</c:v>
                </c:pt>
                <c:pt idx="59">
                  <c:v>-29005717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58-46C0-8A2D-4A8B4DEAAECA}"/>
            </c:ext>
          </c:extLst>
        </c:ser>
        <c:ser>
          <c:idx val="4"/>
          <c:order val="1"/>
          <c:tx>
            <c:strRef>
              <c:f>حجم!$H$1</c:f>
              <c:strCache>
                <c:ptCount val="1"/>
                <c:pt idx="0">
                  <c:v>حقوقی تجمعی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-0.24899643770984531"/>
                  <c:y val="0.136746142166687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حجم!$A$2:$A$61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حجم!$H$2:$H$61</c:f>
              <c:numCache>
                <c:formatCode>0.00E+00</c:formatCode>
                <c:ptCount val="60"/>
                <c:pt idx="0">
                  <c:v>1333502</c:v>
                </c:pt>
                <c:pt idx="1">
                  <c:v>1933618</c:v>
                </c:pt>
                <c:pt idx="2">
                  <c:v>4046466</c:v>
                </c:pt>
                <c:pt idx="3">
                  <c:v>4829204</c:v>
                </c:pt>
                <c:pt idx="4">
                  <c:v>4695015</c:v>
                </c:pt>
                <c:pt idx="5">
                  <c:v>5915938</c:v>
                </c:pt>
                <c:pt idx="6">
                  <c:v>6070439</c:v>
                </c:pt>
                <c:pt idx="7">
                  <c:v>6348447</c:v>
                </c:pt>
                <c:pt idx="8">
                  <c:v>6083793</c:v>
                </c:pt>
                <c:pt idx="9">
                  <c:v>6852965</c:v>
                </c:pt>
                <c:pt idx="10">
                  <c:v>8042965</c:v>
                </c:pt>
                <c:pt idx="11">
                  <c:v>8625765</c:v>
                </c:pt>
                <c:pt idx="12">
                  <c:v>9557331</c:v>
                </c:pt>
                <c:pt idx="13">
                  <c:v>18672331</c:v>
                </c:pt>
                <c:pt idx="14">
                  <c:v>25263331</c:v>
                </c:pt>
                <c:pt idx="15">
                  <c:v>30327499</c:v>
                </c:pt>
                <c:pt idx="16">
                  <c:v>32801499</c:v>
                </c:pt>
                <c:pt idx="17">
                  <c:v>32624566</c:v>
                </c:pt>
                <c:pt idx="18">
                  <c:v>32363763</c:v>
                </c:pt>
                <c:pt idx="19">
                  <c:v>31134763</c:v>
                </c:pt>
                <c:pt idx="20">
                  <c:v>26889763</c:v>
                </c:pt>
                <c:pt idx="21">
                  <c:v>27268763</c:v>
                </c:pt>
                <c:pt idx="22">
                  <c:v>26533763</c:v>
                </c:pt>
                <c:pt idx="23">
                  <c:v>27386763</c:v>
                </c:pt>
                <c:pt idx="24">
                  <c:v>29005763</c:v>
                </c:pt>
                <c:pt idx="25">
                  <c:v>31340763</c:v>
                </c:pt>
                <c:pt idx="26">
                  <c:v>31502763</c:v>
                </c:pt>
                <c:pt idx="27">
                  <c:v>31431081</c:v>
                </c:pt>
                <c:pt idx="28">
                  <c:v>29930479</c:v>
                </c:pt>
                <c:pt idx="29">
                  <c:v>30170828</c:v>
                </c:pt>
                <c:pt idx="30">
                  <c:v>29281689</c:v>
                </c:pt>
                <c:pt idx="31">
                  <c:v>29564840</c:v>
                </c:pt>
                <c:pt idx="32">
                  <c:v>29519793</c:v>
                </c:pt>
                <c:pt idx="33">
                  <c:v>29604759</c:v>
                </c:pt>
                <c:pt idx="34">
                  <c:v>29860039</c:v>
                </c:pt>
                <c:pt idx="35">
                  <c:v>29909651</c:v>
                </c:pt>
                <c:pt idx="36">
                  <c:v>30219346</c:v>
                </c:pt>
                <c:pt idx="37">
                  <c:v>31073855</c:v>
                </c:pt>
                <c:pt idx="38">
                  <c:v>31043855</c:v>
                </c:pt>
                <c:pt idx="39">
                  <c:v>31637150</c:v>
                </c:pt>
                <c:pt idx="40">
                  <c:v>26988150</c:v>
                </c:pt>
                <c:pt idx="41">
                  <c:v>22369150</c:v>
                </c:pt>
                <c:pt idx="42">
                  <c:v>23975796</c:v>
                </c:pt>
                <c:pt idx="43">
                  <c:v>24348796</c:v>
                </c:pt>
                <c:pt idx="44">
                  <c:v>25074674</c:v>
                </c:pt>
                <c:pt idx="45">
                  <c:v>25638615</c:v>
                </c:pt>
                <c:pt idx="46">
                  <c:v>24861615</c:v>
                </c:pt>
                <c:pt idx="47">
                  <c:v>25477615</c:v>
                </c:pt>
                <c:pt idx="48">
                  <c:v>25820483</c:v>
                </c:pt>
                <c:pt idx="49">
                  <c:v>26936012</c:v>
                </c:pt>
                <c:pt idx="50">
                  <c:v>28085025</c:v>
                </c:pt>
                <c:pt idx="51">
                  <c:v>28013008</c:v>
                </c:pt>
                <c:pt idx="52">
                  <c:v>28167008</c:v>
                </c:pt>
                <c:pt idx="53">
                  <c:v>27359841</c:v>
                </c:pt>
                <c:pt idx="54">
                  <c:v>27170236</c:v>
                </c:pt>
                <c:pt idx="55">
                  <c:v>28129138</c:v>
                </c:pt>
                <c:pt idx="56">
                  <c:v>28429138</c:v>
                </c:pt>
                <c:pt idx="57">
                  <c:v>29093938</c:v>
                </c:pt>
                <c:pt idx="58">
                  <c:v>29191938</c:v>
                </c:pt>
                <c:pt idx="59">
                  <c:v>29008422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58-46C0-8A2D-4A8B4DEAA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891328"/>
        <c:axId val="500892504"/>
      </c:lineChart>
      <c:lineChart>
        <c:grouping val="standard"/>
        <c:varyColors val="0"/>
        <c:ser>
          <c:idx val="1"/>
          <c:order val="2"/>
          <c:tx>
            <c:v>قیمت پایانی</c:v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1259014823909507E-2"/>
                  <c:y val="8.48640759031939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58-46C0-8A2D-4A8B4DEAA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574968"/>
        <c:axId val="500892896"/>
      </c:lineChart>
      <c:catAx>
        <c:axId val="5008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892504"/>
        <c:crosses val="autoZero"/>
        <c:auto val="1"/>
        <c:lblAlgn val="ctr"/>
        <c:lblOffset val="100"/>
        <c:noMultiLvlLbl val="1"/>
      </c:catAx>
      <c:valAx>
        <c:axId val="50089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حجم تجمعی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891328"/>
        <c:crosses val="autoZero"/>
        <c:crossBetween val="between"/>
      </c:valAx>
      <c:valAx>
        <c:axId val="5008928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</a:t>
                </a:r>
                <a:r>
                  <a:rPr lang="fa-IR" sz="1400" b="1" baseline="0"/>
                  <a:t>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74968"/>
        <c:crosses val="max"/>
        <c:crossBetween val="between"/>
      </c:valAx>
      <c:catAx>
        <c:axId val="50757496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crossAx val="500892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تعداد!$G$1</c:f>
              <c:strCache>
                <c:ptCount val="1"/>
                <c:pt idx="0">
                  <c:v>حقیقی تجمعی</c:v>
                </c:pt>
              </c:strCache>
            </c:strRef>
          </c:tx>
          <c:spPr>
            <a:ln w="38100" cap="flat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حجم!$A$2:$A$61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تعداد!$G$2:$G$61</c:f>
              <c:numCache>
                <c:formatCode>0.00E+00</c:formatCode>
                <c:ptCount val="60"/>
                <c:pt idx="0">
                  <c:v>-1491</c:v>
                </c:pt>
                <c:pt idx="1">
                  <c:v>-1676</c:v>
                </c:pt>
                <c:pt idx="2">
                  <c:v>-3026</c:v>
                </c:pt>
                <c:pt idx="3">
                  <c:v>-4342</c:v>
                </c:pt>
                <c:pt idx="4">
                  <c:v>-4641</c:v>
                </c:pt>
                <c:pt idx="5">
                  <c:v>-4833</c:v>
                </c:pt>
                <c:pt idx="6">
                  <c:v>-5038</c:v>
                </c:pt>
                <c:pt idx="7">
                  <c:v>-5403</c:v>
                </c:pt>
                <c:pt idx="8">
                  <c:v>-5420</c:v>
                </c:pt>
                <c:pt idx="9">
                  <c:v>-5823</c:v>
                </c:pt>
                <c:pt idx="10">
                  <c:v>-7096</c:v>
                </c:pt>
                <c:pt idx="11">
                  <c:v>-6997</c:v>
                </c:pt>
                <c:pt idx="12">
                  <c:v>-7131</c:v>
                </c:pt>
                <c:pt idx="13">
                  <c:v>-7578</c:v>
                </c:pt>
                <c:pt idx="14">
                  <c:v>-8592</c:v>
                </c:pt>
                <c:pt idx="15">
                  <c:v>-9278</c:v>
                </c:pt>
                <c:pt idx="16">
                  <c:v>-11160</c:v>
                </c:pt>
                <c:pt idx="17">
                  <c:v>-11271</c:v>
                </c:pt>
                <c:pt idx="18">
                  <c:v>-11504</c:v>
                </c:pt>
                <c:pt idx="19">
                  <c:v>-11939</c:v>
                </c:pt>
                <c:pt idx="20">
                  <c:v>-11803</c:v>
                </c:pt>
                <c:pt idx="21">
                  <c:v>-12059</c:v>
                </c:pt>
                <c:pt idx="22">
                  <c:v>-11476</c:v>
                </c:pt>
                <c:pt idx="23">
                  <c:v>-11403</c:v>
                </c:pt>
                <c:pt idx="24">
                  <c:v>-11454</c:v>
                </c:pt>
                <c:pt idx="25">
                  <c:v>-11694</c:v>
                </c:pt>
                <c:pt idx="26">
                  <c:v>-11548</c:v>
                </c:pt>
                <c:pt idx="27">
                  <c:v>-11147</c:v>
                </c:pt>
                <c:pt idx="28">
                  <c:v>-10544</c:v>
                </c:pt>
                <c:pt idx="29">
                  <c:v>-10475</c:v>
                </c:pt>
                <c:pt idx="30">
                  <c:v>-10516</c:v>
                </c:pt>
                <c:pt idx="31">
                  <c:v>-9991</c:v>
                </c:pt>
                <c:pt idx="32">
                  <c:v>-9829</c:v>
                </c:pt>
                <c:pt idx="33">
                  <c:v>-10022</c:v>
                </c:pt>
                <c:pt idx="34">
                  <c:v>-9845</c:v>
                </c:pt>
                <c:pt idx="35">
                  <c:v>-10613</c:v>
                </c:pt>
                <c:pt idx="36">
                  <c:v>-10974</c:v>
                </c:pt>
                <c:pt idx="37">
                  <c:v>-11182</c:v>
                </c:pt>
                <c:pt idx="38">
                  <c:v>-12114</c:v>
                </c:pt>
                <c:pt idx="39">
                  <c:v>-13241</c:v>
                </c:pt>
                <c:pt idx="40">
                  <c:v>-13398</c:v>
                </c:pt>
                <c:pt idx="41">
                  <c:v>-12903</c:v>
                </c:pt>
                <c:pt idx="42">
                  <c:v>-12761</c:v>
                </c:pt>
                <c:pt idx="43">
                  <c:v>-13462</c:v>
                </c:pt>
                <c:pt idx="44">
                  <c:v>-13876</c:v>
                </c:pt>
                <c:pt idx="45">
                  <c:v>-13733</c:v>
                </c:pt>
                <c:pt idx="46">
                  <c:v>-13007</c:v>
                </c:pt>
                <c:pt idx="47">
                  <c:v>-12779</c:v>
                </c:pt>
                <c:pt idx="48">
                  <c:v>-11954</c:v>
                </c:pt>
                <c:pt idx="49">
                  <c:v>-11147</c:v>
                </c:pt>
                <c:pt idx="50">
                  <c:v>-10403</c:v>
                </c:pt>
                <c:pt idx="51">
                  <c:v>-10194</c:v>
                </c:pt>
                <c:pt idx="52">
                  <c:v>-10149</c:v>
                </c:pt>
                <c:pt idx="53">
                  <c:v>-10230</c:v>
                </c:pt>
                <c:pt idx="54">
                  <c:v>-10398</c:v>
                </c:pt>
                <c:pt idx="55">
                  <c:v>-10538</c:v>
                </c:pt>
                <c:pt idx="56">
                  <c:v>-9560</c:v>
                </c:pt>
                <c:pt idx="57">
                  <c:v>-8802</c:v>
                </c:pt>
                <c:pt idx="58">
                  <c:v>-7755</c:v>
                </c:pt>
                <c:pt idx="59">
                  <c:v>-6781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6A-4406-A358-9F24DE919E41}"/>
            </c:ext>
          </c:extLst>
        </c:ser>
        <c:ser>
          <c:idx val="4"/>
          <c:order val="1"/>
          <c:tx>
            <c:strRef>
              <c:f>تعداد!$H$1</c:f>
              <c:strCache>
                <c:ptCount val="1"/>
                <c:pt idx="0">
                  <c:v>حقوقی تجمعی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حجم!$A$2:$A$61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تعداد!$H$2:$H$61</c:f>
              <c:numCache>
                <c:formatCode>0.00E+00</c:formatCode>
                <c:ptCount val="60"/>
                <c:pt idx="0">
                  <c:v>-2</c:v>
                </c:pt>
                <c:pt idx="1">
                  <c:v>8</c:v>
                </c:pt>
                <c:pt idx="2">
                  <c:v>15</c:v>
                </c:pt>
                <c:pt idx="3">
                  <c:v>13</c:v>
                </c:pt>
                <c:pt idx="4">
                  <c:v>14</c:v>
                </c:pt>
                <c:pt idx="5">
                  <c:v>14</c:v>
                </c:pt>
                <c:pt idx="6">
                  <c:v>13</c:v>
                </c:pt>
                <c:pt idx="7">
                  <c:v>12</c:v>
                </c:pt>
                <c:pt idx="8">
                  <c:v>8</c:v>
                </c:pt>
                <c:pt idx="9">
                  <c:v>16</c:v>
                </c:pt>
                <c:pt idx="10">
                  <c:v>15</c:v>
                </c:pt>
                <c:pt idx="11">
                  <c:v>17</c:v>
                </c:pt>
                <c:pt idx="12">
                  <c:v>20</c:v>
                </c:pt>
                <c:pt idx="13">
                  <c:v>27</c:v>
                </c:pt>
                <c:pt idx="14">
                  <c:v>32</c:v>
                </c:pt>
                <c:pt idx="15">
                  <c:v>33</c:v>
                </c:pt>
                <c:pt idx="16">
                  <c:v>33</c:v>
                </c:pt>
                <c:pt idx="17">
                  <c:v>32</c:v>
                </c:pt>
                <c:pt idx="18">
                  <c:v>31</c:v>
                </c:pt>
                <c:pt idx="19">
                  <c:v>30</c:v>
                </c:pt>
                <c:pt idx="20">
                  <c:v>25</c:v>
                </c:pt>
                <c:pt idx="21">
                  <c:v>-20</c:v>
                </c:pt>
                <c:pt idx="22">
                  <c:v>-25</c:v>
                </c:pt>
                <c:pt idx="23">
                  <c:v>-20</c:v>
                </c:pt>
                <c:pt idx="24">
                  <c:v>-22</c:v>
                </c:pt>
                <c:pt idx="25">
                  <c:v>-26</c:v>
                </c:pt>
                <c:pt idx="26">
                  <c:v>-25</c:v>
                </c:pt>
                <c:pt idx="27">
                  <c:v>-14</c:v>
                </c:pt>
                <c:pt idx="28">
                  <c:v>-11</c:v>
                </c:pt>
                <c:pt idx="29">
                  <c:v>-7</c:v>
                </c:pt>
                <c:pt idx="30">
                  <c:v>-8</c:v>
                </c:pt>
                <c:pt idx="31">
                  <c:v>0</c:v>
                </c:pt>
                <c:pt idx="32">
                  <c:v>-1</c:v>
                </c:pt>
                <c:pt idx="33">
                  <c:v>-3</c:v>
                </c:pt>
                <c:pt idx="34">
                  <c:v>1</c:v>
                </c:pt>
                <c:pt idx="35">
                  <c:v>1</c:v>
                </c:pt>
                <c:pt idx="36">
                  <c:v>3</c:v>
                </c:pt>
                <c:pt idx="37">
                  <c:v>5</c:v>
                </c:pt>
                <c:pt idx="38">
                  <c:v>1</c:v>
                </c:pt>
                <c:pt idx="39">
                  <c:v>-5</c:v>
                </c:pt>
                <c:pt idx="40">
                  <c:v>-13</c:v>
                </c:pt>
                <c:pt idx="41">
                  <c:v>-15</c:v>
                </c:pt>
                <c:pt idx="42">
                  <c:v>-16</c:v>
                </c:pt>
                <c:pt idx="43">
                  <c:v>-13</c:v>
                </c:pt>
                <c:pt idx="44">
                  <c:v>-12</c:v>
                </c:pt>
                <c:pt idx="45">
                  <c:v>-13</c:v>
                </c:pt>
                <c:pt idx="46">
                  <c:v>-15</c:v>
                </c:pt>
                <c:pt idx="47">
                  <c:v>-14</c:v>
                </c:pt>
                <c:pt idx="48">
                  <c:v>-11</c:v>
                </c:pt>
                <c:pt idx="49">
                  <c:v>0</c:v>
                </c:pt>
                <c:pt idx="50">
                  <c:v>4</c:v>
                </c:pt>
                <c:pt idx="51">
                  <c:v>3</c:v>
                </c:pt>
                <c:pt idx="52">
                  <c:v>3</c:v>
                </c:pt>
                <c:pt idx="53">
                  <c:v>12</c:v>
                </c:pt>
                <c:pt idx="54">
                  <c:v>9</c:v>
                </c:pt>
                <c:pt idx="55">
                  <c:v>12</c:v>
                </c:pt>
                <c:pt idx="56">
                  <c:v>15</c:v>
                </c:pt>
                <c:pt idx="57">
                  <c:v>8</c:v>
                </c:pt>
                <c:pt idx="58">
                  <c:v>-6</c:v>
                </c:pt>
                <c:pt idx="59">
                  <c:v>-17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6A-4406-A358-9F24DE919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573792"/>
        <c:axId val="507574184"/>
      </c:lineChart>
      <c:lineChart>
        <c:grouping val="standard"/>
        <c:varyColors val="0"/>
        <c:ser>
          <c:idx val="1"/>
          <c:order val="2"/>
          <c:tx>
            <c:v>قیمت پایانی</c:v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6A-4406-A358-9F24DE919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574576"/>
        <c:axId val="507575360"/>
      </c:lineChart>
      <c:catAx>
        <c:axId val="50757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74184"/>
        <c:crosses val="autoZero"/>
        <c:auto val="1"/>
        <c:lblAlgn val="ctr"/>
        <c:lblOffset val="100"/>
        <c:noMultiLvlLbl val="1"/>
      </c:catAx>
      <c:valAx>
        <c:axId val="507574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تعداد تجمعی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73792"/>
        <c:crosses val="autoZero"/>
        <c:crossBetween val="between"/>
      </c:valAx>
      <c:valAx>
        <c:axId val="5075753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</a:t>
                </a:r>
                <a:r>
                  <a:rPr lang="fa-IR" sz="1400" b="1" baseline="0"/>
                  <a:t>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74576"/>
        <c:crosses val="max"/>
        <c:crossBetween val="between"/>
      </c:valAx>
      <c:catAx>
        <c:axId val="507574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crossAx val="507575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'حجم هر نفر'!$F$1</c:f>
              <c:strCache>
                <c:ptCount val="1"/>
                <c:pt idx="0">
                  <c:v>حقیقی هر نفر تجمعی</c:v>
                </c:pt>
              </c:strCache>
            </c:strRef>
          </c:tx>
          <c:spPr>
            <a:ln w="38100" cap="flat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'حجم هر نفر'!$A$2:$A$61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'حجم هر نفر'!$F$2:$F$61</c:f>
              <c:numCache>
                <c:formatCode>0.00E+00</c:formatCode>
                <c:ptCount val="60"/>
                <c:pt idx="0">
                  <c:v>861.28510038109744</c:v>
                </c:pt>
                <c:pt idx="1">
                  <c:v>728.54945169202847</c:v>
                </c:pt>
                <c:pt idx="2">
                  <c:v>749.07128543337149</c:v>
                </c:pt>
                <c:pt idx="3">
                  <c:v>1994.4193853170923</c:v>
                </c:pt>
                <c:pt idx="4">
                  <c:v>2699.2953249980392</c:v>
                </c:pt>
                <c:pt idx="5">
                  <c:v>2151.8447440828913</c:v>
                </c:pt>
                <c:pt idx="6">
                  <c:v>2342.4474149546204</c:v>
                </c:pt>
                <c:pt idx="7">
                  <c:v>2571.1362309972501</c:v>
                </c:pt>
                <c:pt idx="8">
                  <c:v>2849.9338896235499</c:v>
                </c:pt>
                <c:pt idx="9">
                  <c:v>2936.7609720617061</c:v>
                </c:pt>
                <c:pt idx="10">
                  <c:v>4129.4457901514297</c:v>
                </c:pt>
                <c:pt idx="11">
                  <c:v>3521.4774676245752</c:v>
                </c:pt>
                <c:pt idx="12">
                  <c:v>2853.6945961584233</c:v>
                </c:pt>
                <c:pt idx="13">
                  <c:v>-2723.1444620371685</c:v>
                </c:pt>
                <c:pt idx="14">
                  <c:v>-4777.6597233459079</c:v>
                </c:pt>
                <c:pt idx="15">
                  <c:v>-6799.024866313126</c:v>
                </c:pt>
                <c:pt idx="16">
                  <c:v>-1088.3692765983424</c:v>
                </c:pt>
                <c:pt idx="17">
                  <c:v>72043.744758489382</c:v>
                </c:pt>
                <c:pt idx="18">
                  <c:v>105788.51562287091</c:v>
                </c:pt>
                <c:pt idx="19">
                  <c:v>148047.19731091487</c:v>
                </c:pt>
                <c:pt idx="20">
                  <c:v>149865.27121760731</c:v>
                </c:pt>
                <c:pt idx="21">
                  <c:v>150096.4752472573</c:v>
                </c:pt>
                <c:pt idx="22">
                  <c:v>152367.78377066666</c:v>
                </c:pt>
                <c:pt idx="23">
                  <c:v>151521.50204917413</c:v>
                </c:pt>
                <c:pt idx="24">
                  <c:v>150123.31225048084</c:v>
                </c:pt>
                <c:pt idx="25">
                  <c:v>148293.22087326227</c:v>
                </c:pt>
                <c:pt idx="26">
                  <c:v>147952.30669678189</c:v>
                </c:pt>
                <c:pt idx="27">
                  <c:v>147559.45240488672</c:v>
                </c:pt>
                <c:pt idx="28">
                  <c:v>147853.04619308477</c:v>
                </c:pt>
                <c:pt idx="29">
                  <c:v>147462.16302830377</c:v>
                </c:pt>
                <c:pt idx="30">
                  <c:v>148431.71206472561</c:v>
                </c:pt>
                <c:pt idx="31">
                  <c:v>147452.2665787907</c:v>
                </c:pt>
                <c:pt idx="32">
                  <c:v>147277.124191546</c:v>
                </c:pt>
                <c:pt idx="33">
                  <c:v>147485.11504604857</c:v>
                </c:pt>
                <c:pt idx="34">
                  <c:v>146759.35950991116</c:v>
                </c:pt>
                <c:pt idx="35">
                  <c:v>147936.83328920809</c:v>
                </c:pt>
                <c:pt idx="36">
                  <c:v>148390.09397075107</c:v>
                </c:pt>
                <c:pt idx="37">
                  <c:v>147852.41113284946</c:v>
                </c:pt>
                <c:pt idx="38">
                  <c:v>149471.22357727893</c:v>
                </c:pt>
                <c:pt idx="39">
                  <c:v>156106.3322454619</c:v>
                </c:pt>
                <c:pt idx="40">
                  <c:v>162236.85718270953</c:v>
                </c:pt>
                <c:pt idx="41">
                  <c:v>164298.65484858496</c:v>
                </c:pt>
                <c:pt idx="42">
                  <c:v>163119.45413262033</c:v>
                </c:pt>
                <c:pt idx="43">
                  <c:v>163897.77846035076</c:v>
                </c:pt>
                <c:pt idx="44">
                  <c:v>163801.29812908781</c:v>
                </c:pt>
                <c:pt idx="45">
                  <c:v>163103.81934358724</c:v>
                </c:pt>
                <c:pt idx="46">
                  <c:v>162777.38384768864</c:v>
                </c:pt>
                <c:pt idx="47">
                  <c:v>161847.54173726402</c:v>
                </c:pt>
                <c:pt idx="48">
                  <c:v>160419.87770040327</c:v>
                </c:pt>
                <c:pt idx="49">
                  <c:v>158088.74677598974</c:v>
                </c:pt>
                <c:pt idx="50">
                  <c:v>156604.46519308185</c:v>
                </c:pt>
                <c:pt idx="51">
                  <c:v>156389.23455774676</c:v>
                </c:pt>
                <c:pt idx="52">
                  <c:v>156095.1302567544</c:v>
                </c:pt>
                <c:pt idx="53">
                  <c:v>157026.4486192672</c:v>
                </c:pt>
                <c:pt idx="54">
                  <c:v>157343.55253073052</c:v>
                </c:pt>
                <c:pt idx="55">
                  <c:v>156874.61029826046</c:v>
                </c:pt>
                <c:pt idx="56">
                  <c:v>51530.288615881916</c:v>
                </c:pt>
                <c:pt idx="57">
                  <c:v>26047.301270002616</c:v>
                </c:pt>
                <c:pt idx="58">
                  <c:v>24786.842832032464</c:v>
                </c:pt>
                <c:pt idx="59">
                  <c:v>19844.788409041896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F8-46EF-AFCB-59864248D418}"/>
            </c:ext>
          </c:extLst>
        </c:ser>
        <c:ser>
          <c:idx val="4"/>
          <c:order val="1"/>
          <c:tx>
            <c:strRef>
              <c:f>'حجم هر نفر'!$J$1</c:f>
              <c:strCache>
                <c:ptCount val="1"/>
                <c:pt idx="0">
                  <c:v>حقوقی هر نفر تجمعی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'حجم هر نفر'!$A$2:$A$61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'حجم هر نفر'!$J$2:$J$61</c:f>
              <c:numCache>
                <c:formatCode>0.00E+00</c:formatCode>
                <c:ptCount val="60"/>
                <c:pt idx="0">
                  <c:v>198928.79365079364</c:v>
                </c:pt>
                <c:pt idx="1">
                  <c:v>206666.7096171802</c:v>
                </c:pt>
                <c:pt idx="2">
                  <c:v>354144.99533146597</c:v>
                </c:pt>
                <c:pt idx="3">
                  <c:v>450090.87411934475</c:v>
                </c:pt>
                <c:pt idx="4">
                  <c:v>412025.37411934475</c:v>
                </c:pt>
                <c:pt idx="5">
                  <c:v>513768.95745267812</c:v>
                </c:pt>
                <c:pt idx="6">
                  <c:v>547020.9931669638</c:v>
                </c:pt>
                <c:pt idx="7">
                  <c:v>594898.85030982096</c:v>
                </c:pt>
                <c:pt idx="8">
                  <c:v>590199.85030982096</c:v>
                </c:pt>
                <c:pt idx="9">
                  <c:v>619252.32650029717</c:v>
                </c:pt>
                <c:pt idx="10">
                  <c:v>722009.46935744002</c:v>
                </c:pt>
                <c:pt idx="11">
                  <c:v>774989.21935744002</c:v>
                </c:pt>
                <c:pt idx="12">
                  <c:v>864694.66380188451</c:v>
                </c:pt>
                <c:pt idx="13">
                  <c:v>1161927.9971352178</c:v>
                </c:pt>
                <c:pt idx="14">
                  <c:v>1488604.467723453</c:v>
                </c:pt>
                <c:pt idx="15">
                  <c:v>1872592.8266978119</c:v>
                </c:pt>
                <c:pt idx="16">
                  <c:v>2226021.3981263833</c:v>
                </c:pt>
                <c:pt idx="17">
                  <c:v>2049088.3981263833</c:v>
                </c:pt>
                <c:pt idx="18">
                  <c:v>1973999.5647930501</c:v>
                </c:pt>
                <c:pt idx="19">
                  <c:v>1739649.5647930501</c:v>
                </c:pt>
                <c:pt idx="20">
                  <c:v>1583699.5647930501</c:v>
                </c:pt>
                <c:pt idx="21">
                  <c:v>1707326.4878699731</c:v>
                </c:pt>
                <c:pt idx="22">
                  <c:v>2408701.4878699733</c:v>
                </c:pt>
                <c:pt idx="23">
                  <c:v>2373140.8818093673</c:v>
                </c:pt>
                <c:pt idx="24">
                  <c:v>2602154.8678233535</c:v>
                </c:pt>
                <c:pt idx="25">
                  <c:v>3261492.5301610157</c:v>
                </c:pt>
                <c:pt idx="26">
                  <c:v>3249603.6412721267</c:v>
                </c:pt>
                <c:pt idx="27">
                  <c:v>2854011.4489644342</c:v>
                </c:pt>
                <c:pt idx="28">
                  <c:v>2494536.1989644342</c:v>
                </c:pt>
                <c:pt idx="29">
                  <c:v>2511721.998964434</c:v>
                </c:pt>
                <c:pt idx="30">
                  <c:v>2389360.8656311007</c:v>
                </c:pt>
                <c:pt idx="31">
                  <c:v>2390148.6535098888</c:v>
                </c:pt>
                <c:pt idx="32">
                  <c:v>2388609.3201765553</c:v>
                </c:pt>
                <c:pt idx="33">
                  <c:v>2421233.0344622694</c:v>
                </c:pt>
                <c:pt idx="34">
                  <c:v>2417113.0344622694</c:v>
                </c:pt>
                <c:pt idx="35">
                  <c:v>2441919.0344622694</c:v>
                </c:pt>
                <c:pt idx="36">
                  <c:v>2413571.0344622694</c:v>
                </c:pt>
                <c:pt idx="37">
                  <c:v>2519958.5487479838</c:v>
                </c:pt>
                <c:pt idx="38">
                  <c:v>2624269.6598590948</c:v>
                </c:pt>
                <c:pt idx="39">
                  <c:v>3046064.0348590948</c:v>
                </c:pt>
                <c:pt idx="40">
                  <c:v>2863469.2636172646</c:v>
                </c:pt>
                <c:pt idx="41">
                  <c:v>2530369.2636172646</c:v>
                </c:pt>
                <c:pt idx="42">
                  <c:v>2719444.9747283757</c:v>
                </c:pt>
                <c:pt idx="43">
                  <c:v>2685000.5302839312</c:v>
                </c:pt>
                <c:pt idx="44">
                  <c:v>2747142.8757384764</c:v>
                </c:pt>
                <c:pt idx="45">
                  <c:v>2828802.9868495874</c:v>
                </c:pt>
                <c:pt idx="46">
                  <c:v>2788002.9868495874</c:v>
                </c:pt>
                <c:pt idx="47">
                  <c:v>2829336.3201829209</c:v>
                </c:pt>
                <c:pt idx="48">
                  <c:v>2835254.170182921</c:v>
                </c:pt>
                <c:pt idx="49">
                  <c:v>2912199.8368495875</c:v>
                </c:pt>
                <c:pt idx="50">
                  <c:v>3009453.0868495875</c:v>
                </c:pt>
                <c:pt idx="51">
                  <c:v>3012823.8368495875</c:v>
                </c:pt>
                <c:pt idx="52">
                  <c:v>3051323.8368495875</c:v>
                </c:pt>
                <c:pt idx="53">
                  <c:v>2869652.6850638734</c:v>
                </c:pt>
                <c:pt idx="54">
                  <c:v>2846886.7850638735</c:v>
                </c:pt>
                <c:pt idx="55">
                  <c:v>2917326.5707781594</c:v>
                </c:pt>
                <c:pt idx="56">
                  <c:v>3017326.5707781594</c:v>
                </c:pt>
                <c:pt idx="57">
                  <c:v>3277422.025323614</c:v>
                </c:pt>
                <c:pt idx="58">
                  <c:v>3421818.1605893145</c:v>
                </c:pt>
                <c:pt idx="59">
                  <c:v>3572405.0653512194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F8-46EF-AFCB-59864248D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572224"/>
        <c:axId val="507572616"/>
      </c:lineChart>
      <c:lineChart>
        <c:grouping val="standard"/>
        <c:varyColors val="0"/>
        <c:ser>
          <c:idx val="1"/>
          <c:order val="2"/>
          <c:tx>
            <c:v>قیمت پایانی</c:v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'همبستگی و بتا'!$A$2:$A$61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F8-46EF-AFCB-59864248D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833464"/>
        <c:axId val="507573008"/>
      </c:lineChart>
      <c:catAx>
        <c:axId val="507572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72616"/>
        <c:crosses val="autoZero"/>
        <c:auto val="1"/>
        <c:lblAlgn val="ctr"/>
        <c:lblOffset val="100"/>
        <c:noMultiLvlLbl val="1"/>
      </c:catAx>
      <c:valAx>
        <c:axId val="50757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 حجم هر نفر حقوقی به حقیقی تجمعی</a:t>
                </a:r>
                <a:endParaRPr lang="en-US" sz="1400" b="1"/>
              </a:p>
            </c:rich>
          </c:tx>
          <c:layout>
            <c:manualLayout>
              <c:xMode val="edge"/>
              <c:yMode val="edge"/>
              <c:x val="1.7575758554285451E-2"/>
              <c:y val="0.367669066514975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72224"/>
        <c:crosses val="autoZero"/>
        <c:crossBetween val="between"/>
      </c:valAx>
      <c:valAx>
        <c:axId val="5075730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833464"/>
        <c:crosses val="max"/>
        <c:crossBetween val="between"/>
      </c:valAx>
      <c:catAx>
        <c:axId val="372833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7573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'اندیکاتور ها'!$B$2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'اندیکاتور ها'!$A$3:$A$62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'اندیکاتور ها'!$B$3:$B$62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30-40D7-B0B4-BE4B26B2D62C}"/>
            </c:ext>
          </c:extLst>
        </c:ser>
        <c:ser>
          <c:idx val="2"/>
          <c:order val="1"/>
          <c:tx>
            <c:strRef>
              <c:f>'اندیکاتور ها'!$E$2</c:f>
              <c:strCache>
                <c:ptCount val="1"/>
                <c:pt idx="0">
                  <c:v>MA 10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'اندیکاتور ها'!$A$12:$A$62</c:f>
              <c:numCache>
                <c:formatCode>General</c:formatCode>
                <c:ptCount val="5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</c:numCache>
            </c:numRef>
          </c:xVal>
          <c:yVal>
            <c:numRef>
              <c:f>'اندیکاتور ها'!$E$12:$E$62</c:f>
              <c:numCache>
                <c:formatCode>0.00E+00</c:formatCode>
                <c:ptCount val="51"/>
                <c:pt idx="0">
                  <c:v>46794.400000000001</c:v>
                </c:pt>
                <c:pt idx="1">
                  <c:v>47274</c:v>
                </c:pt>
                <c:pt idx="2">
                  <c:v>47761.3</c:v>
                </c:pt>
                <c:pt idx="3">
                  <c:v>48413.1</c:v>
                </c:pt>
                <c:pt idx="4">
                  <c:v>48835.5</c:v>
                </c:pt>
                <c:pt idx="5">
                  <c:v>49099.8</c:v>
                </c:pt>
                <c:pt idx="6">
                  <c:v>49136.2</c:v>
                </c:pt>
                <c:pt idx="7">
                  <c:v>49078.6</c:v>
                </c:pt>
                <c:pt idx="8">
                  <c:v>49205.7</c:v>
                </c:pt>
                <c:pt idx="9">
                  <c:v>49481.1</c:v>
                </c:pt>
                <c:pt idx="10">
                  <c:v>50061.4</c:v>
                </c:pt>
                <c:pt idx="11">
                  <c:v>50674.2</c:v>
                </c:pt>
                <c:pt idx="12">
                  <c:v>51440.3</c:v>
                </c:pt>
                <c:pt idx="13">
                  <c:v>52337</c:v>
                </c:pt>
                <c:pt idx="14">
                  <c:v>53274.2</c:v>
                </c:pt>
                <c:pt idx="15">
                  <c:v>54200.1</c:v>
                </c:pt>
                <c:pt idx="16">
                  <c:v>55268</c:v>
                </c:pt>
                <c:pt idx="17">
                  <c:v>56342.9</c:v>
                </c:pt>
                <c:pt idx="18">
                  <c:v>57205.2</c:v>
                </c:pt>
                <c:pt idx="19">
                  <c:v>57929.5</c:v>
                </c:pt>
                <c:pt idx="20">
                  <c:v>58338.7</c:v>
                </c:pt>
                <c:pt idx="21">
                  <c:v>58528.1</c:v>
                </c:pt>
                <c:pt idx="22">
                  <c:v>58349.1</c:v>
                </c:pt>
                <c:pt idx="23">
                  <c:v>57946.3</c:v>
                </c:pt>
                <c:pt idx="24">
                  <c:v>57759.7</c:v>
                </c:pt>
                <c:pt idx="25">
                  <c:v>57508.5</c:v>
                </c:pt>
                <c:pt idx="26">
                  <c:v>57362.3</c:v>
                </c:pt>
                <c:pt idx="27">
                  <c:v>57396.2</c:v>
                </c:pt>
                <c:pt idx="28">
                  <c:v>57475.1</c:v>
                </c:pt>
                <c:pt idx="29">
                  <c:v>57465.4</c:v>
                </c:pt>
                <c:pt idx="30">
                  <c:v>57755.3</c:v>
                </c:pt>
                <c:pt idx="31">
                  <c:v>58318.3</c:v>
                </c:pt>
                <c:pt idx="32">
                  <c:v>59357.599999999999</c:v>
                </c:pt>
                <c:pt idx="33">
                  <c:v>60700.3</c:v>
                </c:pt>
                <c:pt idx="34">
                  <c:v>61810.5</c:v>
                </c:pt>
                <c:pt idx="35">
                  <c:v>63078.1</c:v>
                </c:pt>
                <c:pt idx="36">
                  <c:v>64430</c:v>
                </c:pt>
                <c:pt idx="37">
                  <c:v>65999.5</c:v>
                </c:pt>
                <c:pt idx="38">
                  <c:v>67802</c:v>
                </c:pt>
                <c:pt idx="39">
                  <c:v>69618.600000000006</c:v>
                </c:pt>
                <c:pt idx="40">
                  <c:v>71000.2</c:v>
                </c:pt>
                <c:pt idx="41">
                  <c:v>71711.100000000006</c:v>
                </c:pt>
                <c:pt idx="42">
                  <c:v>72259.5</c:v>
                </c:pt>
                <c:pt idx="43">
                  <c:v>72767.100000000006</c:v>
                </c:pt>
                <c:pt idx="44">
                  <c:v>73491.199999999997</c:v>
                </c:pt>
                <c:pt idx="45">
                  <c:v>74083</c:v>
                </c:pt>
                <c:pt idx="46">
                  <c:v>74182.5</c:v>
                </c:pt>
                <c:pt idx="47">
                  <c:v>73742.2</c:v>
                </c:pt>
                <c:pt idx="48">
                  <c:v>72792.100000000006</c:v>
                </c:pt>
                <c:pt idx="49">
                  <c:v>71546.2</c:v>
                </c:pt>
                <c:pt idx="50">
                  <c:v>70177.7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30-40D7-B0B4-BE4B26B2D62C}"/>
            </c:ext>
          </c:extLst>
        </c:ser>
        <c:ser>
          <c:idx val="1"/>
          <c:order val="2"/>
          <c:tx>
            <c:strRef>
              <c:f>'اندیکاتور ها'!$F$2</c:f>
              <c:strCache>
                <c:ptCount val="1"/>
                <c:pt idx="0">
                  <c:v>MA 20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'اندیکاتور ها'!$A$22:$A$62</c:f>
              <c:numCache>
                <c:formatCode>General</c:formatCode>
                <c:ptCount val="4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</c:numCache>
            </c:numRef>
          </c:xVal>
          <c:yVal>
            <c:numRef>
              <c:f>'اندیکاتور ها'!$F$22:$F$62</c:f>
              <c:numCache>
                <c:formatCode>0.00E+00</c:formatCode>
                <c:ptCount val="41"/>
                <c:pt idx="0">
                  <c:v>48427.9</c:v>
                </c:pt>
                <c:pt idx="1">
                  <c:v>48974.1</c:v>
                </c:pt>
                <c:pt idx="2">
                  <c:v>49600.800000000003</c:v>
                </c:pt>
                <c:pt idx="3">
                  <c:v>50375.05</c:v>
                </c:pt>
                <c:pt idx="4">
                  <c:v>51054.85</c:v>
                </c:pt>
                <c:pt idx="5">
                  <c:v>51649.95</c:v>
                </c:pt>
                <c:pt idx="6">
                  <c:v>52202.1</c:v>
                </c:pt>
                <c:pt idx="7">
                  <c:v>52710.75</c:v>
                </c:pt>
                <c:pt idx="8">
                  <c:v>53205.45</c:v>
                </c:pt>
                <c:pt idx="9">
                  <c:v>53705.3</c:v>
                </c:pt>
                <c:pt idx="10">
                  <c:v>54200.05</c:v>
                </c:pt>
                <c:pt idx="11">
                  <c:v>54601.15</c:v>
                </c:pt>
                <c:pt idx="12">
                  <c:v>54894.7</c:v>
                </c:pt>
                <c:pt idx="13">
                  <c:v>55141.65</c:v>
                </c:pt>
                <c:pt idx="14">
                  <c:v>55516.95</c:v>
                </c:pt>
                <c:pt idx="15">
                  <c:v>55854.3</c:v>
                </c:pt>
                <c:pt idx="16">
                  <c:v>56315.15</c:v>
                </c:pt>
                <c:pt idx="17">
                  <c:v>56869.55</c:v>
                </c:pt>
                <c:pt idx="18">
                  <c:v>57340.15</c:v>
                </c:pt>
                <c:pt idx="19">
                  <c:v>57697.45</c:v>
                </c:pt>
                <c:pt idx="20">
                  <c:v>58047</c:v>
                </c:pt>
                <c:pt idx="21">
                  <c:v>58423.199999999997</c:v>
                </c:pt>
                <c:pt idx="22">
                  <c:v>58853.35</c:v>
                </c:pt>
                <c:pt idx="23">
                  <c:v>59323.3</c:v>
                </c:pt>
                <c:pt idx="24">
                  <c:v>59785.1</c:v>
                </c:pt>
                <c:pt idx="25">
                  <c:v>60293.3</c:v>
                </c:pt>
                <c:pt idx="26">
                  <c:v>60896.15</c:v>
                </c:pt>
                <c:pt idx="27">
                  <c:v>61697.85</c:v>
                </c:pt>
                <c:pt idx="28">
                  <c:v>62638.55</c:v>
                </c:pt>
                <c:pt idx="29">
                  <c:v>63542</c:v>
                </c:pt>
                <c:pt idx="30">
                  <c:v>64377.75</c:v>
                </c:pt>
                <c:pt idx="31">
                  <c:v>65014.7</c:v>
                </c:pt>
                <c:pt idx="32">
                  <c:v>65808.55</c:v>
                </c:pt>
                <c:pt idx="33">
                  <c:v>66733.7</c:v>
                </c:pt>
                <c:pt idx="34">
                  <c:v>67650.850000000006</c:v>
                </c:pt>
                <c:pt idx="35">
                  <c:v>68580.55</c:v>
                </c:pt>
                <c:pt idx="36">
                  <c:v>69306.25</c:v>
                </c:pt>
                <c:pt idx="37">
                  <c:v>69870.850000000006</c:v>
                </c:pt>
                <c:pt idx="38">
                  <c:v>70297.05</c:v>
                </c:pt>
                <c:pt idx="39">
                  <c:v>70582.399999999994</c:v>
                </c:pt>
                <c:pt idx="40">
                  <c:v>70588.95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30-40D7-B0B4-BE4B26B2D62C}"/>
            </c:ext>
          </c:extLst>
        </c:ser>
        <c:ser>
          <c:idx val="3"/>
          <c:order val="3"/>
          <c:tx>
            <c:strRef>
              <c:f>'اندیکاتور ها'!$G$2</c:f>
              <c:strCache>
                <c:ptCount val="1"/>
                <c:pt idx="0">
                  <c:v>MA 30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'اندیکاتور ها'!$A$32:$A$62</c:f>
              <c:numCache>
                <c:formatCode>General</c:formatCode>
                <c:ptCount val="31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</c:numCache>
            </c:numRef>
          </c:xVal>
          <c:yVal>
            <c:numRef>
              <c:f>'اندیکاتور ها'!$G$32:$G$62</c:f>
              <c:numCache>
                <c:formatCode>0.00E+00</c:formatCode>
                <c:ptCount val="31"/>
                <c:pt idx="0">
                  <c:v>51731.5</c:v>
                </c:pt>
                <c:pt idx="1">
                  <c:v>52158.76666666667</c:v>
                </c:pt>
                <c:pt idx="2">
                  <c:v>52516.9</c:v>
                </c:pt>
                <c:pt idx="3">
                  <c:v>52898.8</c:v>
                </c:pt>
                <c:pt idx="4">
                  <c:v>53289.8</c:v>
                </c:pt>
                <c:pt idx="5">
                  <c:v>53602.8</c:v>
                </c:pt>
                <c:pt idx="6">
                  <c:v>53922.166666666664</c:v>
                </c:pt>
                <c:pt idx="7">
                  <c:v>54272.566666666666</c:v>
                </c:pt>
                <c:pt idx="8">
                  <c:v>54628.666666666664</c:v>
                </c:pt>
                <c:pt idx="9">
                  <c:v>54958.666666666664</c:v>
                </c:pt>
                <c:pt idx="10">
                  <c:v>55385.133333333331</c:v>
                </c:pt>
                <c:pt idx="11">
                  <c:v>55840.2</c:v>
                </c:pt>
                <c:pt idx="12">
                  <c:v>56382.333333333336</c:v>
                </c:pt>
                <c:pt idx="13">
                  <c:v>56994.533333333333</c:v>
                </c:pt>
                <c:pt idx="14">
                  <c:v>57614.8</c:v>
                </c:pt>
                <c:pt idx="15">
                  <c:v>58262.23333333333</c:v>
                </c:pt>
                <c:pt idx="16">
                  <c:v>59020.1</c:v>
                </c:pt>
                <c:pt idx="17">
                  <c:v>59912.866666666669</c:v>
                </c:pt>
                <c:pt idx="18">
                  <c:v>60827.433333333334</c:v>
                </c:pt>
                <c:pt idx="19">
                  <c:v>61671.166666666664</c:v>
                </c:pt>
                <c:pt idx="20">
                  <c:v>62364.73333333333</c:v>
                </c:pt>
                <c:pt idx="21">
                  <c:v>62852.5</c:v>
                </c:pt>
                <c:pt idx="22">
                  <c:v>63322.066666666666</c:v>
                </c:pt>
                <c:pt idx="23">
                  <c:v>63804.566666666666</c:v>
                </c:pt>
                <c:pt idx="24">
                  <c:v>64353.8</c:v>
                </c:pt>
                <c:pt idx="25">
                  <c:v>64889.866666666669</c:v>
                </c:pt>
                <c:pt idx="26">
                  <c:v>65324.933333333334</c:v>
                </c:pt>
                <c:pt idx="27">
                  <c:v>65712.633333333331</c:v>
                </c:pt>
                <c:pt idx="28">
                  <c:v>66023.066666666666</c:v>
                </c:pt>
                <c:pt idx="29">
                  <c:v>66210.066666666666</c:v>
                </c:pt>
                <c:pt idx="30">
                  <c:v>66311.066666666666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30-40D7-B0B4-BE4B26B2D62C}"/>
            </c:ext>
          </c:extLst>
        </c:ser>
        <c:ser>
          <c:idx val="4"/>
          <c:order val="4"/>
          <c:tx>
            <c:v>VWMA 20</c:v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'اندیکاتور ها'!$A$3:$A$62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'اندیکاتور ها'!$H$3:$H$62</c:f>
              <c:numCache>
                <c:formatCode>0.00E+00</c:formatCode>
                <c:ptCount val="60"/>
                <c:pt idx="19">
                  <c:v>48515.819110623481</c:v>
                </c:pt>
                <c:pt idx="20">
                  <c:v>49696.781550024592</c:v>
                </c:pt>
                <c:pt idx="21">
                  <c:v>50453.418418909489</c:v>
                </c:pt>
                <c:pt idx="22">
                  <c:v>51558.028790851131</c:v>
                </c:pt>
                <c:pt idx="23">
                  <c:v>52153.977024508917</c:v>
                </c:pt>
                <c:pt idx="24">
                  <c:v>52843.28080542387</c:v>
                </c:pt>
                <c:pt idx="25">
                  <c:v>53539.616099612977</c:v>
                </c:pt>
                <c:pt idx="26">
                  <c:v>53809.146078960846</c:v>
                </c:pt>
                <c:pt idx="27">
                  <c:v>54033.125905527086</c:v>
                </c:pt>
                <c:pt idx="28">
                  <c:v>54282.668089471437</c:v>
                </c:pt>
                <c:pt idx="29">
                  <c:v>54542.872086720912</c:v>
                </c:pt>
                <c:pt idx="30">
                  <c:v>54930.955090563308</c:v>
                </c:pt>
                <c:pt idx="31">
                  <c:v>55070.348282868981</c:v>
                </c:pt>
                <c:pt idx="32">
                  <c:v>55177.836282290467</c:v>
                </c:pt>
                <c:pt idx="33">
                  <c:v>55907.385312946913</c:v>
                </c:pt>
                <c:pt idx="34">
                  <c:v>56639.040302453861</c:v>
                </c:pt>
                <c:pt idx="35">
                  <c:v>56865.346587691034</c:v>
                </c:pt>
                <c:pt idx="36">
                  <c:v>57969.955486420462</c:v>
                </c:pt>
                <c:pt idx="37">
                  <c:v>57992.018072437364</c:v>
                </c:pt>
                <c:pt idx="38">
                  <c:v>58029.663921580439</c:v>
                </c:pt>
                <c:pt idx="39">
                  <c:v>58192.854670033295</c:v>
                </c:pt>
                <c:pt idx="40">
                  <c:v>59125.313501321652</c:v>
                </c:pt>
                <c:pt idx="41">
                  <c:v>60134.744137182002</c:v>
                </c:pt>
                <c:pt idx="42">
                  <c:v>60854.741304230884</c:v>
                </c:pt>
                <c:pt idx="43">
                  <c:v>61316.956216517705</c:v>
                </c:pt>
                <c:pt idx="44">
                  <c:v>61772.347728266046</c:v>
                </c:pt>
                <c:pt idx="45">
                  <c:v>62518.947421124314</c:v>
                </c:pt>
                <c:pt idx="46">
                  <c:v>63377.784865849942</c:v>
                </c:pt>
                <c:pt idx="47">
                  <c:v>64333.237469925632</c:v>
                </c:pt>
                <c:pt idx="48">
                  <c:v>65171.559668972805</c:v>
                </c:pt>
                <c:pt idx="49">
                  <c:v>65860.795082703407</c:v>
                </c:pt>
                <c:pt idx="50">
                  <c:v>66386.070984114223</c:v>
                </c:pt>
                <c:pt idx="51">
                  <c:v>66853.228823311249</c:v>
                </c:pt>
                <c:pt idx="52">
                  <c:v>67361.388472968873</c:v>
                </c:pt>
                <c:pt idx="53">
                  <c:v>67876.615445523537</c:v>
                </c:pt>
                <c:pt idx="54">
                  <c:v>68339.623838269166</c:v>
                </c:pt>
                <c:pt idx="55">
                  <c:v>68742.684561724833</c:v>
                </c:pt>
                <c:pt idx="56">
                  <c:v>69066.128925501558</c:v>
                </c:pt>
                <c:pt idx="57">
                  <c:v>69353.410993671176</c:v>
                </c:pt>
                <c:pt idx="58">
                  <c:v>69359.971754495578</c:v>
                </c:pt>
                <c:pt idx="59">
                  <c:v>69475.317987435366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30-40D7-B0B4-BE4B26B2D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834640"/>
        <c:axId val="372831896"/>
      </c:scatterChart>
      <c:valAx>
        <c:axId val="372834640"/>
        <c:scaling>
          <c:orientation val="minMax"/>
          <c:max val="6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831896"/>
        <c:crosses val="autoZero"/>
        <c:crossBetween val="midCat"/>
        <c:majorUnit val="5"/>
      </c:valAx>
      <c:valAx>
        <c:axId val="37283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83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'اندیکاتور ها'!$B$2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'اندیکاتور ها'!$A$3:$A$62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'اندیکاتور ها'!$B$3:$B$62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11-4A8D-8F22-5F7C3F2B4925}"/>
            </c:ext>
          </c:extLst>
        </c:ser>
        <c:ser>
          <c:idx val="2"/>
          <c:order val="1"/>
          <c:tx>
            <c:strRef>
              <c:f>'اندیکاتور ها'!$O$2</c:f>
              <c:strCache>
                <c:ptCount val="1"/>
                <c:pt idx="0">
                  <c:v>میانگین 20 روز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'اندیکاتور ها'!$A$22:$A$62</c:f>
              <c:numCache>
                <c:formatCode>General</c:formatCode>
                <c:ptCount val="4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</c:numCache>
            </c:numRef>
          </c:xVal>
          <c:yVal>
            <c:numRef>
              <c:f>'اندیکاتور ها'!$O$22:$O$62</c:f>
              <c:numCache>
                <c:formatCode>0.00E+00</c:formatCode>
                <c:ptCount val="41"/>
                <c:pt idx="0">
                  <c:v>48427.9</c:v>
                </c:pt>
                <c:pt idx="1">
                  <c:v>48974.1</c:v>
                </c:pt>
                <c:pt idx="2">
                  <c:v>49600.800000000003</c:v>
                </c:pt>
                <c:pt idx="3">
                  <c:v>50375.05</c:v>
                </c:pt>
                <c:pt idx="4">
                  <c:v>51054.85</c:v>
                </c:pt>
                <c:pt idx="5">
                  <c:v>51649.95</c:v>
                </c:pt>
                <c:pt idx="6">
                  <c:v>52202.1</c:v>
                </c:pt>
                <c:pt idx="7">
                  <c:v>52710.75</c:v>
                </c:pt>
                <c:pt idx="8">
                  <c:v>53205.45</c:v>
                </c:pt>
                <c:pt idx="9">
                  <c:v>53705.3</c:v>
                </c:pt>
                <c:pt idx="10">
                  <c:v>54200.05</c:v>
                </c:pt>
                <c:pt idx="11">
                  <c:v>54601.15</c:v>
                </c:pt>
                <c:pt idx="12">
                  <c:v>54894.7</c:v>
                </c:pt>
                <c:pt idx="13">
                  <c:v>55141.65</c:v>
                </c:pt>
                <c:pt idx="14">
                  <c:v>55516.95</c:v>
                </c:pt>
                <c:pt idx="15">
                  <c:v>55854.3</c:v>
                </c:pt>
                <c:pt idx="16">
                  <c:v>56315.15</c:v>
                </c:pt>
                <c:pt idx="17">
                  <c:v>56869.55</c:v>
                </c:pt>
                <c:pt idx="18">
                  <c:v>57340.15</c:v>
                </c:pt>
                <c:pt idx="19">
                  <c:v>57697.45</c:v>
                </c:pt>
                <c:pt idx="20">
                  <c:v>58047</c:v>
                </c:pt>
                <c:pt idx="21">
                  <c:v>58423.199999999997</c:v>
                </c:pt>
                <c:pt idx="22">
                  <c:v>58853.35</c:v>
                </c:pt>
                <c:pt idx="23">
                  <c:v>59323.3</c:v>
                </c:pt>
                <c:pt idx="24">
                  <c:v>59785.1</c:v>
                </c:pt>
                <c:pt idx="25">
                  <c:v>60293.3</c:v>
                </c:pt>
                <c:pt idx="26">
                  <c:v>60896.15</c:v>
                </c:pt>
                <c:pt idx="27">
                  <c:v>61697.85</c:v>
                </c:pt>
                <c:pt idx="28">
                  <c:v>62638.55</c:v>
                </c:pt>
                <c:pt idx="29">
                  <c:v>63542</c:v>
                </c:pt>
                <c:pt idx="30">
                  <c:v>64377.75</c:v>
                </c:pt>
                <c:pt idx="31">
                  <c:v>65014.7</c:v>
                </c:pt>
                <c:pt idx="32">
                  <c:v>65808.55</c:v>
                </c:pt>
                <c:pt idx="33">
                  <c:v>66733.7</c:v>
                </c:pt>
                <c:pt idx="34">
                  <c:v>67650.850000000006</c:v>
                </c:pt>
                <c:pt idx="35">
                  <c:v>68580.55</c:v>
                </c:pt>
                <c:pt idx="36">
                  <c:v>69306.25</c:v>
                </c:pt>
                <c:pt idx="37">
                  <c:v>69870.850000000006</c:v>
                </c:pt>
                <c:pt idx="38">
                  <c:v>70297.05</c:v>
                </c:pt>
                <c:pt idx="39">
                  <c:v>70582.399999999994</c:v>
                </c:pt>
                <c:pt idx="40">
                  <c:v>70588.95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11-4A8D-8F22-5F7C3F2B4925}"/>
            </c:ext>
          </c:extLst>
        </c:ser>
        <c:ser>
          <c:idx val="1"/>
          <c:order val="2"/>
          <c:tx>
            <c:strRef>
              <c:f>'اندیکاتور ها'!$P$2</c:f>
              <c:strCache>
                <c:ptCount val="1"/>
                <c:pt idx="0">
                  <c:v>حد بالا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'اندیکاتور ها'!$A$22:$A$62</c:f>
              <c:numCache>
                <c:formatCode>General</c:formatCode>
                <c:ptCount val="4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</c:numCache>
            </c:numRef>
          </c:xVal>
          <c:yVal>
            <c:numRef>
              <c:f>'اندیکاتور ها'!$M$22:$M$62</c:f>
              <c:numCache>
                <c:formatCode>General</c:formatCode>
                <c:ptCount val="41"/>
                <c:pt idx="0">
                  <c:v>53431</c:v>
                </c:pt>
                <c:pt idx="1">
                  <c:v>55917</c:v>
                </c:pt>
                <c:pt idx="2">
                  <c:v>58008</c:v>
                </c:pt>
                <c:pt idx="3">
                  <c:v>59999</c:v>
                </c:pt>
                <c:pt idx="4">
                  <c:v>59999</c:v>
                </c:pt>
                <c:pt idx="5">
                  <c:v>59999</c:v>
                </c:pt>
                <c:pt idx="6">
                  <c:v>59999</c:v>
                </c:pt>
                <c:pt idx="7">
                  <c:v>59999</c:v>
                </c:pt>
                <c:pt idx="8">
                  <c:v>59999</c:v>
                </c:pt>
                <c:pt idx="9">
                  <c:v>59999</c:v>
                </c:pt>
                <c:pt idx="10">
                  <c:v>59999</c:v>
                </c:pt>
                <c:pt idx="11">
                  <c:v>59999</c:v>
                </c:pt>
                <c:pt idx="12">
                  <c:v>59999</c:v>
                </c:pt>
                <c:pt idx="13">
                  <c:v>59999</c:v>
                </c:pt>
                <c:pt idx="14">
                  <c:v>59999</c:v>
                </c:pt>
                <c:pt idx="15">
                  <c:v>59999</c:v>
                </c:pt>
                <c:pt idx="16">
                  <c:v>59999</c:v>
                </c:pt>
                <c:pt idx="17">
                  <c:v>59999</c:v>
                </c:pt>
                <c:pt idx="18">
                  <c:v>59999</c:v>
                </c:pt>
                <c:pt idx="19">
                  <c:v>59999</c:v>
                </c:pt>
                <c:pt idx="20">
                  <c:v>60422</c:v>
                </c:pt>
                <c:pt idx="21">
                  <c:v>63441</c:v>
                </c:pt>
                <c:pt idx="22">
                  <c:v>66611</c:v>
                </c:pt>
                <c:pt idx="23">
                  <c:v>69398</c:v>
                </c:pt>
                <c:pt idx="24">
                  <c:v>69398</c:v>
                </c:pt>
                <c:pt idx="25">
                  <c:v>69775</c:v>
                </c:pt>
                <c:pt idx="26">
                  <c:v>71124</c:v>
                </c:pt>
                <c:pt idx="27">
                  <c:v>74297</c:v>
                </c:pt>
                <c:pt idx="28">
                  <c:v>75901</c:v>
                </c:pt>
                <c:pt idx="29">
                  <c:v>76199</c:v>
                </c:pt>
                <c:pt idx="30">
                  <c:v>76199</c:v>
                </c:pt>
                <c:pt idx="31">
                  <c:v>76199</c:v>
                </c:pt>
                <c:pt idx="32">
                  <c:v>76199</c:v>
                </c:pt>
                <c:pt idx="33">
                  <c:v>76199</c:v>
                </c:pt>
                <c:pt idx="34">
                  <c:v>76259</c:v>
                </c:pt>
                <c:pt idx="35">
                  <c:v>76259</c:v>
                </c:pt>
                <c:pt idx="36">
                  <c:v>76259</c:v>
                </c:pt>
                <c:pt idx="37">
                  <c:v>76259</c:v>
                </c:pt>
                <c:pt idx="38">
                  <c:v>76259</c:v>
                </c:pt>
                <c:pt idx="39">
                  <c:v>76259</c:v>
                </c:pt>
                <c:pt idx="40">
                  <c:v>76259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11-4A8D-8F22-5F7C3F2B4925}"/>
            </c:ext>
          </c:extLst>
        </c:ser>
        <c:ser>
          <c:idx val="3"/>
          <c:order val="3"/>
          <c:tx>
            <c:strRef>
              <c:f>'اندیکاتور ها'!$Q$2</c:f>
              <c:strCache>
                <c:ptCount val="1"/>
                <c:pt idx="0">
                  <c:v>حد پایین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'اندیکاتور ها'!$A$22:$A$62</c:f>
              <c:numCache>
                <c:formatCode>General</c:formatCode>
                <c:ptCount val="4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</c:numCache>
            </c:numRef>
          </c:xVal>
          <c:yVal>
            <c:numRef>
              <c:f>'اندیکاتور ها'!$N$22:$N$62</c:f>
              <c:numCache>
                <c:formatCode>General</c:formatCode>
                <c:ptCount val="41"/>
                <c:pt idx="0">
                  <c:v>44514</c:v>
                </c:pt>
                <c:pt idx="1">
                  <c:v>44514</c:v>
                </c:pt>
                <c:pt idx="2">
                  <c:v>44514</c:v>
                </c:pt>
                <c:pt idx="3">
                  <c:v>46186</c:v>
                </c:pt>
                <c:pt idx="4">
                  <c:v>47193</c:v>
                </c:pt>
                <c:pt idx="5">
                  <c:v>47193</c:v>
                </c:pt>
                <c:pt idx="6">
                  <c:v>47193</c:v>
                </c:pt>
                <c:pt idx="7">
                  <c:v>47193</c:v>
                </c:pt>
                <c:pt idx="8">
                  <c:v>47514</c:v>
                </c:pt>
                <c:pt idx="9">
                  <c:v>47514</c:v>
                </c:pt>
                <c:pt idx="10">
                  <c:v>47514</c:v>
                </c:pt>
                <c:pt idx="11">
                  <c:v>47514</c:v>
                </c:pt>
                <c:pt idx="12">
                  <c:v>47514</c:v>
                </c:pt>
                <c:pt idx="13">
                  <c:v>47514</c:v>
                </c:pt>
                <c:pt idx="14">
                  <c:v>47514</c:v>
                </c:pt>
                <c:pt idx="15">
                  <c:v>47514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55971</c:v>
                </c:pt>
                <c:pt idx="22">
                  <c:v>55971</c:v>
                </c:pt>
                <c:pt idx="23">
                  <c:v>55971</c:v>
                </c:pt>
                <c:pt idx="24">
                  <c:v>55971</c:v>
                </c:pt>
                <c:pt idx="25">
                  <c:v>55971</c:v>
                </c:pt>
                <c:pt idx="26">
                  <c:v>55971</c:v>
                </c:pt>
                <c:pt idx="27">
                  <c:v>55971</c:v>
                </c:pt>
                <c:pt idx="28">
                  <c:v>55971</c:v>
                </c:pt>
                <c:pt idx="29">
                  <c:v>55971</c:v>
                </c:pt>
                <c:pt idx="30">
                  <c:v>55971</c:v>
                </c:pt>
                <c:pt idx="31">
                  <c:v>55971</c:v>
                </c:pt>
                <c:pt idx="32">
                  <c:v>55971</c:v>
                </c:pt>
                <c:pt idx="33">
                  <c:v>57099</c:v>
                </c:pt>
                <c:pt idx="34">
                  <c:v>57099</c:v>
                </c:pt>
                <c:pt idx="35">
                  <c:v>57605</c:v>
                </c:pt>
                <c:pt idx="36">
                  <c:v>57876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11-4A8D-8F22-5F7C3F2B4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832680"/>
        <c:axId val="372834248"/>
      </c:scatterChart>
      <c:valAx>
        <c:axId val="372832680"/>
        <c:scaling>
          <c:orientation val="minMax"/>
          <c:max val="6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834248"/>
        <c:crosses val="autoZero"/>
        <c:crossBetween val="midCat"/>
        <c:majorUnit val="5"/>
      </c:valAx>
      <c:valAx>
        <c:axId val="372834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832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'اندیکاتور ها'!$B$2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'اندیکاتور ها'!$A$3:$A$62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'اندیکاتور ها'!$B$3:$B$62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05-4490-BAD7-6A775271A77E}"/>
            </c:ext>
          </c:extLst>
        </c:ser>
        <c:ser>
          <c:idx val="2"/>
          <c:order val="1"/>
          <c:tx>
            <c:strRef>
              <c:f>'اندیکاتور ها'!$O$2</c:f>
              <c:strCache>
                <c:ptCount val="1"/>
                <c:pt idx="0">
                  <c:v>میانگین 20 روز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'اندیکاتور ها'!$A$22:$A$62</c:f>
              <c:numCache>
                <c:formatCode>General</c:formatCode>
                <c:ptCount val="4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</c:numCache>
            </c:numRef>
          </c:xVal>
          <c:yVal>
            <c:numRef>
              <c:f>'اندیکاتور ها'!$O$22:$O$62</c:f>
              <c:numCache>
                <c:formatCode>0.00E+00</c:formatCode>
                <c:ptCount val="41"/>
                <c:pt idx="0">
                  <c:v>48427.9</c:v>
                </c:pt>
                <c:pt idx="1">
                  <c:v>48974.1</c:v>
                </c:pt>
                <c:pt idx="2">
                  <c:v>49600.800000000003</c:v>
                </c:pt>
                <c:pt idx="3">
                  <c:v>50375.05</c:v>
                </c:pt>
                <c:pt idx="4">
                  <c:v>51054.85</c:v>
                </c:pt>
                <c:pt idx="5">
                  <c:v>51649.95</c:v>
                </c:pt>
                <c:pt idx="6">
                  <c:v>52202.1</c:v>
                </c:pt>
                <c:pt idx="7">
                  <c:v>52710.75</c:v>
                </c:pt>
                <c:pt idx="8">
                  <c:v>53205.45</c:v>
                </c:pt>
                <c:pt idx="9">
                  <c:v>53705.3</c:v>
                </c:pt>
                <c:pt idx="10">
                  <c:v>54200.05</c:v>
                </c:pt>
                <c:pt idx="11">
                  <c:v>54601.15</c:v>
                </c:pt>
                <c:pt idx="12">
                  <c:v>54894.7</c:v>
                </c:pt>
                <c:pt idx="13">
                  <c:v>55141.65</c:v>
                </c:pt>
                <c:pt idx="14">
                  <c:v>55516.95</c:v>
                </c:pt>
                <c:pt idx="15">
                  <c:v>55854.3</c:v>
                </c:pt>
                <c:pt idx="16">
                  <c:v>56315.15</c:v>
                </c:pt>
                <c:pt idx="17">
                  <c:v>56869.55</c:v>
                </c:pt>
                <c:pt idx="18">
                  <c:v>57340.15</c:v>
                </c:pt>
                <c:pt idx="19">
                  <c:v>57697.45</c:v>
                </c:pt>
                <c:pt idx="20">
                  <c:v>58047</c:v>
                </c:pt>
                <c:pt idx="21">
                  <c:v>58423.199999999997</c:v>
                </c:pt>
                <c:pt idx="22">
                  <c:v>58853.35</c:v>
                </c:pt>
                <c:pt idx="23">
                  <c:v>59323.3</c:v>
                </c:pt>
                <c:pt idx="24">
                  <c:v>59785.1</c:v>
                </c:pt>
                <c:pt idx="25">
                  <c:v>60293.3</c:v>
                </c:pt>
                <c:pt idx="26">
                  <c:v>60896.15</c:v>
                </c:pt>
                <c:pt idx="27">
                  <c:v>61697.85</c:v>
                </c:pt>
                <c:pt idx="28">
                  <c:v>62638.55</c:v>
                </c:pt>
                <c:pt idx="29">
                  <c:v>63542</c:v>
                </c:pt>
                <c:pt idx="30">
                  <c:v>64377.75</c:v>
                </c:pt>
                <c:pt idx="31">
                  <c:v>65014.7</c:v>
                </c:pt>
                <c:pt idx="32">
                  <c:v>65808.55</c:v>
                </c:pt>
                <c:pt idx="33">
                  <c:v>66733.7</c:v>
                </c:pt>
                <c:pt idx="34">
                  <c:v>67650.850000000006</c:v>
                </c:pt>
                <c:pt idx="35">
                  <c:v>68580.55</c:v>
                </c:pt>
                <c:pt idx="36">
                  <c:v>69306.25</c:v>
                </c:pt>
                <c:pt idx="37">
                  <c:v>69870.850000000006</c:v>
                </c:pt>
                <c:pt idx="38">
                  <c:v>70297.05</c:v>
                </c:pt>
                <c:pt idx="39">
                  <c:v>70582.399999999994</c:v>
                </c:pt>
                <c:pt idx="40">
                  <c:v>70588.95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05-4490-BAD7-6A775271A77E}"/>
            </c:ext>
          </c:extLst>
        </c:ser>
        <c:ser>
          <c:idx val="1"/>
          <c:order val="2"/>
          <c:tx>
            <c:strRef>
              <c:f>'اندیکاتور ها'!$P$2</c:f>
              <c:strCache>
                <c:ptCount val="1"/>
                <c:pt idx="0">
                  <c:v>حد بالا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'اندیکاتور ها'!$A$22:$A$62</c:f>
              <c:numCache>
                <c:formatCode>General</c:formatCode>
                <c:ptCount val="4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</c:numCache>
            </c:numRef>
          </c:xVal>
          <c:yVal>
            <c:numRef>
              <c:f>'اندیکاتور ها'!$P$22:$P$62</c:f>
              <c:numCache>
                <c:formatCode>0.00E+00</c:formatCode>
                <c:ptCount val="41"/>
                <c:pt idx="0">
                  <c:v>52804.628271208989</c:v>
                </c:pt>
                <c:pt idx="1">
                  <c:v>54152.905727192323</c:v>
                </c:pt>
                <c:pt idx="2">
                  <c:v>55855.490003509367</c:v>
                </c:pt>
                <c:pt idx="3">
                  <c:v>57667.011367835134</c:v>
                </c:pt>
                <c:pt idx="4">
                  <c:v>59148.841729054337</c:v>
                </c:pt>
                <c:pt idx="5">
                  <c:v>60396.304908760561</c:v>
                </c:pt>
                <c:pt idx="6">
                  <c:v>61348.261444015734</c:v>
                </c:pt>
                <c:pt idx="7">
                  <c:v>62015.71632718249</c:v>
                </c:pt>
                <c:pt idx="8">
                  <c:v>62334.781070237288</c:v>
                </c:pt>
                <c:pt idx="9">
                  <c:v>62763.422015075754</c:v>
                </c:pt>
                <c:pt idx="10">
                  <c:v>62952.119229045209</c:v>
                </c:pt>
                <c:pt idx="11">
                  <c:v>63242.417876301486</c:v>
                </c:pt>
                <c:pt idx="12">
                  <c:v>63334.493033007384</c:v>
                </c:pt>
                <c:pt idx="13">
                  <c:v>63402.023073293967</c:v>
                </c:pt>
                <c:pt idx="14">
                  <c:v>63562.573915520785</c:v>
                </c:pt>
                <c:pt idx="15">
                  <c:v>63564.168924955862</c:v>
                </c:pt>
                <c:pt idx="16">
                  <c:v>63247.423141618128</c:v>
                </c:pt>
                <c:pt idx="17">
                  <c:v>62559.968419589197</c:v>
                </c:pt>
                <c:pt idx="18">
                  <c:v>61531.443178721813</c:v>
                </c:pt>
                <c:pt idx="19">
                  <c:v>60667.915382730454</c:v>
                </c:pt>
                <c:pt idx="20">
                  <c:v>60532.767326199297</c:v>
                </c:pt>
                <c:pt idx="21">
                  <c:v>61667.364089561437</c:v>
                </c:pt>
                <c:pt idx="22">
                  <c:v>63665.628058258895</c:v>
                </c:pt>
                <c:pt idx="23">
                  <c:v>65975.36990642763</c:v>
                </c:pt>
                <c:pt idx="24">
                  <c:v>67668.776652425571</c:v>
                </c:pt>
                <c:pt idx="25">
                  <c:v>69297.34613715412</c:v>
                </c:pt>
                <c:pt idx="26">
                  <c:v>71034.15692986545</c:v>
                </c:pt>
                <c:pt idx="27">
                  <c:v>73305.526481966575</c:v>
                </c:pt>
                <c:pt idx="28">
                  <c:v>75572.706091141008</c:v>
                </c:pt>
                <c:pt idx="29">
                  <c:v>77568.377379779849</c:v>
                </c:pt>
                <c:pt idx="30">
                  <c:v>78854.647497392187</c:v>
                </c:pt>
                <c:pt idx="31">
                  <c:v>79400.548353155958</c:v>
                </c:pt>
                <c:pt idx="32">
                  <c:v>79914.633261841329</c:v>
                </c:pt>
                <c:pt idx="33">
                  <c:v>80561.950129354751</c:v>
                </c:pt>
                <c:pt idx="34">
                  <c:v>81451.275591625788</c:v>
                </c:pt>
                <c:pt idx="35">
                  <c:v>81909.514918177258</c:v>
                </c:pt>
                <c:pt idx="36">
                  <c:v>81714.566966857354</c:v>
                </c:pt>
                <c:pt idx="37">
                  <c:v>81265.767011983902</c:v>
                </c:pt>
                <c:pt idx="38">
                  <c:v>80433.697502502982</c:v>
                </c:pt>
                <c:pt idx="39">
                  <c:v>79579.261706172867</c:v>
                </c:pt>
                <c:pt idx="40">
                  <c:v>79556.356324573455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05-4490-BAD7-6A775271A77E}"/>
            </c:ext>
          </c:extLst>
        </c:ser>
        <c:ser>
          <c:idx val="3"/>
          <c:order val="3"/>
          <c:tx>
            <c:strRef>
              <c:f>'اندیکاتور ها'!$Q$2</c:f>
              <c:strCache>
                <c:ptCount val="1"/>
                <c:pt idx="0">
                  <c:v>حد پایین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'اندیکاتور ها'!$A$22:$A$62</c:f>
              <c:numCache>
                <c:formatCode>General</c:formatCode>
                <c:ptCount val="4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</c:numCache>
            </c:numRef>
          </c:xVal>
          <c:yVal>
            <c:numRef>
              <c:f>'اندیکاتور ها'!$Q$22:$Q$62</c:f>
              <c:numCache>
                <c:formatCode>0.00E+00</c:formatCode>
                <c:ptCount val="41"/>
                <c:pt idx="0">
                  <c:v>44051.171728791014</c:v>
                </c:pt>
                <c:pt idx="1">
                  <c:v>43795.294272807674</c:v>
                </c:pt>
                <c:pt idx="2">
                  <c:v>43346.109996490639</c:v>
                </c:pt>
                <c:pt idx="3">
                  <c:v>43083.088632164872</c:v>
                </c:pt>
                <c:pt idx="4">
                  <c:v>42960.85827094566</c:v>
                </c:pt>
                <c:pt idx="5">
                  <c:v>42903.595091239433</c:v>
                </c:pt>
                <c:pt idx="6">
                  <c:v>43055.938555984263</c:v>
                </c:pt>
                <c:pt idx="7">
                  <c:v>43405.78367281751</c:v>
                </c:pt>
                <c:pt idx="8">
                  <c:v>44076.118929762706</c:v>
                </c:pt>
                <c:pt idx="9">
                  <c:v>44647.177984924252</c:v>
                </c:pt>
                <c:pt idx="10">
                  <c:v>45447.980770954797</c:v>
                </c:pt>
                <c:pt idx="11">
                  <c:v>45959.882123698517</c:v>
                </c:pt>
                <c:pt idx="12">
                  <c:v>46454.90696699261</c:v>
                </c:pt>
                <c:pt idx="13">
                  <c:v>46881.276926706036</c:v>
                </c:pt>
                <c:pt idx="14">
                  <c:v>47471.326084479209</c:v>
                </c:pt>
                <c:pt idx="15">
                  <c:v>48144.431075044144</c:v>
                </c:pt>
                <c:pt idx="16">
                  <c:v>49382.876858381875</c:v>
                </c:pt>
                <c:pt idx="17">
                  <c:v>51179.131580410809</c:v>
                </c:pt>
                <c:pt idx="18">
                  <c:v>53148.85682127819</c:v>
                </c:pt>
                <c:pt idx="19">
                  <c:v>54726.98461726954</c:v>
                </c:pt>
                <c:pt idx="20">
                  <c:v>55561.232673800703</c:v>
                </c:pt>
                <c:pt idx="21">
                  <c:v>55179.035910438557</c:v>
                </c:pt>
                <c:pt idx="22">
                  <c:v>54041.071941741102</c:v>
                </c:pt>
                <c:pt idx="23">
                  <c:v>52671.230093572383</c:v>
                </c:pt>
                <c:pt idx="24">
                  <c:v>51901.423347574433</c:v>
                </c:pt>
                <c:pt idx="25">
                  <c:v>51289.253862845886</c:v>
                </c:pt>
                <c:pt idx="26">
                  <c:v>50758.143070134545</c:v>
                </c:pt>
                <c:pt idx="27">
                  <c:v>50090.173518033422</c:v>
                </c:pt>
                <c:pt idx="28">
                  <c:v>49704.393908858998</c:v>
                </c:pt>
                <c:pt idx="29">
                  <c:v>49515.622620220143</c:v>
                </c:pt>
                <c:pt idx="30">
                  <c:v>49900.85250260782</c:v>
                </c:pt>
                <c:pt idx="31">
                  <c:v>50628.851646844036</c:v>
                </c:pt>
                <c:pt idx="32">
                  <c:v>51702.466738158677</c:v>
                </c:pt>
                <c:pt idx="33">
                  <c:v>52905.449870645236</c:v>
                </c:pt>
                <c:pt idx="34">
                  <c:v>53850.424408374216</c:v>
                </c:pt>
                <c:pt idx="35">
                  <c:v>55251.585081822748</c:v>
                </c:pt>
                <c:pt idx="36">
                  <c:v>56897.933033142646</c:v>
                </c:pt>
                <c:pt idx="37">
                  <c:v>58475.932988016109</c:v>
                </c:pt>
                <c:pt idx="38">
                  <c:v>60160.402497497016</c:v>
                </c:pt>
                <c:pt idx="39">
                  <c:v>61585.538293827114</c:v>
                </c:pt>
                <c:pt idx="40">
                  <c:v>61621.543675426539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05-4490-BAD7-6A775271A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831504"/>
        <c:axId val="37384800"/>
      </c:scatterChart>
      <c:valAx>
        <c:axId val="372831504"/>
        <c:scaling>
          <c:orientation val="minMax"/>
          <c:max val="6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4800"/>
        <c:crosses val="autoZero"/>
        <c:crossBetween val="midCat"/>
        <c:majorUnit val="5"/>
      </c:valAx>
      <c:valAx>
        <c:axId val="3738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831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'اندیکاتور ها'!$B$2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'اندیکاتور ها'!$A$3:$A$62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'اندیکاتور ها'!$B$3:$B$62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2-4CC1-84BA-21FACD417B80}"/>
            </c:ext>
          </c:extLst>
        </c:ser>
        <c:ser>
          <c:idx val="2"/>
          <c:order val="1"/>
          <c:tx>
            <c:strRef>
              <c:f>'اندیکاتور ها'!$R$2</c:f>
              <c:strCache>
                <c:ptCount val="1"/>
                <c:pt idx="0">
                  <c:v>Tenkan-sen (Conversion Line)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'اندیکاتور ها'!$A$3:$A$62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'اندیکاتور ها'!$R$3:$R$62</c:f>
              <c:numCache>
                <c:formatCode>0.00E+00</c:formatCode>
                <c:ptCount val="60"/>
                <c:pt idx="8">
                  <c:v>46323.5</c:v>
                </c:pt>
                <c:pt idx="9">
                  <c:v>46323.5</c:v>
                </c:pt>
                <c:pt idx="10">
                  <c:v>47151.5</c:v>
                </c:pt>
                <c:pt idx="11">
                  <c:v>48266.5</c:v>
                </c:pt>
                <c:pt idx="12">
                  <c:v>49112.5</c:v>
                </c:pt>
                <c:pt idx="13">
                  <c:v>49112.5</c:v>
                </c:pt>
                <c:pt idx="14">
                  <c:v>49112.5</c:v>
                </c:pt>
                <c:pt idx="15">
                  <c:v>49112.5</c:v>
                </c:pt>
                <c:pt idx="16">
                  <c:v>49273</c:v>
                </c:pt>
                <c:pt idx="17">
                  <c:v>49273</c:v>
                </c:pt>
                <c:pt idx="18">
                  <c:v>49273</c:v>
                </c:pt>
                <c:pt idx="19">
                  <c:v>50472.5</c:v>
                </c:pt>
                <c:pt idx="20">
                  <c:v>51715.5</c:v>
                </c:pt>
                <c:pt idx="21">
                  <c:v>52761</c:v>
                </c:pt>
                <c:pt idx="22">
                  <c:v>53756.5</c:v>
                </c:pt>
                <c:pt idx="23">
                  <c:v>53756.5</c:v>
                </c:pt>
                <c:pt idx="24">
                  <c:v>53756.5</c:v>
                </c:pt>
                <c:pt idx="25">
                  <c:v>54231.5</c:v>
                </c:pt>
                <c:pt idx="26">
                  <c:v>55443</c:v>
                </c:pt>
                <c:pt idx="27">
                  <c:v>56715</c:v>
                </c:pt>
                <c:pt idx="28">
                  <c:v>57958</c:v>
                </c:pt>
                <c:pt idx="29">
                  <c:v>58543</c:v>
                </c:pt>
                <c:pt idx="30">
                  <c:v>58543</c:v>
                </c:pt>
                <c:pt idx="31">
                  <c:v>58000</c:v>
                </c:pt>
                <c:pt idx="32">
                  <c:v>57791</c:v>
                </c:pt>
                <c:pt idx="33">
                  <c:v>57519</c:v>
                </c:pt>
                <c:pt idx="34">
                  <c:v>57117</c:v>
                </c:pt>
                <c:pt idx="35">
                  <c:v>57050.5</c:v>
                </c:pt>
                <c:pt idx="36">
                  <c:v>57286.5</c:v>
                </c:pt>
                <c:pt idx="37">
                  <c:v>57286.5</c:v>
                </c:pt>
                <c:pt idx="38">
                  <c:v>57286.5</c:v>
                </c:pt>
                <c:pt idx="39">
                  <c:v>58196.5</c:v>
                </c:pt>
                <c:pt idx="40">
                  <c:v>59706</c:v>
                </c:pt>
                <c:pt idx="41">
                  <c:v>61855</c:v>
                </c:pt>
                <c:pt idx="42">
                  <c:v>63248.5</c:v>
                </c:pt>
                <c:pt idx="43">
                  <c:v>63501.5</c:v>
                </c:pt>
                <c:pt idx="44">
                  <c:v>63825.5</c:v>
                </c:pt>
                <c:pt idx="45">
                  <c:v>64500</c:v>
                </c:pt>
                <c:pt idx="46">
                  <c:v>66165</c:v>
                </c:pt>
                <c:pt idx="47">
                  <c:v>68161.5</c:v>
                </c:pt>
                <c:pt idx="48">
                  <c:v>69820</c:v>
                </c:pt>
                <c:pt idx="49">
                  <c:v>71405</c:v>
                </c:pt>
                <c:pt idx="50">
                  <c:v>72608.5</c:v>
                </c:pt>
                <c:pt idx="51">
                  <c:v>72608.5</c:v>
                </c:pt>
                <c:pt idx="52">
                  <c:v>72987</c:v>
                </c:pt>
                <c:pt idx="53">
                  <c:v>73404.5</c:v>
                </c:pt>
                <c:pt idx="54">
                  <c:v>73404.5</c:v>
                </c:pt>
                <c:pt idx="55">
                  <c:v>73404.5</c:v>
                </c:pt>
                <c:pt idx="56">
                  <c:v>73076.5</c:v>
                </c:pt>
                <c:pt idx="57">
                  <c:v>71329.5</c:v>
                </c:pt>
                <c:pt idx="58">
                  <c:v>69999.5</c:v>
                </c:pt>
                <c:pt idx="59">
                  <c:v>68406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22-4CC1-84BA-21FACD417B80}"/>
            </c:ext>
          </c:extLst>
        </c:ser>
        <c:ser>
          <c:idx val="1"/>
          <c:order val="2"/>
          <c:tx>
            <c:strRef>
              <c:f>'اندیکاتور ها'!$S$2</c:f>
              <c:strCache>
                <c:ptCount val="1"/>
                <c:pt idx="0">
                  <c:v>Kijun-sen (Base Line)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'اندیکاتور ها'!$A$3:$A$62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'اندیکاتور ها'!$S$3:$S$62</c:f>
              <c:numCache>
                <c:formatCode>0.00E+00</c:formatCode>
                <c:ptCount val="60"/>
                <c:pt idx="25">
                  <c:v>52256.5</c:v>
                </c:pt>
                <c:pt idx="26">
                  <c:v>52256.5</c:v>
                </c:pt>
                <c:pt idx="27">
                  <c:v>52256.5</c:v>
                </c:pt>
                <c:pt idx="28">
                  <c:v>53092.5</c:v>
                </c:pt>
                <c:pt idx="29">
                  <c:v>53596</c:v>
                </c:pt>
                <c:pt idx="30">
                  <c:v>53596</c:v>
                </c:pt>
                <c:pt idx="31">
                  <c:v>53596</c:v>
                </c:pt>
                <c:pt idx="32">
                  <c:v>53596</c:v>
                </c:pt>
                <c:pt idx="33">
                  <c:v>53756.5</c:v>
                </c:pt>
                <c:pt idx="34">
                  <c:v>53756.5</c:v>
                </c:pt>
                <c:pt idx="35">
                  <c:v>53756.5</c:v>
                </c:pt>
                <c:pt idx="36">
                  <c:v>53756.5</c:v>
                </c:pt>
                <c:pt idx="37">
                  <c:v>53756.5</c:v>
                </c:pt>
                <c:pt idx="38">
                  <c:v>53756.5</c:v>
                </c:pt>
                <c:pt idx="39">
                  <c:v>53968</c:v>
                </c:pt>
                <c:pt idx="40">
                  <c:v>55477.5</c:v>
                </c:pt>
                <c:pt idx="41">
                  <c:v>57062.5</c:v>
                </c:pt>
                <c:pt idx="42">
                  <c:v>58931</c:v>
                </c:pt>
                <c:pt idx="43">
                  <c:v>60142.5</c:v>
                </c:pt>
                <c:pt idx="44">
                  <c:v>61603</c:v>
                </c:pt>
                <c:pt idx="45">
                  <c:v>63520.5</c:v>
                </c:pt>
                <c:pt idx="46">
                  <c:v>65134</c:v>
                </c:pt>
                <c:pt idx="47">
                  <c:v>65936</c:v>
                </c:pt>
                <c:pt idx="48">
                  <c:v>66085</c:v>
                </c:pt>
                <c:pt idx="49">
                  <c:v>66085</c:v>
                </c:pt>
                <c:pt idx="50">
                  <c:v>66085</c:v>
                </c:pt>
                <c:pt idx="51">
                  <c:v>66085</c:v>
                </c:pt>
                <c:pt idx="52">
                  <c:v>66085</c:v>
                </c:pt>
                <c:pt idx="53">
                  <c:v>66115</c:v>
                </c:pt>
                <c:pt idx="54">
                  <c:v>66115</c:v>
                </c:pt>
                <c:pt idx="55">
                  <c:v>66115</c:v>
                </c:pt>
                <c:pt idx="56">
                  <c:v>66115</c:v>
                </c:pt>
                <c:pt idx="57">
                  <c:v>66115</c:v>
                </c:pt>
                <c:pt idx="58">
                  <c:v>66679</c:v>
                </c:pt>
                <c:pt idx="59">
                  <c:v>66679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22-4CC1-84BA-21FACD417B80}"/>
            </c:ext>
          </c:extLst>
        </c:ser>
        <c:ser>
          <c:idx val="3"/>
          <c:order val="3"/>
          <c:tx>
            <c:strRef>
              <c:f>'اندیکاتور ها'!$T$2</c:f>
              <c:strCache>
                <c:ptCount val="1"/>
                <c:pt idx="0">
                  <c:v>Senkou Span A (Leading Span A)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'اندیکاتور ها'!$A$3:$A$62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'اندیکاتور ها'!$T$3:$T$62</c:f>
              <c:numCache>
                <c:formatCode>0.00E+00</c:formatCode>
                <c:ptCount val="60"/>
                <c:pt idx="25">
                  <c:v>53244</c:v>
                </c:pt>
                <c:pt idx="26">
                  <c:v>53849.75</c:v>
                </c:pt>
                <c:pt idx="27">
                  <c:v>54485.75</c:v>
                </c:pt>
                <c:pt idx="28">
                  <c:v>55525.25</c:v>
                </c:pt>
                <c:pt idx="29">
                  <c:v>56069.5</c:v>
                </c:pt>
                <c:pt idx="30">
                  <c:v>56069.5</c:v>
                </c:pt>
                <c:pt idx="31">
                  <c:v>55798</c:v>
                </c:pt>
                <c:pt idx="32">
                  <c:v>55693.5</c:v>
                </c:pt>
                <c:pt idx="33">
                  <c:v>55637.75</c:v>
                </c:pt>
                <c:pt idx="34">
                  <c:v>55436.75</c:v>
                </c:pt>
                <c:pt idx="35">
                  <c:v>55403.5</c:v>
                </c:pt>
                <c:pt idx="36">
                  <c:v>55521.5</c:v>
                </c:pt>
                <c:pt idx="37">
                  <c:v>55521.5</c:v>
                </c:pt>
                <c:pt idx="38">
                  <c:v>55521.5</c:v>
                </c:pt>
                <c:pt idx="39">
                  <c:v>56082.25</c:v>
                </c:pt>
                <c:pt idx="40">
                  <c:v>57591.75</c:v>
                </c:pt>
                <c:pt idx="41">
                  <c:v>59458.75</c:v>
                </c:pt>
                <c:pt idx="42">
                  <c:v>61089.75</c:v>
                </c:pt>
                <c:pt idx="43">
                  <c:v>61822</c:v>
                </c:pt>
                <c:pt idx="44">
                  <c:v>62714.25</c:v>
                </c:pt>
                <c:pt idx="45">
                  <c:v>64010.25</c:v>
                </c:pt>
                <c:pt idx="46">
                  <c:v>65649.5</c:v>
                </c:pt>
                <c:pt idx="47">
                  <c:v>67048.75</c:v>
                </c:pt>
                <c:pt idx="48">
                  <c:v>67952.5</c:v>
                </c:pt>
                <c:pt idx="49">
                  <c:v>68745</c:v>
                </c:pt>
                <c:pt idx="50">
                  <c:v>69346.75</c:v>
                </c:pt>
                <c:pt idx="51">
                  <c:v>69346.75</c:v>
                </c:pt>
                <c:pt idx="52">
                  <c:v>69536</c:v>
                </c:pt>
                <c:pt idx="53">
                  <c:v>69759.75</c:v>
                </c:pt>
                <c:pt idx="54">
                  <c:v>69759.75</c:v>
                </c:pt>
                <c:pt idx="55">
                  <c:v>69759.75</c:v>
                </c:pt>
                <c:pt idx="56">
                  <c:v>69595.75</c:v>
                </c:pt>
                <c:pt idx="57">
                  <c:v>68722.25</c:v>
                </c:pt>
                <c:pt idx="58">
                  <c:v>68339.25</c:v>
                </c:pt>
                <c:pt idx="59">
                  <c:v>67542.5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22-4CC1-84BA-21FACD417B80}"/>
            </c:ext>
          </c:extLst>
        </c:ser>
        <c:ser>
          <c:idx val="4"/>
          <c:order val="4"/>
          <c:tx>
            <c:strRef>
              <c:f>'اندیکاتور ها'!$U$2</c:f>
              <c:strCache>
                <c:ptCount val="1"/>
                <c:pt idx="0">
                  <c:v>Senkou Span B (Leading Span B)</c:v>
                </c:pt>
              </c:strCache>
            </c:strRef>
          </c:tx>
          <c:spPr>
            <a:ln w="31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'اندیکاتور ها'!$A$3:$A$62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'اندیکاتور ها'!$U$3:$U$62</c:f>
              <c:numCache>
                <c:formatCode>0.00E+00</c:formatCode>
                <c:ptCount val="60"/>
                <c:pt idx="51">
                  <c:v>60356.5</c:v>
                </c:pt>
                <c:pt idx="52">
                  <c:v>60356.5</c:v>
                </c:pt>
                <c:pt idx="53">
                  <c:v>60386.5</c:v>
                </c:pt>
                <c:pt idx="54">
                  <c:v>61222.5</c:v>
                </c:pt>
                <c:pt idx="55">
                  <c:v>61726</c:v>
                </c:pt>
                <c:pt idx="56">
                  <c:v>61726</c:v>
                </c:pt>
                <c:pt idx="57">
                  <c:v>61726</c:v>
                </c:pt>
                <c:pt idx="58">
                  <c:v>61726</c:v>
                </c:pt>
                <c:pt idx="59">
                  <c:v>61886.5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22-4CC1-84BA-21FACD417B80}"/>
            </c:ext>
          </c:extLst>
        </c:ser>
        <c:ser>
          <c:idx val="5"/>
          <c:order val="5"/>
          <c:tx>
            <c:strRef>
              <c:f>'اندیکاتور ها'!$V$2</c:f>
              <c:strCache>
                <c:ptCount val="1"/>
                <c:pt idx="0">
                  <c:v>Chikou Span (Lagging Span)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'اندیکاتور ها'!$A$3:$A$62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'اندیکاتور ها'!$V$3:$V$62</c:f>
              <c:numCache>
                <c:formatCode>0.00E+00</c:formatCode>
                <c:ptCount val="60"/>
                <c:pt idx="25">
                  <c:v>44993</c:v>
                </c:pt>
                <c:pt idx="26">
                  <c:v>45474</c:v>
                </c:pt>
                <c:pt idx="27">
                  <c:v>44514</c:v>
                </c:pt>
                <c:pt idx="28">
                  <c:v>46186</c:v>
                </c:pt>
                <c:pt idx="29">
                  <c:v>47709</c:v>
                </c:pt>
                <c:pt idx="30">
                  <c:v>48024</c:v>
                </c:pt>
                <c:pt idx="31">
                  <c:v>48090</c:v>
                </c:pt>
                <c:pt idx="32">
                  <c:v>47193</c:v>
                </c:pt>
                <c:pt idx="33">
                  <c:v>48133</c:v>
                </c:pt>
                <c:pt idx="34">
                  <c:v>47628</c:v>
                </c:pt>
                <c:pt idx="35">
                  <c:v>49789</c:v>
                </c:pt>
                <c:pt idx="36">
                  <c:v>50347</c:v>
                </c:pt>
                <c:pt idx="37">
                  <c:v>51032</c:v>
                </c:pt>
                <c:pt idx="38">
                  <c:v>50410</c:v>
                </c:pt>
                <c:pt idx="39">
                  <c:v>50352</c:v>
                </c:pt>
                <c:pt idx="40">
                  <c:v>48388</c:v>
                </c:pt>
                <c:pt idx="41">
                  <c:v>47514</c:v>
                </c:pt>
                <c:pt idx="42">
                  <c:v>48464</c:v>
                </c:pt>
                <c:pt idx="43">
                  <c:v>50887</c:v>
                </c:pt>
                <c:pt idx="44">
                  <c:v>53431</c:v>
                </c:pt>
                <c:pt idx="45">
                  <c:v>55917</c:v>
                </c:pt>
                <c:pt idx="46">
                  <c:v>58008</c:v>
                </c:pt>
                <c:pt idx="47">
                  <c:v>59999</c:v>
                </c:pt>
                <c:pt idx="48">
                  <c:v>59782</c:v>
                </c:pt>
                <c:pt idx="49">
                  <c:v>59611</c:v>
                </c:pt>
                <c:pt idx="50">
                  <c:v>59067</c:v>
                </c:pt>
                <c:pt idx="51">
                  <c:v>58263</c:v>
                </c:pt>
                <c:pt idx="52">
                  <c:v>57087</c:v>
                </c:pt>
                <c:pt idx="53">
                  <c:v>58130</c:v>
                </c:pt>
                <c:pt idx="54">
                  <c:v>57523</c:v>
                </c:pt>
                <c:pt idx="55">
                  <c:v>57811</c:v>
                </c:pt>
                <c:pt idx="56">
                  <c:v>56218</c:v>
                </c:pt>
                <c:pt idx="57">
                  <c:v>55971</c:v>
                </c:pt>
                <c:pt idx="58">
                  <c:v>57916</c:v>
                </c:pt>
                <c:pt idx="59">
                  <c:v>57099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522-4CC1-84BA-21FACD417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83624"/>
        <c:axId val="37386368"/>
      </c:scatterChart>
      <c:valAx>
        <c:axId val="37383624"/>
        <c:scaling>
          <c:orientation val="minMax"/>
          <c:max val="6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6368"/>
        <c:crosses val="autoZero"/>
        <c:crossBetween val="midCat"/>
        <c:majorUnit val="5"/>
      </c:valAx>
      <c:valAx>
        <c:axId val="3738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3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RSI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'حجم هر نفر'!$A$2:$A$61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'اندیکاتور ها'!$AB$3:$AB$62</c:f>
              <c:numCache>
                <c:formatCode>0.00E+00</c:formatCode>
                <c:ptCount val="60"/>
                <c:pt idx="14">
                  <c:v>73.818943479298198</c:v>
                </c:pt>
                <c:pt idx="15">
                  <c:v>62.170588338782821</c:v>
                </c:pt>
                <c:pt idx="16">
                  <c:v>62.877367084430013</c:v>
                </c:pt>
                <c:pt idx="17">
                  <c:v>60.275072241336922</c:v>
                </c:pt>
                <c:pt idx="18">
                  <c:v>62.801546841457963</c:v>
                </c:pt>
                <c:pt idx="19">
                  <c:v>67.9912600341451</c:v>
                </c:pt>
                <c:pt idx="20">
                  <c:v>72.049183365099495</c:v>
                </c:pt>
                <c:pt idx="21">
                  <c:v>78.421726511561218</c:v>
                </c:pt>
                <c:pt idx="22">
                  <c:v>79.220128586854997</c:v>
                </c:pt>
                <c:pt idx="23">
                  <c:v>80.644262596764392</c:v>
                </c:pt>
                <c:pt idx="24">
                  <c:v>77.382093232638908</c:v>
                </c:pt>
                <c:pt idx="25">
                  <c:v>74.541540229128657</c:v>
                </c:pt>
                <c:pt idx="26">
                  <c:v>70.513083654643282</c:v>
                </c:pt>
                <c:pt idx="27">
                  <c:v>68.882828389557815</c:v>
                </c:pt>
                <c:pt idx="28">
                  <c:v>70.667507623014956</c:v>
                </c:pt>
                <c:pt idx="29">
                  <c:v>76.703650382976434</c:v>
                </c:pt>
                <c:pt idx="30">
                  <c:v>81.378001151612338</c:v>
                </c:pt>
                <c:pt idx="31">
                  <c:v>73.428264493435961</c:v>
                </c:pt>
                <c:pt idx="32">
                  <c:v>67.600297364570821</c:v>
                </c:pt>
                <c:pt idx="33">
                  <c:v>65.757932259697355</c:v>
                </c:pt>
                <c:pt idx="34">
                  <c:v>55.060260128709132</c:v>
                </c:pt>
                <c:pt idx="35">
                  <c:v>48.869004279696746</c:v>
                </c:pt>
                <c:pt idx="36">
                  <c:v>44.292244671554137</c:v>
                </c:pt>
                <c:pt idx="37">
                  <c:v>42.338515838633697</c:v>
                </c:pt>
                <c:pt idx="38">
                  <c:v>43.735086599331034</c:v>
                </c:pt>
                <c:pt idx="39">
                  <c:v>55.502116625791999</c:v>
                </c:pt>
                <c:pt idx="40">
                  <c:v>66.654108481708533</c:v>
                </c:pt>
                <c:pt idx="41">
                  <c:v>76.797724988594069</c:v>
                </c:pt>
                <c:pt idx="42">
                  <c:v>78.504210993102888</c:v>
                </c:pt>
                <c:pt idx="43">
                  <c:v>79.739995305905225</c:v>
                </c:pt>
                <c:pt idx="44">
                  <c:v>80.115716949640813</c:v>
                </c:pt>
                <c:pt idx="45">
                  <c:v>88.390738827466791</c:v>
                </c:pt>
                <c:pt idx="46">
                  <c:v>90.954761061585131</c:v>
                </c:pt>
                <c:pt idx="47">
                  <c:v>90.604931148807935</c:v>
                </c:pt>
                <c:pt idx="48">
                  <c:v>94.588449447600993</c:v>
                </c:pt>
                <c:pt idx="49">
                  <c:v>87.434850883087421</c:v>
                </c:pt>
                <c:pt idx="50">
                  <c:v>75.411751924249756</c:v>
                </c:pt>
                <c:pt idx="51">
                  <c:v>79.198929954717613</c:v>
                </c:pt>
                <c:pt idx="52">
                  <c:v>80.701881891964447</c:v>
                </c:pt>
                <c:pt idx="53">
                  <c:v>79.876191509405359</c:v>
                </c:pt>
                <c:pt idx="54">
                  <c:v>75.429117268074407</c:v>
                </c:pt>
                <c:pt idx="55">
                  <c:v>62.001053247314864</c:v>
                </c:pt>
                <c:pt idx="56">
                  <c:v>51.868065013724085</c:v>
                </c:pt>
                <c:pt idx="57">
                  <c:v>45.950747587996517</c:v>
                </c:pt>
                <c:pt idx="58">
                  <c:v>40.146481781524471</c:v>
                </c:pt>
                <c:pt idx="59">
                  <c:v>33.113424030053274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99-45EA-8559-4A67700B3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86760"/>
        <c:axId val="37387152"/>
      </c:lineChart>
      <c:scatterChart>
        <c:scatterStyle val="lineMarker"/>
        <c:varyColors val="0"/>
        <c:ser>
          <c:idx val="1"/>
          <c:order val="1"/>
          <c:tx>
            <c:strRef>
              <c:f>DATA!$H$1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y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99-45EA-8559-4A67700B3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84408"/>
        <c:axId val="37384016"/>
      </c:scatterChart>
      <c:catAx>
        <c:axId val="37386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7152"/>
        <c:crosses val="autoZero"/>
        <c:auto val="1"/>
        <c:lblAlgn val="ctr"/>
        <c:lblOffset val="100"/>
        <c:noMultiLvlLbl val="1"/>
      </c:catAx>
      <c:valAx>
        <c:axId val="3738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RSI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6760"/>
        <c:crosses val="autoZero"/>
        <c:crossBetween val="between"/>
        <c:majorUnit val="10"/>
      </c:valAx>
      <c:valAx>
        <c:axId val="373840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4408"/>
        <c:crosses val="max"/>
        <c:crossBetween val="midCat"/>
      </c:valAx>
      <c:valAx>
        <c:axId val="37384408"/>
        <c:scaling>
          <c:orientation val="minMax"/>
        </c:scaling>
        <c:delete val="1"/>
        <c:axPos val="b"/>
        <c:majorTickMark val="out"/>
        <c:minorTickMark val="none"/>
        <c:tickLblPos val="nextTo"/>
        <c:crossAx val="37384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RVI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'حجم هر نفر'!$A$2:$A$61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'اندیکاتور ها'!$AK$3:$AK$62</c:f>
              <c:numCache>
                <c:formatCode>0.00E+00</c:formatCode>
                <c:ptCount val="60"/>
                <c:pt idx="27">
                  <c:v>32.747366031351127</c:v>
                </c:pt>
                <c:pt idx="28">
                  <c:v>41.138120469428159</c:v>
                </c:pt>
                <c:pt idx="29">
                  <c:v>39.060398951132385</c:v>
                </c:pt>
                <c:pt idx="30">
                  <c:v>44.497135840802159</c:v>
                </c:pt>
                <c:pt idx="31">
                  <c:v>40.842587056295535</c:v>
                </c:pt>
                <c:pt idx="32">
                  <c:v>37.802962856052616</c:v>
                </c:pt>
                <c:pt idx="33">
                  <c:v>37.282766947420754</c:v>
                </c:pt>
                <c:pt idx="34">
                  <c:v>33.251998414432833</c:v>
                </c:pt>
                <c:pt idx="35">
                  <c:v>30.641943896303655</c:v>
                </c:pt>
                <c:pt idx="36">
                  <c:v>26.401091688613203</c:v>
                </c:pt>
                <c:pt idx="37">
                  <c:v>28.475581764972532</c:v>
                </c:pt>
                <c:pt idx="38">
                  <c:v>33.526315104059542</c:v>
                </c:pt>
                <c:pt idx="39">
                  <c:v>40.283427926703375</c:v>
                </c:pt>
                <c:pt idx="40">
                  <c:v>50.095173504201142</c:v>
                </c:pt>
                <c:pt idx="41">
                  <c:v>63.148773401305995</c:v>
                </c:pt>
                <c:pt idx="42">
                  <c:v>62.370061538203636</c:v>
                </c:pt>
                <c:pt idx="43">
                  <c:v>61.348033369294491</c:v>
                </c:pt>
                <c:pt idx="44">
                  <c:v>63.571173734548644</c:v>
                </c:pt>
                <c:pt idx="45">
                  <c:v>74.322942674097675</c:v>
                </c:pt>
                <c:pt idx="46">
                  <c:v>81.93642138165275</c:v>
                </c:pt>
                <c:pt idx="47">
                  <c:v>84.14671308931969</c:v>
                </c:pt>
                <c:pt idx="48">
                  <c:v>88.488181655475188</c:v>
                </c:pt>
                <c:pt idx="49">
                  <c:v>77.365257753783041</c:v>
                </c:pt>
                <c:pt idx="50">
                  <c:v>68.865222185171362</c:v>
                </c:pt>
                <c:pt idx="51">
                  <c:v>72.598465481709638</c:v>
                </c:pt>
                <c:pt idx="52">
                  <c:v>74.115460577962835</c:v>
                </c:pt>
                <c:pt idx="53">
                  <c:v>75.123044119125169</c:v>
                </c:pt>
                <c:pt idx="54">
                  <c:v>71.214227986114452</c:v>
                </c:pt>
                <c:pt idx="55">
                  <c:v>67.432400977477286</c:v>
                </c:pt>
                <c:pt idx="56">
                  <c:v>63.083925639104415</c:v>
                </c:pt>
                <c:pt idx="57">
                  <c:v>64.645818235315517</c:v>
                </c:pt>
                <c:pt idx="58">
                  <c:v>58.289933592589513</c:v>
                </c:pt>
                <c:pt idx="59">
                  <c:v>50.487680972771201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7-43EB-BC7D-FCE6F7CB1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134200"/>
        <c:axId val="474134592"/>
      </c:lineChart>
      <c:scatterChart>
        <c:scatterStyle val="lineMarker"/>
        <c:varyColors val="0"/>
        <c:ser>
          <c:idx val="1"/>
          <c:order val="1"/>
          <c:tx>
            <c:strRef>
              <c:f>DATA!$H$1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y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87-43EB-BC7D-FCE6F7CB1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131848"/>
        <c:axId val="474132632"/>
      </c:scatterChart>
      <c:catAx>
        <c:axId val="474134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34592"/>
        <c:crosses val="autoZero"/>
        <c:auto val="1"/>
        <c:lblAlgn val="ctr"/>
        <c:lblOffset val="100"/>
        <c:noMultiLvlLbl val="1"/>
      </c:catAx>
      <c:valAx>
        <c:axId val="47413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RVI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34200"/>
        <c:crosses val="autoZero"/>
        <c:crossBetween val="between"/>
        <c:majorUnit val="10"/>
      </c:valAx>
      <c:valAx>
        <c:axId val="4741326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31848"/>
        <c:crosses val="max"/>
        <c:crossBetween val="midCat"/>
      </c:valAx>
      <c:valAx>
        <c:axId val="474131848"/>
        <c:scaling>
          <c:orientation val="minMax"/>
        </c:scaling>
        <c:delete val="1"/>
        <c:axPos val="b"/>
        <c:majorTickMark val="out"/>
        <c:minorTickMark val="none"/>
        <c:tickLblPos val="nextTo"/>
        <c:crossAx val="474132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TSI</c:v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'حجم هر نفر'!$A$2:$A$61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'اندیکاتور ها'!$AR$3:$AR$62</c:f>
              <c:numCache>
                <c:formatCode>0.00E+00</c:formatCode>
                <c:ptCount val="60"/>
                <c:pt idx="37">
                  <c:v>28.103143277249231</c:v>
                </c:pt>
                <c:pt idx="38">
                  <c:v>27.209707155828681</c:v>
                </c:pt>
                <c:pt idx="39">
                  <c:v>28.365492239737904</c:v>
                </c:pt>
                <c:pt idx="40">
                  <c:v>31.540364100184199</c:v>
                </c:pt>
                <c:pt idx="41">
                  <c:v>36.105980567709558</c:v>
                </c:pt>
                <c:pt idx="42">
                  <c:v>41.148238499726965</c:v>
                </c:pt>
                <c:pt idx="43">
                  <c:v>44.346413409313982</c:v>
                </c:pt>
                <c:pt idx="44">
                  <c:v>47.152726910618206</c:v>
                </c:pt>
                <c:pt idx="45">
                  <c:v>49.949695046431692</c:v>
                </c:pt>
                <c:pt idx="46">
                  <c:v>53.469716346503873</c:v>
                </c:pt>
                <c:pt idx="47">
                  <c:v>56.747586563308694</c:v>
                </c:pt>
                <c:pt idx="48">
                  <c:v>59.354973739765292</c:v>
                </c:pt>
                <c:pt idx="49">
                  <c:v>58.741712486637709</c:v>
                </c:pt>
                <c:pt idx="50">
                  <c:v>53.516472336439833</c:v>
                </c:pt>
                <c:pt idx="51">
                  <c:v>50.179232928305339</c:v>
                </c:pt>
                <c:pt idx="52">
                  <c:v>48.589213402540707</c:v>
                </c:pt>
                <c:pt idx="53">
                  <c:v>48.085330587228363</c:v>
                </c:pt>
                <c:pt idx="54">
                  <c:v>47.076773307772932</c:v>
                </c:pt>
                <c:pt idx="55">
                  <c:v>42.489988577396787</c:v>
                </c:pt>
                <c:pt idx="56">
                  <c:v>36.786200129444104</c:v>
                </c:pt>
                <c:pt idx="57">
                  <c:v>29.239312323317318</c:v>
                </c:pt>
                <c:pt idx="58">
                  <c:v>21.351663361170885</c:v>
                </c:pt>
                <c:pt idx="59">
                  <c:v>13.025207682878831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7F-4F26-9704-69E4324B5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133808"/>
        <c:axId val="474135376"/>
      </c:lineChart>
      <c:scatterChart>
        <c:scatterStyle val="lineMarker"/>
        <c:varyColors val="0"/>
        <c:ser>
          <c:idx val="0"/>
          <c:order val="2"/>
          <c:tx>
            <c:v>EMA 13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'اندیکاتور ها'!$A$3:$A$62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'اندیکاتور ها'!$AS$3:$AS$62</c:f>
              <c:numCache>
                <c:formatCode>0.00E+00</c:formatCode>
                <c:ptCount val="60"/>
                <c:pt idx="49">
                  <c:v>43.248903872539692</c:v>
                </c:pt>
                <c:pt idx="50">
                  <c:v>44.71569936738257</c:v>
                </c:pt>
                <c:pt idx="51">
                  <c:v>45.496204161800108</c:v>
                </c:pt>
                <c:pt idx="52">
                  <c:v>45.938062624763049</c:v>
                </c:pt>
                <c:pt idx="53">
                  <c:v>46.24481519082952</c:v>
                </c:pt>
                <c:pt idx="54">
                  <c:v>46.363666350392862</c:v>
                </c:pt>
                <c:pt idx="55">
                  <c:v>45.810283811393425</c:v>
                </c:pt>
                <c:pt idx="56">
                  <c:v>44.521128999686383</c:v>
                </c:pt>
                <c:pt idx="57">
                  <c:v>42.338012331633657</c:v>
                </c:pt>
                <c:pt idx="58">
                  <c:v>39.339962478710405</c:v>
                </c:pt>
                <c:pt idx="59">
                  <c:v>35.580711793591611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7F-4F26-9704-69E4324B5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133808"/>
        <c:axId val="474135376"/>
      </c:scatterChart>
      <c:scatterChart>
        <c:scatterStyle val="lineMarker"/>
        <c:varyColors val="0"/>
        <c:ser>
          <c:idx val="1"/>
          <c:order val="1"/>
          <c:tx>
            <c:strRef>
              <c:f>DATA!$H$1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y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7F-4F26-9704-69E4324B5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133416"/>
        <c:axId val="474134984"/>
      </c:scatterChart>
      <c:catAx>
        <c:axId val="474133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35376"/>
        <c:crosses val="autoZero"/>
        <c:auto val="1"/>
        <c:lblAlgn val="ctr"/>
        <c:lblOffset val="100"/>
        <c:noMultiLvlLbl val="1"/>
      </c:catAx>
      <c:valAx>
        <c:axId val="47413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33808"/>
        <c:crosses val="autoZero"/>
        <c:crossBetween val="between"/>
      </c:valAx>
      <c:valAx>
        <c:axId val="4741349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33416"/>
        <c:crosses val="max"/>
        <c:crossBetween val="midCat"/>
      </c:valAx>
      <c:valAx>
        <c:axId val="474133416"/>
        <c:scaling>
          <c:orientation val="minMax"/>
        </c:scaling>
        <c:delete val="1"/>
        <c:axPos val="b"/>
        <c:majorTickMark val="out"/>
        <c:minorTickMark val="none"/>
        <c:tickLblPos val="nextTo"/>
        <c:crossAx val="474134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MFI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'حجم هر نفر'!$A$2:$A$61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'اندیکاتور ها'!$AY$3:$AY$62</c:f>
              <c:numCache>
                <c:formatCode>0.00E+00</c:formatCode>
                <c:ptCount val="60"/>
                <c:pt idx="14">
                  <c:v>47.728312345370135</c:v>
                </c:pt>
                <c:pt idx="15">
                  <c:v>43.033356537658904</c:v>
                </c:pt>
                <c:pt idx="16">
                  <c:v>39.950523747771797</c:v>
                </c:pt>
                <c:pt idx="17">
                  <c:v>36.133125250511711</c:v>
                </c:pt>
                <c:pt idx="18">
                  <c:v>34.145136719593864</c:v>
                </c:pt>
                <c:pt idx="19">
                  <c:v>32.127424151446704</c:v>
                </c:pt>
                <c:pt idx="20">
                  <c:v>43.33410706064209</c:v>
                </c:pt>
                <c:pt idx="21">
                  <c:v>50.012452331416071</c:v>
                </c:pt>
                <c:pt idx="22">
                  <c:v>55.020993857377</c:v>
                </c:pt>
                <c:pt idx="23">
                  <c:v>53.853942871753105</c:v>
                </c:pt>
                <c:pt idx="24">
                  <c:v>44.364921926284637</c:v>
                </c:pt>
                <c:pt idx="25">
                  <c:v>37.909180606467459</c:v>
                </c:pt>
                <c:pt idx="26">
                  <c:v>34.671464084172399</c:v>
                </c:pt>
                <c:pt idx="27">
                  <c:v>38.458034577229121</c:v>
                </c:pt>
                <c:pt idx="28">
                  <c:v>46.740791070727909</c:v>
                </c:pt>
                <c:pt idx="29">
                  <c:v>46.385280354733965</c:v>
                </c:pt>
                <c:pt idx="30">
                  <c:v>53.323940496644404</c:v>
                </c:pt>
                <c:pt idx="31">
                  <c:v>51.41870150365633</c:v>
                </c:pt>
                <c:pt idx="32">
                  <c:v>50.139385892837744</c:v>
                </c:pt>
                <c:pt idx="33">
                  <c:v>50.102465222255894</c:v>
                </c:pt>
                <c:pt idx="34">
                  <c:v>38.595796127403226</c:v>
                </c:pt>
                <c:pt idx="35">
                  <c:v>33.051561993818638</c:v>
                </c:pt>
                <c:pt idx="36">
                  <c:v>23.409309197185337</c:v>
                </c:pt>
                <c:pt idx="37">
                  <c:v>24.453237409967286</c:v>
                </c:pt>
                <c:pt idx="38">
                  <c:v>34.421728976540905</c:v>
                </c:pt>
                <c:pt idx="39">
                  <c:v>48.818941882790263</c:v>
                </c:pt>
                <c:pt idx="40">
                  <c:v>65.704168138353197</c:v>
                </c:pt>
                <c:pt idx="41">
                  <c:v>78.709211361392022</c:v>
                </c:pt>
                <c:pt idx="42">
                  <c:v>80.186427934233862</c:v>
                </c:pt>
                <c:pt idx="43">
                  <c:v>76.59203286577565</c:v>
                </c:pt>
                <c:pt idx="44">
                  <c:v>76.772208415284226</c:v>
                </c:pt>
                <c:pt idx="45">
                  <c:v>81.41176022545578</c:v>
                </c:pt>
                <c:pt idx="46">
                  <c:v>84.8301004338648</c:v>
                </c:pt>
                <c:pt idx="47">
                  <c:v>85.574713946172281</c:v>
                </c:pt>
                <c:pt idx="48">
                  <c:v>89.060244602533004</c:v>
                </c:pt>
                <c:pt idx="49">
                  <c:v>83.346813545056008</c:v>
                </c:pt>
                <c:pt idx="50">
                  <c:v>77.576379443511513</c:v>
                </c:pt>
                <c:pt idx="51">
                  <c:v>80.601343286028069</c:v>
                </c:pt>
                <c:pt idx="52">
                  <c:v>80.762878714991672</c:v>
                </c:pt>
                <c:pt idx="53">
                  <c:v>80.963871932657568</c:v>
                </c:pt>
                <c:pt idx="54">
                  <c:v>75.663466856789412</c:v>
                </c:pt>
                <c:pt idx="55">
                  <c:v>64.280097430818159</c:v>
                </c:pt>
                <c:pt idx="56">
                  <c:v>57.587235711236602</c:v>
                </c:pt>
                <c:pt idx="57">
                  <c:v>61.272305355557542</c:v>
                </c:pt>
                <c:pt idx="58">
                  <c:v>51.372563640824971</c:v>
                </c:pt>
                <c:pt idx="59">
                  <c:v>46.006056011049466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AD-403F-9378-604FFFF0C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833072"/>
        <c:axId val="469847168"/>
      </c:lineChart>
      <c:scatterChart>
        <c:scatterStyle val="lineMarker"/>
        <c:varyColors val="0"/>
        <c:ser>
          <c:idx val="1"/>
          <c:order val="1"/>
          <c:tx>
            <c:strRef>
              <c:f>DATA!$H$1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y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AD-403F-9378-604FFFF0C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850304"/>
        <c:axId val="469849912"/>
      </c:scatterChart>
      <c:catAx>
        <c:axId val="372833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47168"/>
        <c:crosses val="autoZero"/>
        <c:auto val="1"/>
        <c:lblAlgn val="ctr"/>
        <c:lblOffset val="100"/>
        <c:noMultiLvlLbl val="1"/>
      </c:catAx>
      <c:valAx>
        <c:axId val="46984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MFI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833072"/>
        <c:crosses val="autoZero"/>
        <c:crossBetween val="between"/>
        <c:majorUnit val="10"/>
      </c:valAx>
      <c:valAx>
        <c:axId val="4698499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50304"/>
        <c:crosses val="max"/>
        <c:crossBetween val="midCat"/>
      </c:valAx>
      <c:valAx>
        <c:axId val="469850304"/>
        <c:scaling>
          <c:orientation val="minMax"/>
        </c:scaling>
        <c:delete val="1"/>
        <c:axPos val="b"/>
        <c:majorTickMark val="out"/>
        <c:minorTickMark val="none"/>
        <c:tickLblPos val="nextTo"/>
        <c:crossAx val="469849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CCI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'حجم هر نفر'!$A$2:$A$61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'اندیکاتور ها'!$BB$3:$BB$62</c:f>
              <c:numCache>
                <c:formatCode>0.00E+00</c:formatCode>
                <c:ptCount val="60"/>
                <c:pt idx="19">
                  <c:v>192.92258572023499</c:v>
                </c:pt>
                <c:pt idx="20">
                  <c:v>227.20177496784842</c:v>
                </c:pt>
                <c:pt idx="21">
                  <c:v>235.83468681887408</c:v>
                </c:pt>
                <c:pt idx="22">
                  <c:v>237.11333221231155</c:v>
                </c:pt>
                <c:pt idx="23">
                  <c:v>182.59880267710736</c:v>
                </c:pt>
                <c:pt idx="24">
                  <c:v>144.03287713861073</c:v>
                </c:pt>
                <c:pt idx="25">
                  <c:v>113.28133701977467</c:v>
                </c:pt>
                <c:pt idx="26">
                  <c:v>87.316003019437645</c:v>
                </c:pt>
                <c:pt idx="27">
                  <c:v>61.151882446217144</c:v>
                </c:pt>
                <c:pt idx="28">
                  <c:v>69.380449380590449</c:v>
                </c:pt>
                <c:pt idx="29">
                  <c:v>53.527116330204258</c:v>
                </c:pt>
                <c:pt idx="30">
                  <c:v>52.72592203837096</c:v>
                </c:pt>
                <c:pt idx="31">
                  <c:v>22.807888395950368</c:v>
                </c:pt>
                <c:pt idx="32">
                  <c:v>15.129064961397463</c:v>
                </c:pt>
                <c:pt idx="33">
                  <c:v>46.949473125949801</c:v>
                </c:pt>
                <c:pt idx="34">
                  <c:v>27.12872905598687</c:v>
                </c:pt>
                <c:pt idx="35">
                  <c:v>33.324226235804041</c:v>
                </c:pt>
                <c:pt idx="36">
                  <c:v>56.812908790104203</c:v>
                </c:pt>
                <c:pt idx="37">
                  <c:v>24.184694610967565</c:v>
                </c:pt>
                <c:pt idx="38">
                  <c:v>20.850809984527508</c:v>
                </c:pt>
                <c:pt idx="39">
                  <c:v>166.66666666666666</c:v>
                </c:pt>
                <c:pt idx="40">
                  <c:v>279.66158373461781</c:v>
                </c:pt>
                <c:pt idx="41">
                  <c:v>304.94716349588697</c:v>
                </c:pt>
                <c:pt idx="42">
                  <c:v>287.94894220271038</c:v>
                </c:pt>
                <c:pt idx="43">
                  <c:v>205.41863427277843</c:v>
                </c:pt>
                <c:pt idx="44">
                  <c:v>171.28028931785573</c:v>
                </c:pt>
                <c:pt idx="45">
                  <c:v>155.00229975987017</c:v>
                </c:pt>
                <c:pt idx="46">
                  <c:v>162.21682965085949</c:v>
                </c:pt>
                <c:pt idx="47">
                  <c:v>151.25124166190525</c:v>
                </c:pt>
                <c:pt idx="48">
                  <c:v>131.87053620266619</c:v>
                </c:pt>
                <c:pt idx="49">
                  <c:v>97.876379608777384</c:v>
                </c:pt>
                <c:pt idx="50">
                  <c:v>55.107221790813014</c:v>
                </c:pt>
                <c:pt idx="51">
                  <c:v>64.168451051708985</c:v>
                </c:pt>
                <c:pt idx="52">
                  <c:v>81.91014678173859</c:v>
                </c:pt>
                <c:pt idx="53">
                  <c:v>93.286279201575226</c:v>
                </c:pt>
                <c:pt idx="54">
                  <c:v>82.500708293133869</c:v>
                </c:pt>
                <c:pt idx="55">
                  <c:v>36.66678073095656</c:v>
                </c:pt>
                <c:pt idx="56">
                  <c:v>0.34765397391760505</c:v>
                </c:pt>
                <c:pt idx="57">
                  <c:v>-65.472237867651899</c:v>
                </c:pt>
                <c:pt idx="58">
                  <c:v>-124.71907040328082</c:v>
                </c:pt>
                <c:pt idx="59">
                  <c:v>-183.25732571887679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1B-4739-AE6D-ABDB5E8B4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850696"/>
        <c:axId val="469849520"/>
      </c:lineChart>
      <c:scatterChart>
        <c:scatterStyle val="lineMarker"/>
        <c:varyColors val="0"/>
        <c:ser>
          <c:idx val="1"/>
          <c:order val="1"/>
          <c:tx>
            <c:strRef>
              <c:f>DATA!$H$1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y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1B-4739-AE6D-ABDB5E8B4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848736"/>
        <c:axId val="469847560"/>
      </c:scatterChart>
      <c:catAx>
        <c:axId val="469850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49520"/>
        <c:crosses val="autoZero"/>
        <c:auto val="1"/>
        <c:lblAlgn val="ctr"/>
        <c:lblOffset val="100"/>
        <c:noMultiLvlLbl val="1"/>
      </c:catAx>
      <c:valAx>
        <c:axId val="46984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CCI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50696"/>
        <c:crosses val="autoZero"/>
        <c:crossBetween val="between"/>
        <c:majorUnit val="10"/>
      </c:valAx>
      <c:valAx>
        <c:axId val="4698475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48736"/>
        <c:crosses val="max"/>
        <c:crossBetween val="midCat"/>
      </c:valAx>
      <c:valAx>
        <c:axId val="469848736"/>
        <c:scaling>
          <c:orientation val="minMax"/>
        </c:scaling>
        <c:delete val="1"/>
        <c:axPos val="b"/>
        <c:majorTickMark val="out"/>
        <c:minorTickMark val="none"/>
        <c:tickLblPos val="nextTo"/>
        <c:crossAx val="469847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EFI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'حجم هر نفر'!$A$2:$A$61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'اندیکاتور ها'!$BD$3:$BD$62</c:f>
              <c:numCache>
                <c:formatCode>0.00E+00</c:formatCode>
                <c:ptCount val="60"/>
                <c:pt idx="13">
                  <c:v>1579715048.3076923</c:v>
                </c:pt>
                <c:pt idx="14">
                  <c:v>1258623184.2637362</c:v>
                </c:pt>
                <c:pt idx="15">
                  <c:v>436030729.36891675</c:v>
                </c:pt>
                <c:pt idx="16">
                  <c:v>-798293374.82664275</c:v>
                </c:pt>
                <c:pt idx="17">
                  <c:v>-654320492.70855093</c:v>
                </c:pt>
                <c:pt idx="18">
                  <c:v>-405955169.3216151</c:v>
                </c:pt>
                <c:pt idx="19">
                  <c:v>313841854.86718702</c:v>
                </c:pt>
                <c:pt idx="20">
                  <c:v>4949790161.3147316</c:v>
                </c:pt>
                <c:pt idx="21">
                  <c:v>6291558566.841198</c:v>
                </c:pt>
                <c:pt idx="22">
                  <c:v>8064970914.4353123</c:v>
                </c:pt>
                <c:pt idx="23">
                  <c:v>6777176212.3731251</c:v>
                </c:pt>
                <c:pt idx="24">
                  <c:v>5598507182.0341072</c:v>
                </c:pt>
                <c:pt idx="25">
                  <c:v>4035099870.314949</c:v>
                </c:pt>
                <c:pt idx="26">
                  <c:v>3009450745.984242</c:v>
                </c:pt>
                <c:pt idx="27">
                  <c:v>1970139282.843636</c:v>
                </c:pt>
                <c:pt idx="28">
                  <c:v>2280429115.8659735</c:v>
                </c:pt>
                <c:pt idx="29">
                  <c:v>1736615225.7422628</c:v>
                </c:pt>
                <c:pt idx="30">
                  <c:v>1595781046.0647967</c:v>
                </c:pt>
                <c:pt idx="31">
                  <c:v>786803579.62696862</c:v>
                </c:pt>
                <c:pt idx="32">
                  <c:v>619849413.25168741</c:v>
                </c:pt>
                <c:pt idx="33">
                  <c:v>982678425.64430344</c:v>
                </c:pt>
                <c:pt idx="34">
                  <c:v>594478684.83797443</c:v>
                </c:pt>
                <c:pt idx="35">
                  <c:v>621861521.00397813</c:v>
                </c:pt>
                <c:pt idx="36">
                  <c:v>858015111.43198121</c:v>
                </c:pt>
                <c:pt idx="37">
                  <c:v>495031809.79884106</c:v>
                </c:pt>
                <c:pt idx="38">
                  <c:v>488010122.68472093</c:v>
                </c:pt>
                <c:pt idx="39">
                  <c:v>1277999930.872618</c:v>
                </c:pt>
                <c:pt idx="40">
                  <c:v>5092584512.1765289</c:v>
                </c:pt>
                <c:pt idx="41">
                  <c:v>9297592439.0084534</c:v>
                </c:pt>
                <c:pt idx="42">
                  <c:v>10559682376.292959</c:v>
                </c:pt>
                <c:pt idx="43">
                  <c:v>8820007751.1082516</c:v>
                </c:pt>
                <c:pt idx="44">
                  <c:v>7833608072.3785019</c:v>
                </c:pt>
                <c:pt idx="45">
                  <c:v>7280330347.7530022</c:v>
                </c:pt>
                <c:pt idx="46">
                  <c:v>7990419298.0740013</c:v>
                </c:pt>
                <c:pt idx="47">
                  <c:v>7697217684.0634298</c:v>
                </c:pt>
                <c:pt idx="48">
                  <c:v>6723984612.054369</c:v>
                </c:pt>
                <c:pt idx="49">
                  <c:v>4818773667.475174</c:v>
                </c:pt>
                <c:pt idx="50">
                  <c:v>2156243714.9787207</c:v>
                </c:pt>
                <c:pt idx="51">
                  <c:v>2148711398.5531893</c:v>
                </c:pt>
                <c:pt idx="52">
                  <c:v>2753589341.6170192</c:v>
                </c:pt>
                <c:pt idx="53">
                  <c:v>3017566850.6717305</c:v>
                </c:pt>
                <c:pt idx="54">
                  <c:v>2470656640.2900548</c:v>
                </c:pt>
                <c:pt idx="55">
                  <c:v>247993120.2486186</c:v>
                </c:pt>
                <c:pt idx="56">
                  <c:v>-22820714.786898315</c:v>
                </c:pt>
                <c:pt idx="57">
                  <c:v>-914536733.24591279</c:v>
                </c:pt>
                <c:pt idx="58">
                  <c:v>-2926328628.4964967</c:v>
                </c:pt>
                <c:pt idx="59">
                  <c:v>-3222033095.8541398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57-4204-9812-971A67289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848344"/>
        <c:axId val="328695032"/>
      </c:lineChart>
      <c:scatterChart>
        <c:scatterStyle val="lineMarker"/>
        <c:varyColors val="0"/>
        <c:ser>
          <c:idx val="1"/>
          <c:order val="1"/>
          <c:tx>
            <c:strRef>
              <c:f>DATA!$H$1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y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57-4204-9812-971A67289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693856"/>
        <c:axId val="328695424"/>
      </c:scatterChart>
      <c:catAx>
        <c:axId val="469848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95032"/>
        <c:crosses val="autoZero"/>
        <c:auto val="1"/>
        <c:lblAlgn val="ctr"/>
        <c:lblOffset val="100"/>
        <c:noMultiLvlLbl val="1"/>
      </c:catAx>
      <c:valAx>
        <c:axId val="32869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EFI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48344"/>
        <c:crosses val="autoZero"/>
        <c:crossBetween val="between"/>
      </c:valAx>
      <c:valAx>
        <c:axId val="3286954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93856"/>
        <c:crosses val="max"/>
        <c:crossBetween val="midCat"/>
      </c:valAx>
      <c:valAx>
        <c:axId val="328693856"/>
        <c:scaling>
          <c:orientation val="minMax"/>
        </c:scaling>
        <c:delete val="1"/>
        <c:axPos val="b"/>
        <c:majorTickMark val="out"/>
        <c:minorTickMark val="none"/>
        <c:tickLblPos val="nextTo"/>
        <c:crossAx val="328695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MACD</c:v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'حجم هر نفر'!$A$2:$A$61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'اندیکاتور ها'!$K$3:$K$62</c:f>
              <c:numCache>
                <c:formatCode>General</c:formatCode>
                <c:ptCount val="60"/>
                <c:pt idx="25" formatCode="0.00E+00">
                  <c:v>4697.4153531529009</c:v>
                </c:pt>
                <c:pt idx="26" formatCode="0.00E+00">
                  <c:v>4569.6394211096558</c:v>
                </c:pt>
                <c:pt idx="27" formatCode="0.00E+00">
                  <c:v>4323.6424439121329</c:v>
                </c:pt>
                <c:pt idx="28" formatCode="0.00E+00">
                  <c:v>4164.8397701088034</c:v>
                </c:pt>
                <c:pt idx="29" formatCode="0.00E+00">
                  <c:v>3944.5375069283182</c:v>
                </c:pt>
                <c:pt idx="30" formatCode="0.00E+00">
                  <c:v>3749.9583832749122</c:v>
                </c:pt>
                <c:pt idx="31" formatCode="0.00E+00">
                  <c:v>3427.6988603752325</c:v>
                </c:pt>
                <c:pt idx="32" formatCode="0.00E+00">
                  <c:v>3116.4505292102403</c:v>
                </c:pt>
                <c:pt idx="33" formatCode="0.00E+00">
                  <c:v>2992.2365885059262</c:v>
                </c:pt>
                <c:pt idx="34" formatCode="0.00E+00">
                  <c:v>2795.6446225580366</c:v>
                </c:pt>
                <c:pt idx="35" formatCode="0.00E+00">
                  <c:v>2650.1250523987692</c:v>
                </c:pt>
                <c:pt idx="36" formatCode="0.00E+00">
                  <c:v>2585.445901391955</c:v>
                </c:pt>
                <c:pt idx="37" formatCode="0.00E+00">
                  <c:v>2447.3930520117792</c:v>
                </c:pt>
                <c:pt idx="38" formatCode="0.00E+00">
                  <c:v>2323.8656850955522</c:v>
                </c:pt>
                <c:pt idx="39" formatCode="0.00E+00">
                  <c:v>2391.1776832655087</c:v>
                </c:pt>
                <c:pt idx="40" formatCode="0.00E+00">
                  <c:v>2657.4970244725628</c:v>
                </c:pt>
                <c:pt idx="41" formatCode="0.00E+00">
                  <c:v>3088.7444054812513</c:v>
                </c:pt>
                <c:pt idx="42" formatCode="0.00E+00">
                  <c:v>3613.7417050694639</c:v>
                </c:pt>
                <c:pt idx="43" formatCode="0.00E+00">
                  <c:v>3953.5687437204033</c:v>
                </c:pt>
                <c:pt idx="44" formatCode="0.00E+00">
                  <c:v>4235.1475490028242</c:v>
                </c:pt>
                <c:pt idx="45" formatCode="0.00E+00">
                  <c:v>4515.1064699619528</c:v>
                </c:pt>
                <c:pt idx="46" formatCode="0.00E+00">
                  <c:v>4936.1101092323515</c:v>
                </c:pt>
                <c:pt idx="47" formatCode="0.00E+00">
                  <c:v>5337.6587142535282</c:v>
                </c:pt>
                <c:pt idx="48" formatCode="0.00E+00">
                  <c:v>5615.2063824125289</c:v>
                </c:pt>
                <c:pt idx="49" formatCode="0.00E+00">
                  <c:v>5612.2342548173037</c:v>
                </c:pt>
                <c:pt idx="50" formatCode="0.00E+00">
                  <c:v>5251.7491490966277</c:v>
                </c:pt>
                <c:pt idx="51" formatCode="0.00E+00">
                  <c:v>5032.7166685565317</c:v>
                </c:pt>
                <c:pt idx="52" formatCode="0.00E+00">
                  <c:v>4993.534905528737</c:v>
                </c:pt>
                <c:pt idx="53" formatCode="0.00E+00">
                  <c:v>5048.323724745962</c:v>
                </c:pt>
                <c:pt idx="54" formatCode="0.00E+00">
                  <c:v>4988.5676859589294</c:v>
                </c:pt>
                <c:pt idx="55" formatCode="0.00E+00">
                  <c:v>4599.7950893484813</c:v>
                </c:pt>
                <c:pt idx="56" formatCode="0.00E+00">
                  <c:v>4065.2889798747783</c:v>
                </c:pt>
                <c:pt idx="57" formatCode="0.00E+00">
                  <c:v>3321.4646607158938</c:v>
                </c:pt>
                <c:pt idx="58" formatCode="0.00E+00">
                  <c:v>2488.651138175861</c:v>
                </c:pt>
                <c:pt idx="59" formatCode="0.00E+00">
                  <c:v>1553.5675961496017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49-4A8F-9DBD-8FA05916A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694640"/>
        <c:axId val="328691896"/>
      </c:lineChart>
      <c:scatterChart>
        <c:scatterStyle val="lineMarker"/>
        <c:varyColors val="0"/>
        <c:ser>
          <c:idx val="0"/>
          <c:order val="2"/>
          <c:tx>
            <c:v>MA 9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'اندیکاتور ها'!$A$3:$A$62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'اندیکاتور ها'!$L$3:$L$62</c:f>
              <c:numCache>
                <c:formatCode>General</c:formatCode>
                <c:ptCount val="60"/>
                <c:pt idx="33" formatCode="0.00E+00">
                  <c:v>3887.3798729531245</c:v>
                </c:pt>
                <c:pt idx="34" formatCode="0.00E+00">
                  <c:v>3676.0720139981399</c:v>
                </c:pt>
                <c:pt idx="35" formatCode="0.00E+00">
                  <c:v>3462.7926396969301</c:v>
                </c:pt>
                <c:pt idx="36" formatCode="0.00E+00">
                  <c:v>3269.6596905280217</c:v>
                </c:pt>
                <c:pt idx="37" formatCode="0.00E+00">
                  <c:v>3078.8322774061298</c:v>
                </c:pt>
                <c:pt idx="38" formatCode="0.00E+00">
                  <c:v>2898.7576305358225</c:v>
                </c:pt>
                <c:pt idx="39" formatCode="0.00E+00">
                  <c:v>2747.7819972014445</c:v>
                </c:pt>
                <c:pt idx="40" formatCode="0.00E+00">
                  <c:v>2662.2040154344813</c:v>
                </c:pt>
                <c:pt idx="41" formatCode="0.00E+00">
                  <c:v>2659.1255572423711</c:v>
                </c:pt>
                <c:pt idx="42" formatCode="0.00E+00">
                  <c:v>2728.1816813049863</c:v>
                </c:pt>
                <c:pt idx="43" formatCode="0.00E+00">
                  <c:v>2856.8399169896938</c:v>
                </c:pt>
                <c:pt idx="44" formatCode="0.00E+00">
                  <c:v>3032.9535277234777</c:v>
                </c:pt>
                <c:pt idx="45" formatCode="0.00E+00">
                  <c:v>3247.3602575645887</c:v>
                </c:pt>
                <c:pt idx="46" formatCode="0.00E+00">
                  <c:v>3523.8843750335413</c:v>
                </c:pt>
                <c:pt idx="47" formatCode="0.00E+00">
                  <c:v>3858.7502671622051</c:v>
                </c:pt>
                <c:pt idx="48" formatCode="0.00E+00">
                  <c:v>4216.9756781785409</c:v>
                </c:pt>
                <c:pt idx="49" formatCode="0.00E+00">
                  <c:v>4545.2798148835118</c:v>
                </c:pt>
                <c:pt idx="50" formatCode="0.00E+00">
                  <c:v>4785.6136752852208</c:v>
                </c:pt>
                <c:pt idx="51" formatCode="0.00E+00">
                  <c:v>4943.277560117117</c:v>
                </c:pt>
                <c:pt idx="52" formatCode="0.00E+00">
                  <c:v>5058.8293558735986</c:v>
                </c:pt>
                <c:pt idx="53" formatCode="0.00E+00">
                  <c:v>5149.1822642895022</c:v>
                </c:pt>
                <c:pt idx="54" formatCode="0.00E+00">
                  <c:v>5201.7890660669445</c:v>
                </c:pt>
                <c:pt idx="55" formatCode="0.00E+00">
                  <c:v>5164.4207305242926</c:v>
                </c:pt>
                <c:pt idx="56" formatCode="0.00E+00">
                  <c:v>5023.0463155933203</c:v>
                </c:pt>
                <c:pt idx="57" formatCode="0.00E+00">
                  <c:v>4768.1861242936939</c:v>
                </c:pt>
                <c:pt idx="58" formatCode="0.00E+00">
                  <c:v>4421.1213335557559</c:v>
                </c:pt>
                <c:pt idx="59" formatCode="0.00E+00">
                  <c:v>4010.2122721171972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49-4A8F-9DBD-8FA05916A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694640"/>
        <c:axId val="328691896"/>
      </c:scatterChart>
      <c:scatterChart>
        <c:scatterStyle val="lineMarker"/>
        <c:varyColors val="0"/>
        <c:ser>
          <c:idx val="1"/>
          <c:order val="1"/>
          <c:tx>
            <c:strRef>
              <c:f>DATA!$H$1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y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49-4A8F-9DBD-8FA05916A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693072"/>
        <c:axId val="328692288"/>
      </c:scatterChart>
      <c:catAx>
        <c:axId val="328694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91896"/>
        <c:crosses val="autoZero"/>
        <c:auto val="1"/>
        <c:lblAlgn val="ctr"/>
        <c:lblOffset val="100"/>
        <c:noMultiLvlLbl val="1"/>
      </c:catAx>
      <c:valAx>
        <c:axId val="32869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MACD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94640"/>
        <c:crosses val="autoZero"/>
        <c:crossBetween val="between"/>
      </c:valAx>
      <c:valAx>
        <c:axId val="3286922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93072"/>
        <c:crosses val="max"/>
        <c:crossBetween val="midCat"/>
      </c:valAx>
      <c:valAx>
        <c:axId val="328693072"/>
        <c:scaling>
          <c:orientation val="minMax"/>
        </c:scaling>
        <c:delete val="1"/>
        <c:axPos val="b"/>
        <c:majorTickMark val="out"/>
        <c:minorTickMark val="none"/>
        <c:tickLblPos val="nextTo"/>
        <c:crossAx val="328692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STOCHASTICS</c:v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'حجم هر نفر'!$A$2:$A$61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'اندیکاتور ها'!$BG$3:$BG$62</c:f>
              <c:numCache>
                <c:formatCode>0.00E+00</c:formatCode>
                <c:ptCount val="60"/>
                <c:pt idx="13">
                  <c:v>0.90457195458729667</c:v>
                </c:pt>
                <c:pt idx="14">
                  <c:v>0.89567351948450447</c:v>
                </c:pt>
                <c:pt idx="15">
                  <c:v>0.59435409634857317</c:v>
                </c:pt>
                <c:pt idx="16">
                  <c:v>0.27404044572843583</c:v>
                </c:pt>
                <c:pt idx="17">
                  <c:v>0.33107580098984113</c:v>
                </c:pt>
                <c:pt idx="18">
                  <c:v>0.96222974733003386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0.98261914297156583</c:v>
                </c:pt>
                <c:pt idx="24">
                  <c:v>0.96892270724869844</c:v>
                </c:pt>
                <c:pt idx="25">
                  <c:v>0.92535042050460548</c:v>
                </c:pt>
                <c:pt idx="26">
                  <c:v>0.86095314377252707</c:v>
                </c:pt>
                <c:pt idx="27">
                  <c:v>0.76676011213456152</c:v>
                </c:pt>
                <c:pt idx="28">
                  <c:v>0.850300360432519</c:v>
                </c:pt>
                <c:pt idx="29">
                  <c:v>0.80168201842210651</c:v>
                </c:pt>
                <c:pt idx="30">
                  <c:v>0.81031642826181183</c:v>
                </c:pt>
                <c:pt idx="31">
                  <c:v>0.58505267778753289</c:v>
                </c:pt>
                <c:pt idx="32">
                  <c:v>0.38672350791717419</c:v>
                </c:pt>
                <c:pt idx="33">
                  <c:v>0.4897109260166585</c:v>
                </c:pt>
                <c:pt idx="34">
                  <c:v>0.28003972194637539</c:v>
                </c:pt>
                <c:pt idx="35">
                  <c:v>0.40566037735849059</c:v>
                </c:pt>
                <c:pt idx="36">
                  <c:v>0.6903699816321176</c:v>
                </c:pt>
                <c:pt idx="37">
                  <c:v>0.52335164835164838</c:v>
                </c:pt>
                <c:pt idx="38">
                  <c:v>0.66602067183462532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0.97169881581887241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0.89297604104131423</c:v>
                </c:pt>
                <c:pt idx="50">
                  <c:v>0.69169895759428046</c:v>
                </c:pt>
                <c:pt idx="51">
                  <c:v>0.77408345260376532</c:v>
                </c:pt>
                <c:pt idx="52">
                  <c:v>0.89066362426316792</c:v>
                </c:pt>
                <c:pt idx="53">
                  <c:v>1</c:v>
                </c:pt>
                <c:pt idx="54">
                  <c:v>0.94133499170812607</c:v>
                </c:pt>
                <c:pt idx="55">
                  <c:v>0.42825576577820745</c:v>
                </c:pt>
                <c:pt idx="56">
                  <c:v>0.12097776550200248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2A-43C5-A948-71DF76AA0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634376"/>
        <c:axId val="472635944"/>
      </c:lineChart>
      <c:scatterChart>
        <c:scatterStyle val="lineMarker"/>
        <c:varyColors val="0"/>
        <c:ser>
          <c:idx val="1"/>
          <c:order val="1"/>
          <c:tx>
            <c:strRef>
              <c:f>DATA!$H$1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y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2A-43C5-A948-71DF76AA0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632416"/>
        <c:axId val="472633200"/>
      </c:scatterChart>
      <c:catAx>
        <c:axId val="472634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35944"/>
        <c:crosses val="autoZero"/>
        <c:auto val="1"/>
        <c:lblAlgn val="ctr"/>
        <c:lblOffset val="100"/>
        <c:noMultiLvlLbl val="1"/>
      </c:catAx>
      <c:valAx>
        <c:axId val="47263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STOCHASTIC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34376"/>
        <c:crosses val="autoZero"/>
        <c:crossBetween val="between"/>
        <c:majorUnit val="0.1"/>
      </c:valAx>
      <c:valAx>
        <c:axId val="472633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32416"/>
        <c:crosses val="max"/>
        <c:crossBetween val="midCat"/>
      </c:valAx>
      <c:valAx>
        <c:axId val="472632416"/>
        <c:scaling>
          <c:orientation val="minMax"/>
        </c:scaling>
        <c:delete val="1"/>
        <c:axPos val="b"/>
        <c:majorTickMark val="out"/>
        <c:minorTickMark val="none"/>
        <c:tickLblPos val="nextTo"/>
        <c:crossAx val="472633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strRef>
              <c:f>'اندیکاتور ها'!$AC$2</c:f>
              <c:strCache>
                <c:ptCount val="1"/>
                <c:pt idx="0">
                  <c:v>STOCH RSI 14</c:v>
                </c:pt>
              </c:strCache>
            </c:strRef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'حجم هر نفر'!$A$2:$A$61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'اندیکاتور ها'!$AC$3:$AC$62</c:f>
              <c:numCache>
                <c:formatCode>0.00E+00</c:formatCode>
                <c:ptCount val="60"/>
                <c:pt idx="27">
                  <c:v>0.42258705417455705</c:v>
                </c:pt>
                <c:pt idx="28">
                  <c:v>0.51020365563567527</c:v>
                </c:pt>
                <c:pt idx="29">
                  <c:v>0.80654055733059793</c:v>
                </c:pt>
                <c:pt idx="30">
                  <c:v>1</c:v>
                </c:pt>
                <c:pt idx="31">
                  <c:v>0.57205306645462239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3.5773288236283382E-2</c:v>
                </c:pt>
                <c:pt idx="39">
                  <c:v>0.33718684254226261</c:v>
                </c:pt>
                <c:pt idx="40">
                  <c:v>0.62284613765108066</c:v>
                </c:pt>
                <c:pt idx="41">
                  <c:v>0.88267580562862702</c:v>
                </c:pt>
                <c:pt idx="42">
                  <c:v>0.92638760128443443</c:v>
                </c:pt>
                <c:pt idx="43">
                  <c:v>0.95804232989817206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0.99280425892265245</c:v>
                </c:pt>
                <c:pt idx="48">
                  <c:v>1</c:v>
                </c:pt>
                <c:pt idx="49">
                  <c:v>0.86308884872370728</c:v>
                </c:pt>
                <c:pt idx="50">
                  <c:v>0.63298139923262842</c:v>
                </c:pt>
                <c:pt idx="51">
                  <c:v>0.69737459568208404</c:v>
                </c:pt>
                <c:pt idx="52">
                  <c:v>0.64472063370733368</c:v>
                </c:pt>
                <c:pt idx="53">
                  <c:v>0.47332718691451686</c:v>
                </c:pt>
                <c:pt idx="54">
                  <c:v>9.0554402307825989E-4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2D-4803-96B5-AEB31F615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633592"/>
        <c:axId val="472635552"/>
      </c:lineChart>
      <c:scatterChart>
        <c:scatterStyle val="lineMarker"/>
        <c:varyColors val="0"/>
        <c:ser>
          <c:idx val="0"/>
          <c:order val="2"/>
          <c:tx>
            <c:v>MA 3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'اندیکاتور ها'!$A$3:$A$62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'اندیکاتور ها'!$AD$3:$AD$62</c:f>
              <c:numCache>
                <c:formatCode>0.00E+00</c:formatCode>
                <c:ptCount val="60"/>
                <c:pt idx="29">
                  <c:v>0.57977708904694347</c:v>
                </c:pt>
                <c:pt idx="30">
                  <c:v>0.7722480709887577</c:v>
                </c:pt>
                <c:pt idx="31">
                  <c:v>0.79286454126174011</c:v>
                </c:pt>
                <c:pt idx="32">
                  <c:v>0.52401768881820743</c:v>
                </c:pt>
                <c:pt idx="33">
                  <c:v>0.19068435548487414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1.1924429412094461E-2</c:v>
                </c:pt>
                <c:pt idx="39">
                  <c:v>0.12432004359284866</c:v>
                </c:pt>
                <c:pt idx="40">
                  <c:v>0.33193542280987559</c:v>
                </c:pt>
                <c:pt idx="41">
                  <c:v>0.61423626194065672</c:v>
                </c:pt>
                <c:pt idx="42">
                  <c:v>0.810636514854714</c:v>
                </c:pt>
                <c:pt idx="43">
                  <c:v>0.92236857893707791</c:v>
                </c:pt>
                <c:pt idx="44">
                  <c:v>0.9614766437275355</c:v>
                </c:pt>
                <c:pt idx="45">
                  <c:v>0.98601410996605743</c:v>
                </c:pt>
                <c:pt idx="46">
                  <c:v>1</c:v>
                </c:pt>
                <c:pt idx="47">
                  <c:v>0.99760141964088422</c:v>
                </c:pt>
                <c:pt idx="48">
                  <c:v>0.99760141964088422</c:v>
                </c:pt>
                <c:pt idx="49">
                  <c:v>0.95196436921545324</c:v>
                </c:pt>
                <c:pt idx="50">
                  <c:v>0.83202341598544516</c:v>
                </c:pt>
                <c:pt idx="51">
                  <c:v>0.73114828121280662</c:v>
                </c:pt>
                <c:pt idx="52">
                  <c:v>0.65835887620734868</c:v>
                </c:pt>
                <c:pt idx="53">
                  <c:v>0.60514080543464488</c:v>
                </c:pt>
                <c:pt idx="54">
                  <c:v>0.37298445488164295</c:v>
                </c:pt>
                <c:pt idx="55">
                  <c:v>0.15807757697919836</c:v>
                </c:pt>
                <c:pt idx="56">
                  <c:v>3.018480076927533E-4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2D-4803-96B5-AEB31F615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633592"/>
        <c:axId val="472635552"/>
      </c:scatterChart>
      <c:scatterChart>
        <c:scatterStyle val="lineMarker"/>
        <c:varyColors val="0"/>
        <c:ser>
          <c:idx val="1"/>
          <c:order val="1"/>
          <c:tx>
            <c:strRef>
              <c:f>DATA!$H$1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y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2D-4803-96B5-AEB31F615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634768"/>
        <c:axId val="472633984"/>
      </c:scatterChart>
      <c:catAx>
        <c:axId val="472633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35552"/>
        <c:crosses val="autoZero"/>
        <c:auto val="1"/>
        <c:lblAlgn val="ctr"/>
        <c:lblOffset val="100"/>
        <c:noMultiLvlLbl val="1"/>
      </c:catAx>
      <c:valAx>
        <c:axId val="47263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MACD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33592"/>
        <c:crosses val="autoZero"/>
        <c:crossBetween val="between"/>
      </c:valAx>
      <c:valAx>
        <c:axId val="4726339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34768"/>
        <c:crosses val="max"/>
        <c:crossBetween val="midCat"/>
      </c:valAx>
      <c:valAx>
        <c:axId val="472634768"/>
        <c:scaling>
          <c:orientation val="minMax"/>
        </c:scaling>
        <c:delete val="1"/>
        <c:axPos val="b"/>
        <c:majorTickMark val="out"/>
        <c:minorTickMark val="none"/>
        <c:tickLblPos val="nextTo"/>
        <c:crossAx val="472633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PPO</c:v>
          </c:tx>
          <c:spPr>
            <a:ln w="31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'حجم هر نفر'!$A$2:$A$61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'اندیکاتور ها'!$BJ$3:$BJ$62</c:f>
              <c:numCache>
                <c:formatCode>General</c:formatCode>
                <c:ptCount val="60"/>
                <c:pt idx="19" formatCode="0.00E+00">
                  <c:v>4.8332154670789898E-2</c:v>
                </c:pt>
                <c:pt idx="20" formatCode="0.00E+00">
                  <c:v>6.8039427480608788E-2</c:v>
                </c:pt>
                <c:pt idx="21" formatCode="0.00E+00">
                  <c:v>8.6828570268179611E-2</c:v>
                </c:pt>
                <c:pt idx="22" formatCode="0.00E+00">
                  <c:v>0.10360560014697306</c:v>
                </c:pt>
                <c:pt idx="23" formatCode="0.00E+00">
                  <c:v>0.10860666122483285</c:v>
                </c:pt>
                <c:pt idx="24" formatCode="0.00E+00">
                  <c:v>0.10686651594010242</c:v>
                </c:pt>
                <c:pt idx="25" formatCode="0.00E+00">
                  <c:v>9.9706151169876883E-2</c:v>
                </c:pt>
                <c:pt idx="26" formatCode="0.00E+00">
                  <c:v>8.8564212360962805E-2</c:v>
                </c:pt>
                <c:pt idx="27" formatCode="0.00E+00">
                  <c:v>7.3905085467644113E-2</c:v>
                </c:pt>
                <c:pt idx="28" formatCode="0.00E+00">
                  <c:v>6.7150320265654262E-2</c:v>
                </c:pt>
                <c:pt idx="29" formatCode="0.00E+00">
                  <c:v>5.8288177360386106E-2</c:v>
                </c:pt>
                <c:pt idx="30" formatCode="0.00E+00">
                  <c:v>5.2283090761169007E-2</c:v>
                </c:pt>
                <c:pt idx="31" formatCode="0.00E+00">
                  <c:v>4.0204775633726632E-2</c:v>
                </c:pt>
                <c:pt idx="32" formatCode="0.00E+00">
                  <c:v>3.0596865276627395E-2</c:v>
                </c:pt>
                <c:pt idx="33" formatCode="0.00E+00">
                  <c:v>3.2109518977296851E-2</c:v>
                </c:pt>
                <c:pt idx="34" formatCode="0.00E+00">
                  <c:v>2.849852232771078E-2</c:v>
                </c:pt>
                <c:pt idx="35" formatCode="0.00E+00">
                  <c:v>2.7543287891262251E-2</c:v>
                </c:pt>
                <c:pt idx="36" formatCode="0.00E+00">
                  <c:v>3.0261777903297024E-2</c:v>
                </c:pt>
                <c:pt idx="37" formatCode="0.00E+00">
                  <c:v>2.7849958635265851E-2</c:v>
                </c:pt>
                <c:pt idx="38" formatCode="0.00E+00">
                  <c:v>2.6152261199977399E-2</c:v>
                </c:pt>
                <c:pt idx="39" formatCode="0.00E+00">
                  <c:v>3.4202915032666634E-2</c:v>
                </c:pt>
                <c:pt idx="40" formatCode="0.00E+00">
                  <c:v>5.017869546474682E-2</c:v>
                </c:pt>
                <c:pt idx="41" formatCode="0.00E+00">
                  <c:v>7.0520079425682378E-2</c:v>
                </c:pt>
                <c:pt idx="42" formatCode="0.00E+00">
                  <c:v>9.0742695570988519E-2</c:v>
                </c:pt>
                <c:pt idx="43" formatCode="0.00E+00">
                  <c:v>9.7776084994936327E-2</c:v>
                </c:pt>
                <c:pt idx="44" formatCode="0.00E+00">
                  <c:v>0.10122085537716846</c:v>
                </c:pt>
                <c:pt idx="45" formatCode="0.00E+00">
                  <c:v>0.10458844472155582</c:v>
                </c:pt>
                <c:pt idx="46" formatCode="0.00E+00">
                  <c:v>0.11425927213071584</c:v>
                </c:pt>
                <c:pt idx="47" formatCode="0.00E+00">
                  <c:v>0.12135139838383938</c:v>
                </c:pt>
                <c:pt idx="48" formatCode="0.00E+00">
                  <c:v>0.12204970098501142</c:v>
                </c:pt>
                <c:pt idx="49" formatCode="0.00E+00">
                  <c:v>0.11132739667834135</c:v>
                </c:pt>
                <c:pt idx="50" formatCode="0.00E+00">
                  <c:v>8.8493786052326676E-2</c:v>
                </c:pt>
                <c:pt idx="51" formatCode="0.00E+00">
                  <c:v>7.7231318405211594E-2</c:v>
                </c:pt>
                <c:pt idx="52" formatCode="0.00E+00">
                  <c:v>7.6029554599258101E-2</c:v>
                </c:pt>
                <c:pt idx="53" formatCode="0.00E+00">
                  <c:v>7.869762404109959E-2</c:v>
                </c:pt>
                <c:pt idx="54" formatCode="0.00E+00">
                  <c:v>7.5650420327983886E-2</c:v>
                </c:pt>
                <c:pt idx="55" formatCode="0.00E+00">
                  <c:v>5.9388711633683956E-2</c:v>
                </c:pt>
                <c:pt idx="56" formatCode="0.00E+00">
                  <c:v>4.0249983716876644E-2</c:v>
                </c:pt>
                <c:pt idx="57" formatCode="0.00E+00">
                  <c:v>1.5575768046387113E-2</c:v>
                </c:pt>
                <c:pt idx="58" formatCode="0.00E+00">
                  <c:v>-9.108527129428114E-3</c:v>
                </c:pt>
                <c:pt idx="59" formatCode="0.00E+00">
                  <c:v>-3.520571807411766E-2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2E-4409-B58A-E9CA828B33BD}"/>
            </c:ext>
          </c:extLst>
        </c:ser>
        <c:ser>
          <c:idx val="0"/>
          <c:order val="2"/>
          <c:tx>
            <c:v>PVO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'اندیکاتور ها'!$A$3:$A$62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'اندیکاتور ها'!$BM$3:$BM$62</c:f>
              <c:numCache>
                <c:formatCode>General</c:formatCode>
                <c:ptCount val="60"/>
                <c:pt idx="19" formatCode="0.00E+00">
                  <c:v>-0.33109757809872947</c:v>
                </c:pt>
                <c:pt idx="20" formatCode="0.00E+00">
                  <c:v>0.212412075976078</c:v>
                </c:pt>
                <c:pt idx="21" formatCode="0.00E+00">
                  <c:v>0.20870658496542296</c:v>
                </c:pt>
                <c:pt idx="22" formatCode="0.00E+00">
                  <c:v>0.29455843268416515</c:v>
                </c:pt>
                <c:pt idx="23" formatCode="0.00E+00">
                  <c:v>0.14181533438562574</c:v>
                </c:pt>
                <c:pt idx="24" formatCode="0.00E+00">
                  <c:v>0.20932028756272017</c:v>
                </c:pt>
                <c:pt idx="25" formatCode="0.00E+00">
                  <c:v>0.27858561265994197</c:v>
                </c:pt>
                <c:pt idx="26" formatCode="0.00E+00">
                  <c:v>9.9002884964911539E-2</c:v>
                </c:pt>
                <c:pt idx="27" formatCode="0.00E+00">
                  <c:v>-3.1070147608334767E-2</c:v>
                </c:pt>
                <c:pt idx="28" formatCode="0.00E+00">
                  <c:v>-9.9939417711845419E-2</c:v>
                </c:pt>
                <c:pt idx="29" formatCode="0.00E+00">
                  <c:v>-0.21010901661630055</c:v>
                </c:pt>
                <c:pt idx="30" formatCode="0.00E+00">
                  <c:v>-0.2759198940511165</c:v>
                </c:pt>
                <c:pt idx="31" formatCode="0.00E+00">
                  <c:v>-0.31796803185500111</c:v>
                </c:pt>
                <c:pt idx="32" formatCode="0.00E+00">
                  <c:v>-0.40027619613151133</c:v>
                </c:pt>
                <c:pt idx="33" formatCode="0.00E+00">
                  <c:v>-0.44714013496711119</c:v>
                </c:pt>
                <c:pt idx="34" formatCode="0.00E+00">
                  <c:v>-0.43860092852832921</c:v>
                </c:pt>
                <c:pt idx="35" formatCode="0.00E+00">
                  <c:v>-0.46683289974871028</c:v>
                </c:pt>
                <c:pt idx="36" formatCode="0.00E+00">
                  <c:v>-0.42339761916993646</c:v>
                </c:pt>
                <c:pt idx="37" formatCode="0.00E+00">
                  <c:v>-0.38366606138273807</c:v>
                </c:pt>
                <c:pt idx="38" formatCode="0.00E+00">
                  <c:v>-0.30901689549140887</c:v>
                </c:pt>
                <c:pt idx="39" formatCode="0.00E+00">
                  <c:v>-0.27900944075046152</c:v>
                </c:pt>
                <c:pt idx="40" formatCode="0.00E+00">
                  <c:v>0.19513494633531916</c:v>
                </c:pt>
                <c:pt idx="41" formatCode="0.00E+00">
                  <c:v>0.47021902715698721</c:v>
                </c:pt>
                <c:pt idx="42" formatCode="0.00E+00">
                  <c:v>0.39598227749135467</c:v>
                </c:pt>
                <c:pt idx="43" formatCode="0.00E+00">
                  <c:v>0.24011397323715788</c:v>
                </c:pt>
                <c:pt idx="44" formatCode="0.00E+00">
                  <c:v>5.1382247832092103E-2</c:v>
                </c:pt>
                <c:pt idx="45" formatCode="0.00E+00">
                  <c:v>-5.118158631081228E-2</c:v>
                </c:pt>
                <c:pt idx="46" formatCode="0.00E+00">
                  <c:v>-6.2879049725815137E-2</c:v>
                </c:pt>
                <c:pt idx="47" formatCode="0.00E+00">
                  <c:v>-7.740167092800411E-2</c:v>
                </c:pt>
                <c:pt idx="48" formatCode="0.00E+00">
                  <c:v>-0.12780540708042282</c:v>
                </c:pt>
                <c:pt idx="49" formatCode="0.00E+00">
                  <c:v>-0.13190962339445156</c:v>
                </c:pt>
                <c:pt idx="50" formatCode="0.00E+00">
                  <c:v>-0.1076863254590663</c:v>
                </c:pt>
                <c:pt idx="51" formatCode="0.00E+00">
                  <c:v>-0.2451207909108799</c:v>
                </c:pt>
                <c:pt idx="52" formatCode="0.00E+00">
                  <c:v>-0.23936033275042393</c:v>
                </c:pt>
                <c:pt idx="53" formatCode="0.00E+00">
                  <c:v>-0.23765380589701646</c:v>
                </c:pt>
                <c:pt idx="54" formatCode="0.00E+00">
                  <c:v>-0.31934872395995434</c:v>
                </c:pt>
                <c:pt idx="55" formatCode="0.00E+00">
                  <c:v>-0.19076425288983914</c:v>
                </c:pt>
                <c:pt idx="56" formatCode="0.00E+00">
                  <c:v>-0.33861288072260332</c:v>
                </c:pt>
                <c:pt idx="57" formatCode="0.00E+00">
                  <c:v>-0.34212208571793334</c:v>
                </c:pt>
                <c:pt idx="58" formatCode="0.00E+00">
                  <c:v>-1.9563307153469583E-2</c:v>
                </c:pt>
                <c:pt idx="59" formatCode="0.00E+00">
                  <c:v>-0.14399155830596785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2E-4409-B58A-E9CA828B33BD}"/>
            </c:ext>
          </c:extLst>
        </c:ser>
        <c:ser>
          <c:idx val="2"/>
          <c:order val="3"/>
          <c:tx>
            <c:v>PVAO</c:v>
          </c:tx>
          <c:spPr>
            <a:ln w="31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'اندیکاتور ها'!$A$3:$A$62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'اندیکاتور ها'!$BP$3:$BP$62</c:f>
              <c:numCache>
                <c:formatCode>General</c:formatCode>
                <c:ptCount val="60"/>
                <c:pt idx="19" formatCode="0.00E+00">
                  <c:v>-0.31139480875033548</c:v>
                </c:pt>
                <c:pt idx="20" formatCode="0.00E+00">
                  <c:v>0.43156559997570004</c:v>
                </c:pt>
                <c:pt idx="21" formatCode="0.00E+00">
                  <c:v>0.44537487227182776</c:v>
                </c:pt>
                <c:pt idx="22" formatCode="0.00E+00">
                  <c:v>0.59550187012887179</c:v>
                </c:pt>
                <c:pt idx="23" formatCode="0.00E+00">
                  <c:v>0.37794695257237726</c:v>
                </c:pt>
                <c:pt idx="24" formatCode="0.00E+00">
                  <c:v>0.44649524732517487</c:v>
                </c:pt>
                <c:pt idx="25" formatCode="0.00E+00">
                  <c:v>0.52866530949887081</c:v>
                </c:pt>
                <c:pt idx="26" formatCode="0.00E+00">
                  <c:v>0.24184654654477777</c:v>
                </c:pt>
                <c:pt idx="27" formatCode="0.00E+00">
                  <c:v>3.0049605475522455E-2</c:v>
                </c:pt>
                <c:pt idx="28" formatCode="0.00E+00">
                  <c:v>-9.004802984367101E-2</c:v>
                </c:pt>
                <c:pt idx="29" formatCode="0.00E+00">
                  <c:v>-0.24342951450343073</c:v>
                </c:pt>
                <c:pt idx="30" formatCode="0.00E+00">
                  <c:v>-0.31767772922798521</c:v>
                </c:pt>
                <c:pt idx="31" formatCode="0.00E+00">
                  <c:v>-0.39331429920055422</c:v>
                </c:pt>
                <c:pt idx="32" formatCode="0.00E+00">
                  <c:v>-0.49987731111916855</c:v>
                </c:pt>
                <c:pt idx="33" formatCode="0.00E+00">
                  <c:v>-0.51710949531396466</c:v>
                </c:pt>
                <c:pt idx="34" formatCode="0.00E+00">
                  <c:v>-0.49240488253942177</c:v>
                </c:pt>
                <c:pt idx="35" formatCode="0.00E+00">
                  <c:v>-0.54381747670382463</c:v>
                </c:pt>
                <c:pt idx="36" formatCode="0.00E+00">
                  <c:v>-0.49100179831338525</c:v>
                </c:pt>
                <c:pt idx="37" formatCode="0.00E+00">
                  <c:v>-0.48803762559651093</c:v>
                </c:pt>
                <c:pt idx="38" formatCode="0.00E+00">
                  <c:v>-0.4519535328210888</c:v>
                </c:pt>
                <c:pt idx="39" formatCode="0.00E+00">
                  <c:v>-0.44094384951085247</c:v>
                </c:pt>
                <c:pt idx="40" formatCode="0.00E+00">
                  <c:v>0.16998638718358006</c:v>
                </c:pt>
                <c:pt idx="41" formatCode="0.00E+00">
                  <c:v>0.6421436287124872</c:v>
                </c:pt>
                <c:pt idx="42" formatCode="0.00E+00">
                  <c:v>0.69704831216203589</c:v>
                </c:pt>
                <c:pt idx="43" formatCode="0.00E+00">
                  <c:v>0.49871963918974044</c:v>
                </c:pt>
                <c:pt idx="44" formatCode="0.00E+00">
                  <c:v>0.30827604475822634</c:v>
                </c:pt>
                <c:pt idx="45" formatCode="0.00E+00">
                  <c:v>0.25144529124038811</c:v>
                </c:pt>
                <c:pt idx="46" formatCode="0.00E+00">
                  <c:v>0.24073852453472325</c:v>
                </c:pt>
                <c:pt idx="47" formatCode="0.00E+00">
                  <c:v>0.21618393251641291</c:v>
                </c:pt>
                <c:pt idx="48" formatCode="0.00E+00">
                  <c:v>0.13565307162247375</c:v>
                </c:pt>
                <c:pt idx="49" formatCode="0.00E+00">
                  <c:v>9.0958776729276603E-2</c:v>
                </c:pt>
                <c:pt idx="50" formatCode="0.00E+00">
                  <c:v>7.2017289840067264E-2</c:v>
                </c:pt>
                <c:pt idx="51" formatCode="0.00E+00">
                  <c:v>-0.14304743322336125</c:v>
                </c:pt>
                <c:pt idx="52" formatCode="0.00E+00">
                  <c:v>-0.17217750291649866</c:v>
                </c:pt>
                <c:pt idx="53" formatCode="0.00E+00">
                  <c:v>-0.19946601679452367</c:v>
                </c:pt>
                <c:pt idx="54" formatCode="0.00E+00">
                  <c:v>-0.32124828497586766</c:v>
                </c:pt>
                <c:pt idx="55" formatCode="0.00E+00">
                  <c:v>-0.22440905854693416</c:v>
                </c:pt>
                <c:pt idx="56" formatCode="0.00E+00">
                  <c:v>-0.40731142394169872</c:v>
                </c:pt>
                <c:pt idx="57" formatCode="0.00E+00">
                  <c:v>-0.44831599208821971</c:v>
                </c:pt>
                <c:pt idx="58" formatCode="0.00E+00">
                  <c:v>-0.19387880313272535</c:v>
                </c:pt>
                <c:pt idx="59" formatCode="0.00E+00">
                  <c:v>-0.33606122381425041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2E-4409-B58A-E9CA828B3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693464"/>
        <c:axId val="469885624"/>
      </c:lineChart>
      <c:lineChart>
        <c:grouping val="standard"/>
        <c:varyColors val="0"/>
        <c:ser>
          <c:idx val="1"/>
          <c:order val="1"/>
          <c:tx>
            <c:strRef>
              <c:f>DATA!$H$1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2E-4409-B58A-E9CA828B3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887584"/>
        <c:axId val="469884056"/>
      </c:lineChart>
      <c:catAx>
        <c:axId val="328693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85624"/>
        <c:crosses val="autoZero"/>
        <c:auto val="1"/>
        <c:lblAlgn val="ctr"/>
        <c:lblOffset val="100"/>
        <c:noMultiLvlLbl val="1"/>
      </c:catAx>
      <c:valAx>
        <c:axId val="469885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PERCENTAGE PRICE &amp; VOLUME &amp;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93464"/>
        <c:crosses val="autoZero"/>
        <c:crossBetween val="between"/>
        <c:majorUnit val="0.1"/>
      </c:valAx>
      <c:valAx>
        <c:axId val="4698840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87584"/>
        <c:crosses val="max"/>
        <c:crossBetween val="between"/>
      </c:valAx>
      <c:catAx>
        <c:axId val="469887584"/>
        <c:scaling>
          <c:orientation val="minMax"/>
        </c:scaling>
        <c:delete val="1"/>
        <c:axPos val="b"/>
        <c:majorTickMark val="out"/>
        <c:minorTickMark val="none"/>
        <c:tickLblPos val="nextTo"/>
        <c:crossAx val="469884056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CMO</c:v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'حجم هر نفر'!$A$2:$A$61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'اندیکاتور ها'!$BT$3:$BT$62</c:f>
              <c:numCache>
                <c:formatCode>General</c:formatCode>
                <c:ptCount val="60"/>
                <c:pt idx="9" formatCode="0.00E+00">
                  <c:v>35.806495447751054</c:v>
                </c:pt>
                <c:pt idx="10" formatCode="0.00E+00">
                  <c:v>47.737581590883948</c:v>
                </c:pt>
                <c:pt idx="11" formatCode="0.00E+00">
                  <c:v>67.535023735093205</c:v>
                </c:pt>
                <c:pt idx="12" formatCode="0.00E+00">
                  <c:v>63.346405228758172</c:v>
                </c:pt>
                <c:pt idx="13" formatCode="0.00E+00">
                  <c:v>40.020743813898356</c:v>
                </c:pt>
                <c:pt idx="14" formatCode="0.00E+00">
                  <c:v>35.85951940850277</c:v>
                </c:pt>
                <c:pt idx="15" formatCode="0.00E+00">
                  <c:v>3.5518474374255065</c:v>
                </c:pt>
                <c:pt idx="16" formatCode="0.00E+00">
                  <c:v>3.8365005378271784</c:v>
                </c:pt>
                <c:pt idx="17" formatCode="0.00E+00">
                  <c:v>3.9512952130834429</c:v>
                </c:pt>
                <c:pt idx="18" formatCode="0.00E+00">
                  <c:v>31.656143759106364</c:v>
                </c:pt>
                <c:pt idx="19" formatCode="0.00E+00">
                  <c:v>34.107510769807078</c:v>
                </c:pt>
                <c:pt idx="20" formatCode="0.00E+00">
                  <c:v>44.185308583214344</c:v>
                </c:pt>
                <c:pt idx="21" formatCode="0.00E+00">
                  <c:v>49.785897801884097</c:v>
                </c:pt>
                <c:pt idx="22" formatCode="0.00E+00">
                  <c:v>62.343150640400488</c:v>
                </c:pt>
                <c:pt idx="23" formatCode="0.00E+00">
                  <c:v>60.682110682110682</c:v>
                </c:pt>
                <c:pt idx="24" formatCode="0.00E+00">
                  <c:v>81.639630464828699</c:v>
                </c:pt>
                <c:pt idx="25" formatCode="0.00E+00">
                  <c:v>86.107177461429529</c:v>
                </c:pt>
                <c:pt idx="26" formatCode="0.00E+00">
                  <c:v>73.837691206389877</c:v>
                </c:pt>
                <c:pt idx="27" formatCode="0.00E+00">
                  <c:v>51.563539587491682</c:v>
                </c:pt>
                <c:pt idx="28" formatCode="0.00E+00">
                  <c:v>44.654566188349335</c:v>
                </c:pt>
                <c:pt idx="29" formatCode="0.00E+00">
                  <c:v>18.579361406756131</c:v>
                </c:pt>
                <c:pt idx="30" formatCode="0.00E+00">
                  <c:v>-2.8796959508843734</c:v>
                </c:pt>
                <c:pt idx="31" formatCode="0.00E+00">
                  <c:v>-58.683842930311968</c:v>
                </c:pt>
                <c:pt idx="32" formatCode="0.00E+00">
                  <c:v>-58.875328286729491</c:v>
                </c:pt>
                <c:pt idx="33" formatCode="0.00E+00">
                  <c:v>-20.552928337577299</c:v>
                </c:pt>
                <c:pt idx="34" formatCode="0.00E+00">
                  <c:v>-23.098591549295776</c:v>
                </c:pt>
                <c:pt idx="35" formatCode="0.00E+00">
                  <c:v>-8.0029189978107507</c:v>
                </c:pt>
                <c:pt idx="36" formatCode="0.00E+00">
                  <c:v>18.836255128683327</c:v>
                </c:pt>
                <c:pt idx="37" formatCode="0.00E+00">
                  <c:v>-3.2876003106393989</c:v>
                </c:pt>
                <c:pt idx="38" formatCode="0.00E+00">
                  <c:v>7.009345794392523</c:v>
                </c:pt>
                <c:pt idx="39" formatCode="0.00E+00">
                  <c:v>27.844726458355552</c:v>
                </c:pt>
                <c:pt idx="40" formatCode="0.00E+00">
                  <c:v>66.861057113764701</c:v>
                </c:pt>
                <c:pt idx="41" formatCode="0.00E+00">
                  <c:v>77.517120792656272</c:v>
                </c:pt>
                <c:pt idx="42" formatCode="0.00E+00">
                  <c:v>78.81658429434377</c:v>
                </c:pt>
                <c:pt idx="43" formatCode="0.00E+00">
                  <c:v>84.346472294954353</c:v>
                </c:pt>
                <c:pt idx="44" formatCode="0.00E+00">
                  <c:v>84.619663468224175</c:v>
                </c:pt>
                <c:pt idx="45" formatCode="0.00E+00">
                  <c:v>84.987104655897923</c:v>
                </c:pt>
                <c:pt idx="46" formatCode="0.00E+00">
                  <c:v>95.576508934287872</c:v>
                </c:pt>
                <c:pt idx="47" formatCode="0.00E+00">
                  <c:v>95.92012024908739</c:v>
                </c:pt>
                <c:pt idx="48" formatCode="0.00E+00">
                  <c:v>95.40424502630465</c:v>
                </c:pt>
                <c:pt idx="49" formatCode="0.00E+00">
                  <c:v>69.752567995348542</c:v>
                </c:pt>
                <c:pt idx="50" formatCode="0.00E+00">
                  <c:v>24.623366881290242</c:v>
                </c:pt>
                <c:pt idx="51" formatCode="0.00E+00">
                  <c:v>18.278549644188409</c:v>
                </c:pt>
                <c:pt idx="52" formatCode="0.00E+00">
                  <c:v>32.565357526560824</c:v>
                </c:pt>
                <c:pt idx="53" formatCode="0.00E+00">
                  <c:v>36.463839838038467</c:v>
                </c:pt>
                <c:pt idx="54" formatCode="0.00E+00">
                  <c:v>26.878051650097063</c:v>
                </c:pt>
                <c:pt idx="55" formatCode="0.00E+00">
                  <c:v>-12.517241379310345</c:v>
                </c:pt>
                <c:pt idx="56" formatCode="0.00E+00">
                  <c:v>-33.333333333333329</c:v>
                </c:pt>
                <c:pt idx="57" formatCode="0.00E+00">
                  <c:v>-46.184663241740118</c:v>
                </c:pt>
                <c:pt idx="58" formatCode="0.00E+00">
                  <c:v>-47.901076838839202</c:v>
                </c:pt>
                <c:pt idx="59" formatCode="0.00E+00">
                  <c:v>-46.682232080317533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0E-4332-B848-82FBF9E4B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886016"/>
        <c:axId val="469884840"/>
      </c:lineChart>
      <c:lineChart>
        <c:grouping val="standard"/>
        <c:varyColors val="0"/>
        <c:ser>
          <c:idx val="1"/>
          <c:order val="1"/>
          <c:tx>
            <c:strRef>
              <c:f>DATA!$H$1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0E-4332-B848-82FBF9E4B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884448"/>
        <c:axId val="469885232"/>
      </c:lineChart>
      <c:catAx>
        <c:axId val="46988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84840"/>
        <c:crosses val="autoZero"/>
        <c:auto val="1"/>
        <c:lblAlgn val="ctr"/>
        <c:lblOffset val="100"/>
        <c:noMultiLvlLbl val="1"/>
      </c:catAx>
      <c:valAx>
        <c:axId val="46988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CHANDLE MOMENTUM OSCILLATOR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86016"/>
        <c:crosses val="autoZero"/>
        <c:crossBetween val="between"/>
      </c:valAx>
      <c:valAx>
        <c:axId val="4698852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84448"/>
        <c:crosses val="max"/>
        <c:crossBetween val="between"/>
      </c:valAx>
      <c:catAx>
        <c:axId val="469884448"/>
        <c:scaling>
          <c:orientation val="minMax"/>
        </c:scaling>
        <c:delete val="1"/>
        <c:axPos val="b"/>
        <c:majorTickMark val="out"/>
        <c:minorTickMark val="none"/>
        <c:tickLblPos val="nextTo"/>
        <c:crossAx val="469885232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LRC 10</c:v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'حجم هر نفر'!$A$2:$A$61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'اندیکاتور ها'!$CA$3:$CA$62</c:f>
              <c:numCache>
                <c:formatCode>0.00E+00</c:formatCode>
                <c:ptCount val="60"/>
                <c:pt idx="0">
                  <c:v>0</c:v>
                </c:pt>
                <c:pt idx="9">
                  <c:v>48478.490909090906</c:v>
                </c:pt>
                <c:pt idx="10">
                  <c:v>49152.709090909091</c:v>
                </c:pt>
                <c:pt idx="11">
                  <c:v>49854.290909090909</c:v>
                </c:pt>
                <c:pt idx="12">
                  <c:v>50334.709090909091</c:v>
                </c:pt>
                <c:pt idx="13">
                  <c:v>50579.127272727274</c:v>
                </c:pt>
                <c:pt idx="14">
                  <c:v>50877.709090909091</c:v>
                </c:pt>
                <c:pt idx="15">
                  <c:v>50416.654545454541</c:v>
                </c:pt>
                <c:pt idx="16">
                  <c:v>49647.018181818181</c:v>
                </c:pt>
                <c:pt idx="17">
                  <c:v>49057.581818181818</c:v>
                </c:pt>
                <c:pt idx="18">
                  <c:v>49423.854545454546</c:v>
                </c:pt>
                <c:pt idx="19">
                  <c:v>50417.745454545453</c:v>
                </c:pt>
                <c:pt idx="20">
                  <c:v>52386.109090909085</c:v>
                </c:pt>
                <c:pt idx="21">
                  <c:v>54854.163636363635</c:v>
                </c:pt>
                <c:pt idx="22">
                  <c:v>57729.145454545454</c:v>
                </c:pt>
                <c:pt idx="23">
                  <c:v>59915.654545454548</c:v>
                </c:pt>
                <c:pt idx="24">
                  <c:v>61520.290909090909</c:v>
                </c:pt>
                <c:pt idx="25">
                  <c:v>62039.163636363635</c:v>
                </c:pt>
                <c:pt idx="26">
                  <c:v>61523</c:v>
                </c:pt>
                <c:pt idx="27">
                  <c:v>60204.272727272728</c:v>
                </c:pt>
                <c:pt idx="28">
                  <c:v>59260.109090909093</c:v>
                </c:pt>
                <c:pt idx="29">
                  <c:v>58219.981818181819</c:v>
                </c:pt>
                <c:pt idx="30">
                  <c:v>57553.345454545459</c:v>
                </c:pt>
                <c:pt idx="31">
                  <c:v>56651.290909090916</c:v>
                </c:pt>
                <c:pt idx="32">
                  <c:v>56159.74545454546</c:v>
                </c:pt>
                <c:pt idx="33">
                  <c:v>56516.418181818182</c:v>
                </c:pt>
                <c:pt idx="34">
                  <c:v>56658.436363636363</c:v>
                </c:pt>
                <c:pt idx="35">
                  <c:v>57003.472727272732</c:v>
                </c:pt>
                <c:pt idx="36">
                  <c:v>57611.872727272726</c:v>
                </c:pt>
                <c:pt idx="37">
                  <c:v>57715.781818181815</c:v>
                </c:pt>
                <c:pt idx="38">
                  <c:v>58039.490909090906</c:v>
                </c:pt>
                <c:pt idx="39">
                  <c:v>59072.381818181821</c:v>
                </c:pt>
                <c:pt idx="40">
                  <c:v>61047.672727272722</c:v>
                </c:pt>
                <c:pt idx="41">
                  <c:v>63492.363636363632</c:v>
                </c:pt>
                <c:pt idx="42">
                  <c:v>66283.545454545456</c:v>
                </c:pt>
                <c:pt idx="43">
                  <c:v>68600.072727272724</c:v>
                </c:pt>
                <c:pt idx="44">
                  <c:v>70409.145454545447</c:v>
                </c:pt>
                <c:pt idx="45">
                  <c:v>72094.018181818174</c:v>
                </c:pt>
                <c:pt idx="46">
                  <c:v>74337.018181818188</c:v>
                </c:pt>
                <c:pt idx="47">
                  <c:v>76132.836363636365</c:v>
                </c:pt>
                <c:pt idx="48">
                  <c:v>77079.818181818191</c:v>
                </c:pt>
                <c:pt idx="49">
                  <c:v>76836.290909090909</c:v>
                </c:pt>
                <c:pt idx="50">
                  <c:v>75168.927272727276</c:v>
                </c:pt>
                <c:pt idx="51">
                  <c:v>74281.527272727268</c:v>
                </c:pt>
                <c:pt idx="52">
                  <c:v>74474.236363636359</c:v>
                </c:pt>
                <c:pt idx="53">
                  <c:v>74930.709090909091</c:v>
                </c:pt>
                <c:pt idx="54">
                  <c:v>74948.090909090912</c:v>
                </c:pt>
                <c:pt idx="55">
                  <c:v>73677.818181818177</c:v>
                </c:pt>
                <c:pt idx="56">
                  <c:v>72219.236363636359</c:v>
                </c:pt>
                <c:pt idx="57">
                  <c:v>70114.600000000006</c:v>
                </c:pt>
                <c:pt idx="58">
                  <c:v>67668.8909090909</c:v>
                </c:pt>
                <c:pt idx="59">
                  <c:v>64409.600000000006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C3-4618-8818-E393C41B3ED7}"/>
            </c:ext>
          </c:extLst>
        </c:ser>
        <c:ser>
          <c:idx val="0"/>
          <c:order val="2"/>
          <c:tx>
            <c:v>LRC 20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'اندیکاتور ها'!$A$3:$A$62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'اندیکاتور ها'!$CH$3:$CH$62</c:f>
              <c:numCache>
                <c:formatCode>0.00E+00</c:formatCode>
                <c:ptCount val="60"/>
                <c:pt idx="0">
                  <c:v>0</c:v>
                </c:pt>
                <c:pt idx="19">
                  <c:v>51295.87142857143</c:v>
                </c:pt>
                <c:pt idx="20">
                  <c:v>52343.214285714283</c:v>
                </c:pt>
                <c:pt idx="21">
                  <c:v>53670.928571428572</c:v>
                </c:pt>
                <c:pt idx="22">
                  <c:v>55093.342857142852</c:v>
                </c:pt>
                <c:pt idx="23">
                  <c:v>56421.442857142858</c:v>
                </c:pt>
                <c:pt idx="24">
                  <c:v>57675.857142857138</c:v>
                </c:pt>
                <c:pt idx="25">
                  <c:v>58690.71428571429</c:v>
                </c:pt>
                <c:pt idx="26">
                  <c:v>59405.100000000006</c:v>
                </c:pt>
                <c:pt idx="27">
                  <c:v>59666.057142857142</c:v>
                </c:pt>
                <c:pt idx="28">
                  <c:v>60073.371428571423</c:v>
                </c:pt>
                <c:pt idx="29">
                  <c:v>60174.642857142855</c:v>
                </c:pt>
                <c:pt idx="30">
                  <c:v>60404.142857142855</c:v>
                </c:pt>
                <c:pt idx="31">
                  <c:v>60279</c:v>
                </c:pt>
                <c:pt idx="32">
                  <c:v>60092.614285714284</c:v>
                </c:pt>
                <c:pt idx="33">
                  <c:v>60134.685714285719</c:v>
                </c:pt>
                <c:pt idx="34">
                  <c:v>59912</c:v>
                </c:pt>
                <c:pt idx="35">
                  <c:v>59490.5</c:v>
                </c:pt>
                <c:pt idx="36">
                  <c:v>59035.085714285713</c:v>
                </c:pt>
                <c:pt idx="37">
                  <c:v>58381.442857142858</c:v>
                </c:pt>
                <c:pt idx="38">
                  <c:v>57864.800000000003</c:v>
                </c:pt>
                <c:pt idx="39">
                  <c:v>57944.142857142855</c:v>
                </c:pt>
                <c:pt idx="40">
                  <c:v>58732.885714285716</c:v>
                </c:pt>
                <c:pt idx="41">
                  <c:v>60211.957142857143</c:v>
                </c:pt>
                <c:pt idx="42">
                  <c:v>62284.814285714281</c:v>
                </c:pt>
                <c:pt idx="43">
                  <c:v>64131.12857142857</c:v>
                </c:pt>
                <c:pt idx="44">
                  <c:v>65968.985714285707</c:v>
                </c:pt>
                <c:pt idx="45">
                  <c:v>67857.771428571432</c:v>
                </c:pt>
                <c:pt idx="46">
                  <c:v>70083.185714285704</c:v>
                </c:pt>
                <c:pt idx="47">
                  <c:v>72259.828571428574</c:v>
                </c:pt>
                <c:pt idx="48">
                  <c:v>74327.342857142852</c:v>
                </c:pt>
                <c:pt idx="49">
                  <c:v>75711.842857142852</c:v>
                </c:pt>
                <c:pt idx="50">
                  <c:v>76201.442857142858</c:v>
                </c:pt>
                <c:pt idx="51">
                  <c:v>76636.685714285704</c:v>
                </c:pt>
                <c:pt idx="52">
                  <c:v>77262.228571428568</c:v>
                </c:pt>
                <c:pt idx="53">
                  <c:v>78149.442857142858</c:v>
                </c:pt>
                <c:pt idx="54">
                  <c:v>78587.799999999988</c:v>
                </c:pt>
                <c:pt idx="55">
                  <c:v>78147.385714285716</c:v>
                </c:pt>
                <c:pt idx="56">
                  <c:v>77186.114285714284</c:v>
                </c:pt>
                <c:pt idx="57">
                  <c:v>75342.042857142864</c:v>
                </c:pt>
                <c:pt idx="58">
                  <c:v>72897.899999999994</c:v>
                </c:pt>
                <c:pt idx="59">
                  <c:v>70019.257142857139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C3-4618-8818-E393C41B3ED7}"/>
            </c:ext>
          </c:extLst>
        </c:ser>
        <c:ser>
          <c:idx val="2"/>
          <c:order val="3"/>
          <c:tx>
            <c:v>LRC 30</c:v>
          </c:tx>
          <c:spPr>
            <a:ln w="127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'اندیکاتور ها'!$A$3:$A$62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'اندیکاتور ها'!$CO$3:$CO$62</c:f>
              <c:numCache>
                <c:formatCode>0.00E+00</c:formatCode>
                <c:ptCount val="60"/>
                <c:pt idx="0">
                  <c:v>0</c:v>
                </c:pt>
                <c:pt idx="29">
                  <c:v>59406.735483870965</c:v>
                </c:pt>
                <c:pt idx="30">
                  <c:v>59728.879569892473</c:v>
                </c:pt>
                <c:pt idx="31">
                  <c:v>59798.270967741933</c:v>
                </c:pt>
                <c:pt idx="32">
                  <c:v>59703.006451612899</c:v>
                </c:pt>
                <c:pt idx="33">
                  <c:v>59892.077419354842</c:v>
                </c:pt>
                <c:pt idx="34">
                  <c:v>60003.34193548387</c:v>
                </c:pt>
                <c:pt idx="35">
                  <c:v>60139.227956989242</c:v>
                </c:pt>
                <c:pt idx="36">
                  <c:v>60344.202150537632</c:v>
                </c:pt>
                <c:pt idx="37">
                  <c:v>60329.440860215051</c:v>
                </c:pt>
                <c:pt idx="38">
                  <c:v>60328.344086021505</c:v>
                </c:pt>
                <c:pt idx="39">
                  <c:v>60532.830107526883</c:v>
                </c:pt>
                <c:pt idx="40">
                  <c:v>61181.896774193548</c:v>
                </c:pt>
                <c:pt idx="41">
                  <c:v>62182.301075268821</c:v>
                </c:pt>
                <c:pt idx="42">
                  <c:v>63477.062365591395</c:v>
                </c:pt>
                <c:pt idx="43">
                  <c:v>64563.651612903224</c:v>
                </c:pt>
                <c:pt idx="44">
                  <c:v>65622.37204301075</c:v>
                </c:pt>
                <c:pt idx="45">
                  <c:v>66596.012903225812</c:v>
                </c:pt>
                <c:pt idx="46">
                  <c:v>67767.298924731178</c:v>
                </c:pt>
                <c:pt idx="47">
                  <c:v>69032.643010752683</c:v>
                </c:pt>
                <c:pt idx="48">
                  <c:v>70320.318279569881</c:v>
                </c:pt>
                <c:pt idx="49">
                  <c:v>71365.475268817201</c:v>
                </c:pt>
                <c:pt idx="50">
                  <c:v>71974.187096774185</c:v>
                </c:pt>
                <c:pt idx="51">
                  <c:v>72823.924731182793</c:v>
                </c:pt>
                <c:pt idx="52">
                  <c:v>74017.363440860208</c:v>
                </c:pt>
                <c:pt idx="53">
                  <c:v>75329.432258064509</c:v>
                </c:pt>
                <c:pt idx="54">
                  <c:v>76451.982795698932</c:v>
                </c:pt>
                <c:pt idx="55">
                  <c:v>76981.036559139786</c:v>
                </c:pt>
                <c:pt idx="56">
                  <c:v>77089.972043010755</c:v>
                </c:pt>
                <c:pt idx="57">
                  <c:v>76602.144086021508</c:v>
                </c:pt>
                <c:pt idx="58">
                  <c:v>75786.260215053771</c:v>
                </c:pt>
                <c:pt idx="59">
                  <c:v>74489.344086021505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C3-4618-8818-E393C41B3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886408"/>
        <c:axId val="472616296"/>
      </c:lineChart>
      <c:lineChart>
        <c:grouping val="standard"/>
        <c:varyColors val="0"/>
        <c:ser>
          <c:idx val="1"/>
          <c:order val="1"/>
          <c:tx>
            <c:strRef>
              <c:f>DATA!$H$1</c:f>
              <c:strCache>
                <c:ptCount val="1"/>
                <c:pt idx="0">
                  <c:v>قیمت پایانی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DATA!$H$2:$H$61</c:f>
              <c:numCache>
                <c:formatCode>General</c:formatCode>
                <c:ptCount val="60"/>
                <c:pt idx="0">
                  <c:v>44993</c:v>
                </c:pt>
                <c:pt idx="1">
                  <c:v>45474</c:v>
                </c:pt>
                <c:pt idx="2">
                  <c:v>44514</c:v>
                </c:pt>
                <c:pt idx="3">
                  <c:v>46186</c:v>
                </c:pt>
                <c:pt idx="4">
                  <c:v>47709</c:v>
                </c:pt>
                <c:pt idx="5">
                  <c:v>48024</c:v>
                </c:pt>
                <c:pt idx="6">
                  <c:v>48090</c:v>
                </c:pt>
                <c:pt idx="7">
                  <c:v>47193</c:v>
                </c:pt>
                <c:pt idx="8">
                  <c:v>48133</c:v>
                </c:pt>
                <c:pt idx="9">
                  <c:v>47628</c:v>
                </c:pt>
                <c:pt idx="10">
                  <c:v>49789</c:v>
                </c:pt>
                <c:pt idx="11">
                  <c:v>50347</c:v>
                </c:pt>
                <c:pt idx="12">
                  <c:v>51032</c:v>
                </c:pt>
                <c:pt idx="13">
                  <c:v>50410</c:v>
                </c:pt>
                <c:pt idx="14">
                  <c:v>50352</c:v>
                </c:pt>
                <c:pt idx="15">
                  <c:v>48388</c:v>
                </c:pt>
                <c:pt idx="16">
                  <c:v>47514</c:v>
                </c:pt>
                <c:pt idx="17">
                  <c:v>48464</c:v>
                </c:pt>
                <c:pt idx="18">
                  <c:v>50887</c:v>
                </c:pt>
                <c:pt idx="19">
                  <c:v>53431</c:v>
                </c:pt>
                <c:pt idx="20">
                  <c:v>55917</c:v>
                </c:pt>
                <c:pt idx="21">
                  <c:v>58008</c:v>
                </c:pt>
                <c:pt idx="22">
                  <c:v>59999</c:v>
                </c:pt>
                <c:pt idx="23">
                  <c:v>59782</c:v>
                </c:pt>
                <c:pt idx="24">
                  <c:v>59611</c:v>
                </c:pt>
                <c:pt idx="25">
                  <c:v>59067</c:v>
                </c:pt>
                <c:pt idx="26">
                  <c:v>58263</c:v>
                </c:pt>
                <c:pt idx="27">
                  <c:v>57087</c:v>
                </c:pt>
                <c:pt idx="28">
                  <c:v>58130</c:v>
                </c:pt>
                <c:pt idx="29">
                  <c:v>57523</c:v>
                </c:pt>
                <c:pt idx="30">
                  <c:v>57811</c:v>
                </c:pt>
                <c:pt idx="31">
                  <c:v>56218</c:v>
                </c:pt>
                <c:pt idx="32">
                  <c:v>55971</c:v>
                </c:pt>
                <c:pt idx="33">
                  <c:v>57916</c:v>
                </c:pt>
                <c:pt idx="34">
                  <c:v>57099</c:v>
                </c:pt>
                <c:pt idx="35">
                  <c:v>57605</c:v>
                </c:pt>
                <c:pt idx="36">
                  <c:v>58602</c:v>
                </c:pt>
                <c:pt idx="37">
                  <c:v>57876</c:v>
                </c:pt>
                <c:pt idx="38">
                  <c:v>58033</c:v>
                </c:pt>
                <c:pt idx="39">
                  <c:v>60422</c:v>
                </c:pt>
                <c:pt idx="40">
                  <c:v>63441</c:v>
                </c:pt>
                <c:pt idx="41">
                  <c:v>66611</c:v>
                </c:pt>
                <c:pt idx="42">
                  <c:v>69398</c:v>
                </c:pt>
                <c:pt idx="43">
                  <c:v>69018</c:v>
                </c:pt>
                <c:pt idx="44">
                  <c:v>69775</c:v>
                </c:pt>
                <c:pt idx="45">
                  <c:v>71124</c:v>
                </c:pt>
                <c:pt idx="46">
                  <c:v>74297</c:v>
                </c:pt>
                <c:pt idx="47">
                  <c:v>75901</c:v>
                </c:pt>
                <c:pt idx="48">
                  <c:v>76199</c:v>
                </c:pt>
                <c:pt idx="49">
                  <c:v>74238</c:v>
                </c:pt>
                <c:pt idx="50">
                  <c:v>70550</c:v>
                </c:pt>
                <c:pt idx="51">
                  <c:v>72095</c:v>
                </c:pt>
                <c:pt idx="52">
                  <c:v>74474</c:v>
                </c:pt>
                <c:pt idx="53">
                  <c:v>76259</c:v>
                </c:pt>
                <c:pt idx="54">
                  <c:v>75693</c:v>
                </c:pt>
                <c:pt idx="55">
                  <c:v>72119</c:v>
                </c:pt>
                <c:pt idx="56">
                  <c:v>69894</c:v>
                </c:pt>
                <c:pt idx="57">
                  <c:v>66400</c:v>
                </c:pt>
                <c:pt idx="58">
                  <c:v>63740</c:v>
                </c:pt>
                <c:pt idx="59">
                  <c:v>60553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C3-4618-8818-E393C41B3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616688"/>
        <c:axId val="472615904"/>
      </c:lineChart>
      <c:catAx>
        <c:axId val="469886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زمان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16296"/>
        <c:crosses val="autoZero"/>
        <c:auto val="1"/>
        <c:lblAlgn val="ctr"/>
        <c:lblOffset val="100"/>
        <c:noMultiLvlLbl val="1"/>
      </c:catAx>
      <c:valAx>
        <c:axId val="472616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LINEAR</a:t>
                </a:r>
                <a:r>
                  <a:rPr lang="en-US" sz="1400" b="1" baseline="0"/>
                  <a:t> </a:t>
                </a:r>
                <a:r>
                  <a:rPr lang="en-US" sz="1400" b="1"/>
                  <a:t>REGRESSION CURVE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86408"/>
        <c:crosses val="autoZero"/>
        <c:crossBetween val="between"/>
      </c:valAx>
      <c:valAx>
        <c:axId val="4726159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400" b="1"/>
                  <a:t>قیمت پایانی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16688"/>
        <c:crosses val="max"/>
        <c:crossBetween val="between"/>
      </c:valAx>
      <c:catAx>
        <c:axId val="472616688"/>
        <c:scaling>
          <c:orientation val="minMax"/>
        </c:scaling>
        <c:delete val="1"/>
        <c:axPos val="b"/>
        <c:majorTickMark val="out"/>
        <c:minorTickMark val="none"/>
        <c:tickLblPos val="nextTo"/>
        <c:crossAx val="47261590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3.bin"/></Relationships>
</file>

<file path=xl/chart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4.bin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5.bin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6.bin"/></Relationships>
</file>

<file path=xl/chart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7.bin"/></Relationships>
</file>

<file path=xl/chart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8.bin"/></Relationships>
</file>

<file path=xl/chart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9.bin"/></Relationships>
</file>

<file path=xl/chart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0.bin"/></Relationships>
</file>

<file path=xl/chart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chart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chart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chart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chart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chart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1.bin"/></Relationships>
</file>

<file path=xl/chart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12.bin"/></Relationships>
</file>

<file path=xl/chart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13.bin"/></Relationships>
</file>

<file path=xl/chart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4.bin"/></Relationships>
</file>

<file path=xl/chart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15.bin"/></Relationships>
</file>

<file path=xl/chart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6.bin"/></Relationships>
</file>

<file path=xl/chart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17.bin"/></Relationships>
</file>

<file path=xl/chart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8.bin"/></Relationships>
</file>

<file path=xl/chart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9.bin"/></Relationships>
</file>

<file path=xl/chart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20.bin"/></Relationships>
</file>

<file path=xl/chart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21.bin"/></Relationships>
</file>

<file path=xl/chart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2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Chart5"/>
  <sheetViews>
    <sheetView zoomScale="8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Chart6"/>
  <sheetViews>
    <sheetView zoomScale="8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 codeName="Chart9"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Chart12"/>
  <sheetViews>
    <sheetView zoomScale="80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8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Chart13"/>
  <sheetViews>
    <sheetView zoomScale="80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 codeName="Chart17"/>
  <sheetViews>
    <sheetView zoomScale="86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zoomScale="86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 codeName="Chart19"/>
  <sheetViews>
    <sheetView zoomScale="70" workbookViewId="0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 codeName="Chart20"/>
  <sheetViews>
    <sheetView zoomScale="80" workbookViewId="0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 codeName="Chart21"/>
  <sheetViews>
    <sheetView zoomScale="80" workbookViewId="0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 codeName="Chart22"/>
  <sheetViews>
    <sheetView zoomScale="80" workbookViewId="0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 codeName="Chart23"/>
  <sheetViews>
    <sheetView zoomScale="80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600-000000000000}">
  <sheetPr/>
  <sheetViews>
    <sheetView zoomScale="70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700-000000000000}">
  <sheetPr/>
  <sheetViews>
    <sheetView zoomScale="70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800-000000000000}">
  <sheetPr/>
  <sheetViews>
    <sheetView zoomScale="70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900-000000000000}">
  <sheetPr/>
  <sheetViews>
    <sheetView zoomScale="86" workbookViewId="0" zoomToFit="1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A00-000000000000}">
  <sheetPr codeName="Chart24"/>
  <sheetViews>
    <sheetView zoomScale="80" workbookViewId="0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B00-000000000000}">
  <sheetPr codeName="Chart25"/>
  <sheetViews>
    <sheetView zoomScale="80" workbookViewId="0"/>
  </sheetViews>
  <pageMargins left="0.7" right="0.7" top="0.75" bottom="0.75" header="0.3" footer="0.3"/>
  <pageSetup orientation="landscape" r:id="rId1"/>
  <drawing r:id="rId2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C00-000000000000}">
  <sheetPr codeName="Chart7"/>
  <sheetViews>
    <sheetView zoomScale="115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D00-000000000000}">
  <sheetPr codeName="Chart26"/>
  <sheetViews>
    <sheetView zoomScale="80" workbookViewId="0"/>
  </sheetViews>
  <pageMargins left="0.7" right="0.7" top="0.75" bottom="0.75" header="0.3" footer="0.3"/>
  <drawing r:id="rId1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E00-000000000000}">
  <sheetPr codeName="Chart4"/>
  <sheetViews>
    <sheetView zoomScale="85" workbookViewId="0"/>
  </sheetViews>
  <pageMargins left="0.7" right="0.7" top="0.75" bottom="0.75" header="0.3" footer="0.3"/>
  <drawing r:id="rId1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F00-000000000000}">
  <sheetPr codeName="Chart8"/>
  <sheetViews>
    <sheetView zoomScale="90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000-000000000000}">
  <sheetPr codeName="Chart27"/>
  <sheetViews>
    <sheetView zoomScale="70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100-000000000000}">
  <sheetPr/>
  <sheetViews>
    <sheetView zoomScale="70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200-000000000000}">
  <sheetPr codeName="Chart10"/>
  <sheetViews>
    <sheetView zoomScale="85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2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300-000000000000}">
  <sheetPr/>
  <sheetViews>
    <sheetView zoomScale="85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2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400-000000000000}">
  <sheetPr codeName="Chart11"/>
  <sheetViews>
    <sheetView zoomScale="80" workbookViewId="0"/>
  </sheetViews>
  <pageMargins left="0.7" right="0.7" top="0.75" bottom="0.75" header="0.3" footer="0.3"/>
  <drawing r:id="rId1"/>
</chartsheet>
</file>

<file path=xl/chartsheets/sheet2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500-000000000000}">
  <sheetPr codeName="Chart28"/>
  <sheetViews>
    <sheetView zoomScale="90" workbookViewId="0"/>
  </sheetViews>
  <pageMargins left="0.7" right="0.7" top="0.75" bottom="0.75" header="0.3" footer="0.3"/>
  <drawing r:id="rId1"/>
</chartsheet>
</file>

<file path=xl/chartsheets/sheet3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600-000000000000}">
  <sheetPr codeName="Chart29"/>
  <sheetViews>
    <sheetView zoomScale="80" workbookViewId="0"/>
  </sheetViews>
  <pageMargins left="0.7" right="0.7" top="0.75" bottom="0.75" header="0.3" footer="0.3"/>
  <drawing r:id="rId1"/>
</chartsheet>
</file>

<file path=xl/chartsheets/sheet3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700-000000000000}">
  <sheetPr codeName="Chart30"/>
  <sheetViews>
    <sheetView zoomScale="80" workbookViewId="0"/>
  </sheetViews>
  <pageMargins left="0.7" right="0.7" top="0.75" bottom="0.75" header="0.3" footer="0.3"/>
  <drawing r:id="rId1"/>
</chartsheet>
</file>

<file path=xl/chartsheets/sheet3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800-000000000000}">
  <sheetPr codeName="Chart31"/>
  <sheetViews>
    <sheetView zoomScale="80" workbookViewId="0"/>
  </sheetViews>
  <pageMargins left="0.7" right="0.7" top="0.75" bottom="0.75" header="0.3" footer="0.3"/>
  <drawing r:id="rId1"/>
</chartsheet>
</file>

<file path=xl/chartsheets/sheet3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900-000000000000}">
  <sheetPr codeName="Chart32"/>
  <sheetViews>
    <sheetView zoomScale="70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3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A00-000000000000}">
  <sheetPr codeName="Chart33"/>
  <sheetViews>
    <sheetView zoomScale="70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3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B00-000000000000}">
  <sheetPr codeName="Chart34"/>
  <sheetViews>
    <sheetView zoomScale="70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3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C00-000000000000}">
  <sheetPr codeName="Chart35"/>
  <sheetViews>
    <sheetView zoomScale="70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3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D00-000000000000}">
  <sheetPr codeName="Chart36"/>
  <sheetViews>
    <sheetView zoomScale="90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3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E00-000000000000}">
  <sheetPr codeName="Chart37"/>
  <sheetViews>
    <sheetView zoomScale="70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3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F00-000000000000}">
  <sheetPr codeName="Chart38"/>
  <sheetViews>
    <sheetView zoomScale="70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4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000-000000000000}">
  <sheetPr codeName="Chart39"/>
  <sheetViews>
    <sheetView zoomScale="70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4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100-000000000000}">
  <sheetPr codeName="Chart40"/>
  <sheetViews>
    <sheetView zoomScale="90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4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200-000000000000}">
  <sheetPr codeName="Chart41"/>
  <sheetViews>
    <sheetView zoomScale="80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4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300-000000000000}">
  <sheetPr codeName="Chart42"/>
  <sheetViews>
    <sheetView zoomScale="80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4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400-000000000000}">
  <sheetPr codeName="Chart43"/>
  <sheetViews>
    <sheetView zoomScale="85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2180" cy="63020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2180" cy="63020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72180" cy="63020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977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977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977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9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4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5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6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7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8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9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0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4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977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297"/>
  <sheetViews>
    <sheetView zoomScale="80" zoomScaleNormal="80" workbookViewId="0">
      <selection activeCell="B13" sqref="B13:B16"/>
    </sheetView>
  </sheetViews>
  <sheetFormatPr defaultRowHeight="15.75" x14ac:dyDescent="0.25"/>
  <cols>
    <col min="8" max="10" width="13.42578125" style="54" customWidth="1"/>
    <col min="11" max="11" width="29.5703125" style="5" customWidth="1"/>
    <col min="12" max="14" width="10.7109375" style="5" customWidth="1"/>
  </cols>
  <sheetData>
    <row r="1" spans="1:13" ht="16.5" thickBot="1" x14ac:dyDescent="0.3">
      <c r="A1" s="103" t="s">
        <v>410</v>
      </c>
      <c r="B1" s="103"/>
      <c r="C1" s="104" t="s">
        <v>0</v>
      </c>
      <c r="D1" s="104"/>
      <c r="E1" s="104" t="s">
        <v>1</v>
      </c>
      <c r="F1" s="104"/>
      <c r="H1" s="56" t="s">
        <v>315</v>
      </c>
      <c r="I1" s="54" t="s">
        <v>351</v>
      </c>
      <c r="J1" s="54" t="s">
        <v>352</v>
      </c>
      <c r="K1" s="54" t="s">
        <v>364</v>
      </c>
    </row>
    <row r="2" spans="1:13" thickBot="1" x14ac:dyDescent="0.3">
      <c r="A2" s="104"/>
      <c r="B2" s="104"/>
      <c r="C2" s="11" t="s">
        <v>2</v>
      </c>
      <c r="D2" s="11" t="s">
        <v>3</v>
      </c>
      <c r="E2" s="11" t="s">
        <v>2</v>
      </c>
      <c r="F2" s="11" t="s">
        <v>3</v>
      </c>
      <c r="G2">
        <v>1</v>
      </c>
      <c r="H2">
        <v>44993</v>
      </c>
      <c r="I2">
        <v>343291.8</v>
      </c>
      <c r="J2">
        <v>107183</v>
      </c>
      <c r="K2">
        <v>307344</v>
      </c>
    </row>
    <row r="3" spans="1:13" thickBot="1" x14ac:dyDescent="0.3">
      <c r="A3" s="2" t="s">
        <v>22</v>
      </c>
      <c r="B3" s="12" t="s">
        <v>5</v>
      </c>
      <c r="C3" s="13">
        <v>1105</v>
      </c>
      <c r="D3" s="12">
        <v>3</v>
      </c>
      <c r="E3" s="12">
        <v>131</v>
      </c>
      <c r="F3" s="12">
        <v>14</v>
      </c>
      <c r="G3" s="84">
        <v>2</v>
      </c>
      <c r="H3">
        <v>45474</v>
      </c>
      <c r="I3">
        <v>344115.1</v>
      </c>
      <c r="J3">
        <v>107731</v>
      </c>
      <c r="K3">
        <v>308350</v>
      </c>
      <c r="L3" s="74"/>
      <c r="M3" s="74"/>
    </row>
    <row r="4" spans="1:13" ht="18.75" x14ac:dyDescent="0.25">
      <c r="A4" s="3">
        <v>24</v>
      </c>
      <c r="B4" s="105" t="s">
        <v>6</v>
      </c>
      <c r="C4" s="19">
        <v>942682</v>
      </c>
      <c r="D4" s="19">
        <v>625018</v>
      </c>
      <c r="E4" s="19">
        <v>759166</v>
      </c>
      <c r="F4" s="19">
        <v>808534</v>
      </c>
      <c r="G4">
        <v>3</v>
      </c>
      <c r="H4">
        <v>44514</v>
      </c>
      <c r="I4">
        <v>344487.6</v>
      </c>
      <c r="J4">
        <v>108598</v>
      </c>
      <c r="K4">
        <v>308676</v>
      </c>
    </row>
    <row r="5" spans="1:13" ht="15" x14ac:dyDescent="0.25">
      <c r="A5" s="15"/>
      <c r="B5" s="106"/>
      <c r="C5" s="71" t="s">
        <v>7</v>
      </c>
      <c r="D5" s="71" t="s">
        <v>7</v>
      </c>
      <c r="E5" s="71" t="s">
        <v>7</v>
      </c>
      <c r="F5" s="71" t="s">
        <v>7</v>
      </c>
      <c r="G5" s="84">
        <v>4</v>
      </c>
      <c r="H5">
        <v>46186</v>
      </c>
      <c r="I5">
        <v>346870.7</v>
      </c>
      <c r="J5">
        <v>110243</v>
      </c>
      <c r="K5">
        <v>310939</v>
      </c>
    </row>
    <row r="6" spans="1:13" ht="15" x14ac:dyDescent="0.25">
      <c r="A6" s="15"/>
      <c r="B6" s="106"/>
      <c r="C6" s="16">
        <v>60</v>
      </c>
      <c r="D6" s="16">
        <v>39</v>
      </c>
      <c r="E6" s="16">
        <v>48</v>
      </c>
      <c r="F6" s="16">
        <v>51</v>
      </c>
      <c r="G6">
        <v>5</v>
      </c>
      <c r="H6">
        <v>47709</v>
      </c>
      <c r="I6">
        <v>350322.6</v>
      </c>
      <c r="J6">
        <v>110906</v>
      </c>
      <c r="K6">
        <v>313621</v>
      </c>
    </row>
    <row r="7" spans="1:13" thickBot="1" x14ac:dyDescent="0.3">
      <c r="A7" s="15"/>
      <c r="B7" s="107"/>
      <c r="C7" s="72" t="s">
        <v>8</v>
      </c>
      <c r="D7" s="72" t="s">
        <v>8</v>
      </c>
      <c r="E7" s="72" t="s">
        <v>8</v>
      </c>
      <c r="F7" s="72" t="s">
        <v>8</v>
      </c>
      <c r="G7" s="84">
        <v>6</v>
      </c>
      <c r="H7">
        <v>48024</v>
      </c>
      <c r="I7">
        <v>353996.7</v>
      </c>
      <c r="J7">
        <v>111891</v>
      </c>
      <c r="K7">
        <v>316589</v>
      </c>
    </row>
    <row r="8" spans="1:13" thickBot="1" x14ac:dyDescent="0.3">
      <c r="A8" s="15"/>
      <c r="B8" s="12" t="s">
        <v>9</v>
      </c>
      <c r="C8" s="17" t="s">
        <v>411</v>
      </c>
      <c r="D8" s="17" t="s">
        <v>412</v>
      </c>
      <c r="E8" s="17" t="s">
        <v>413</v>
      </c>
      <c r="F8" s="17" t="s">
        <v>414</v>
      </c>
      <c r="G8">
        <v>7</v>
      </c>
      <c r="H8">
        <v>48090</v>
      </c>
      <c r="I8">
        <v>356721.1</v>
      </c>
      <c r="J8">
        <v>112856</v>
      </c>
      <c r="K8">
        <v>319403</v>
      </c>
    </row>
    <row r="9" spans="1:13" ht="26.25" thickBot="1" x14ac:dyDescent="0.3">
      <c r="A9" s="18"/>
      <c r="B9" s="11" t="s">
        <v>10</v>
      </c>
      <c r="C9" s="11">
        <v>60553</v>
      </c>
      <c r="D9" s="11">
        <v>60553</v>
      </c>
      <c r="E9" s="11">
        <v>60553</v>
      </c>
      <c r="F9" s="11">
        <v>60553</v>
      </c>
      <c r="G9" s="84">
        <v>8</v>
      </c>
      <c r="H9">
        <v>47193</v>
      </c>
      <c r="I9">
        <v>359365.5</v>
      </c>
      <c r="J9">
        <v>112604</v>
      </c>
      <c r="K9">
        <v>322177</v>
      </c>
    </row>
    <row r="10" spans="1:13" ht="25.5" customHeight="1" thickBot="1" x14ac:dyDescent="0.3">
      <c r="A10" s="12"/>
      <c r="B10" s="108" t="s">
        <v>11</v>
      </c>
      <c r="C10" s="109"/>
      <c r="D10" s="110">
        <v>183516</v>
      </c>
      <c r="E10" s="111"/>
      <c r="F10" s="1"/>
      <c r="G10">
        <v>9</v>
      </c>
      <c r="H10">
        <v>48133</v>
      </c>
      <c r="I10">
        <v>362259.3</v>
      </c>
      <c r="J10">
        <v>113581</v>
      </c>
      <c r="K10">
        <v>325130</v>
      </c>
    </row>
    <row r="11" spans="1:13" thickBot="1" x14ac:dyDescent="0.3">
      <c r="A11" s="112"/>
      <c r="B11" s="113"/>
      <c r="C11" s="113"/>
      <c r="D11" s="113"/>
      <c r="E11" s="113"/>
      <c r="F11" s="114"/>
      <c r="G11" s="84">
        <v>10</v>
      </c>
      <c r="H11">
        <v>47628</v>
      </c>
      <c r="I11">
        <v>361088.4</v>
      </c>
      <c r="J11">
        <v>114298</v>
      </c>
      <c r="K11">
        <v>323956</v>
      </c>
    </row>
    <row r="12" spans="1:13" thickBot="1" x14ac:dyDescent="0.3">
      <c r="A12" s="2" t="s">
        <v>22</v>
      </c>
      <c r="B12" s="12" t="s">
        <v>5</v>
      </c>
      <c r="C12" s="13">
        <v>2373</v>
      </c>
      <c r="D12" s="12">
        <v>9</v>
      </c>
      <c r="E12" s="13">
        <v>1326</v>
      </c>
      <c r="F12" s="12">
        <v>23</v>
      </c>
      <c r="G12">
        <v>11</v>
      </c>
      <c r="H12">
        <v>49789</v>
      </c>
      <c r="I12">
        <v>367632.1</v>
      </c>
      <c r="J12">
        <v>117166</v>
      </c>
      <c r="K12">
        <v>329446</v>
      </c>
      <c r="L12" s="74"/>
      <c r="M12" s="74"/>
    </row>
    <row r="13" spans="1:13" ht="18.75" x14ac:dyDescent="0.25">
      <c r="A13" s="3">
        <v>21</v>
      </c>
      <c r="B13" s="105" t="s">
        <v>6</v>
      </c>
      <c r="C13" s="14">
        <v>3566000</v>
      </c>
      <c r="D13" s="14">
        <v>2072000</v>
      </c>
      <c r="E13" s="14">
        <v>3664000</v>
      </c>
      <c r="F13" s="14">
        <v>1974000</v>
      </c>
      <c r="G13" s="84">
        <v>12</v>
      </c>
      <c r="H13">
        <v>50347</v>
      </c>
      <c r="I13">
        <v>369729.9</v>
      </c>
      <c r="J13">
        <v>118170</v>
      </c>
      <c r="K13">
        <v>331300</v>
      </c>
    </row>
    <row r="14" spans="1:13" ht="15" x14ac:dyDescent="0.25">
      <c r="A14" s="15"/>
      <c r="B14" s="106"/>
      <c r="C14" s="71" t="s">
        <v>7</v>
      </c>
      <c r="D14" s="71" t="s">
        <v>7</v>
      </c>
      <c r="E14" s="71" t="s">
        <v>7</v>
      </c>
      <c r="F14" s="71" t="s">
        <v>7</v>
      </c>
      <c r="G14">
        <v>13</v>
      </c>
      <c r="H14">
        <v>51032</v>
      </c>
      <c r="I14">
        <v>375547.7</v>
      </c>
      <c r="J14">
        <v>120359</v>
      </c>
      <c r="K14">
        <v>336666</v>
      </c>
    </row>
    <row r="15" spans="1:13" ht="15" x14ac:dyDescent="0.25">
      <c r="A15" s="15"/>
      <c r="B15" s="106"/>
      <c r="C15" s="16">
        <v>63</v>
      </c>
      <c r="D15" s="16">
        <v>36</v>
      </c>
      <c r="E15" s="16">
        <v>64</v>
      </c>
      <c r="F15" s="16">
        <v>35</v>
      </c>
      <c r="G15" s="84">
        <v>14</v>
      </c>
      <c r="H15">
        <v>50410</v>
      </c>
      <c r="I15">
        <v>377012.6</v>
      </c>
      <c r="J15">
        <v>119970</v>
      </c>
      <c r="K15">
        <v>338692</v>
      </c>
    </row>
    <row r="16" spans="1:13" thickBot="1" x14ac:dyDescent="0.3">
      <c r="A16" s="15"/>
      <c r="B16" s="107"/>
      <c r="C16" s="72" t="s">
        <v>8</v>
      </c>
      <c r="D16" s="72" t="s">
        <v>8</v>
      </c>
      <c r="E16" s="72" t="s">
        <v>8</v>
      </c>
      <c r="F16" s="72" t="s">
        <v>8</v>
      </c>
      <c r="G16">
        <v>15</v>
      </c>
      <c r="H16">
        <v>50352</v>
      </c>
      <c r="I16">
        <v>384099.6</v>
      </c>
      <c r="J16">
        <v>121488</v>
      </c>
      <c r="K16">
        <v>345555</v>
      </c>
    </row>
    <row r="17" spans="1:13" thickBot="1" x14ac:dyDescent="0.3">
      <c r="A17" s="15"/>
      <c r="B17" s="12" t="s">
        <v>9</v>
      </c>
      <c r="C17" s="17" t="s">
        <v>371</v>
      </c>
      <c r="D17" s="17" t="s">
        <v>372</v>
      </c>
      <c r="E17" s="17" t="s">
        <v>373</v>
      </c>
      <c r="F17" s="17" t="s">
        <v>374</v>
      </c>
      <c r="G17" s="84">
        <v>16</v>
      </c>
      <c r="H17">
        <v>48388</v>
      </c>
      <c r="I17">
        <v>367334.2</v>
      </c>
      <c r="J17">
        <v>116690</v>
      </c>
      <c r="K17">
        <v>330541</v>
      </c>
    </row>
    <row r="18" spans="1:13" ht="26.25" thickBot="1" x14ac:dyDescent="0.3">
      <c r="A18" s="18"/>
      <c r="B18" s="11" t="s">
        <v>10</v>
      </c>
      <c r="C18" s="11">
        <v>63812.09</v>
      </c>
      <c r="D18" s="11">
        <v>63615.28</v>
      </c>
      <c r="E18" s="11">
        <v>63805.47</v>
      </c>
      <c r="F18" s="11">
        <v>63617.75</v>
      </c>
      <c r="G18">
        <v>17</v>
      </c>
      <c r="H18">
        <v>47514</v>
      </c>
      <c r="I18">
        <v>365815.5</v>
      </c>
      <c r="J18">
        <v>113151</v>
      </c>
      <c r="K18">
        <v>330356</v>
      </c>
    </row>
    <row r="19" spans="1:13" ht="25.5" customHeight="1" thickBot="1" x14ac:dyDescent="0.3">
      <c r="A19" s="12"/>
      <c r="B19" s="108" t="s">
        <v>11</v>
      </c>
      <c r="C19" s="109"/>
      <c r="D19" s="110">
        <v>-98423</v>
      </c>
      <c r="E19" s="111"/>
      <c r="F19" s="1"/>
      <c r="G19" s="84">
        <v>18</v>
      </c>
      <c r="H19">
        <v>48464</v>
      </c>
      <c r="I19">
        <v>358843.2</v>
      </c>
      <c r="J19">
        <v>109600</v>
      </c>
      <c r="K19">
        <v>324457</v>
      </c>
    </row>
    <row r="20" spans="1:13" thickBot="1" x14ac:dyDescent="0.3">
      <c r="A20" s="112"/>
      <c r="B20" s="113"/>
      <c r="C20" s="113"/>
      <c r="D20" s="113"/>
      <c r="E20" s="113"/>
      <c r="F20" s="114"/>
      <c r="G20">
        <v>19</v>
      </c>
      <c r="H20">
        <v>50887</v>
      </c>
      <c r="I20">
        <v>353807.7</v>
      </c>
      <c r="J20">
        <v>108173</v>
      </c>
      <c r="K20">
        <v>319959</v>
      </c>
    </row>
    <row r="21" spans="1:13" thickBot="1" x14ac:dyDescent="0.3">
      <c r="A21" s="2" t="s">
        <v>22</v>
      </c>
      <c r="B21" s="12" t="s">
        <v>5</v>
      </c>
      <c r="C21" s="12">
        <v>804</v>
      </c>
      <c r="D21" s="12">
        <v>4</v>
      </c>
      <c r="E21" s="12">
        <v>46</v>
      </c>
      <c r="F21" s="12">
        <v>11</v>
      </c>
      <c r="G21" s="84">
        <v>20</v>
      </c>
      <c r="H21">
        <v>53431</v>
      </c>
      <c r="I21">
        <v>359807.4</v>
      </c>
      <c r="J21">
        <v>109974</v>
      </c>
      <c r="K21">
        <v>325417</v>
      </c>
      <c r="L21" s="74"/>
      <c r="M21" s="74"/>
    </row>
    <row r="22" spans="1:13" ht="18.75" x14ac:dyDescent="0.25">
      <c r="A22" s="3">
        <v>20</v>
      </c>
      <c r="B22" s="105" t="s">
        <v>6</v>
      </c>
      <c r="C22" s="19">
        <v>538026</v>
      </c>
      <c r="D22" s="14">
        <v>1255000</v>
      </c>
      <c r="E22" s="14">
        <v>1203000</v>
      </c>
      <c r="F22" s="19">
        <v>590200</v>
      </c>
      <c r="H22">
        <v>55917</v>
      </c>
      <c r="I22">
        <v>375650.2</v>
      </c>
      <c r="J22">
        <v>114555</v>
      </c>
      <c r="K22">
        <v>339693</v>
      </c>
    </row>
    <row r="23" spans="1:13" ht="15" x14ac:dyDescent="0.25">
      <c r="A23" s="15"/>
      <c r="B23" s="106"/>
      <c r="C23" s="71" t="s">
        <v>7</v>
      </c>
      <c r="D23" s="71" t="s">
        <v>7</v>
      </c>
      <c r="E23" s="71" t="s">
        <v>7</v>
      </c>
      <c r="F23" s="71" t="s">
        <v>7</v>
      </c>
      <c r="H23">
        <v>58008</v>
      </c>
      <c r="I23">
        <v>392038.40000000002</v>
      </c>
      <c r="J23">
        <v>118924</v>
      </c>
      <c r="K23">
        <v>354585</v>
      </c>
    </row>
    <row r="24" spans="1:13" ht="15" x14ac:dyDescent="0.25">
      <c r="A24" s="15"/>
      <c r="B24" s="106"/>
      <c r="C24" s="16">
        <v>30</v>
      </c>
      <c r="D24" s="16">
        <v>69</v>
      </c>
      <c r="E24" s="16">
        <v>67</v>
      </c>
      <c r="F24" s="16">
        <v>32</v>
      </c>
      <c r="H24">
        <v>59999</v>
      </c>
      <c r="I24">
        <v>395912.6</v>
      </c>
      <c r="J24">
        <v>120589</v>
      </c>
      <c r="K24">
        <v>357358</v>
      </c>
    </row>
    <row r="25" spans="1:13" thickBot="1" x14ac:dyDescent="0.3">
      <c r="A25" s="15"/>
      <c r="B25" s="107"/>
      <c r="C25" s="72" t="s">
        <v>8</v>
      </c>
      <c r="D25" s="72" t="s">
        <v>8</v>
      </c>
      <c r="E25" s="72" t="s">
        <v>8</v>
      </c>
      <c r="F25" s="72" t="s">
        <v>8</v>
      </c>
      <c r="H25">
        <v>59782</v>
      </c>
      <c r="I25">
        <v>399445.3</v>
      </c>
      <c r="J25">
        <v>122016</v>
      </c>
      <c r="K25">
        <v>359900</v>
      </c>
    </row>
    <row r="26" spans="1:13" thickBot="1" x14ac:dyDescent="0.3">
      <c r="A26" s="15"/>
      <c r="B26" s="12" t="s">
        <v>9</v>
      </c>
      <c r="C26" s="17" t="s">
        <v>375</v>
      </c>
      <c r="D26" s="17" t="s">
        <v>376</v>
      </c>
      <c r="E26" s="17" t="s">
        <v>377</v>
      </c>
      <c r="F26" s="17" t="s">
        <v>378</v>
      </c>
      <c r="H26">
        <v>59611</v>
      </c>
      <c r="I26">
        <v>409962.5</v>
      </c>
      <c r="J26">
        <v>126014</v>
      </c>
      <c r="K26">
        <v>368792</v>
      </c>
    </row>
    <row r="27" spans="1:13" ht="26.25" thickBot="1" x14ac:dyDescent="0.3">
      <c r="A27" s="18"/>
      <c r="B27" s="11" t="s">
        <v>10</v>
      </c>
      <c r="C27" s="11">
        <v>66400</v>
      </c>
      <c r="D27" s="11">
        <v>66400</v>
      </c>
      <c r="E27" s="11">
        <v>66400</v>
      </c>
      <c r="F27" s="11">
        <v>66400</v>
      </c>
      <c r="H27">
        <v>59067</v>
      </c>
      <c r="I27">
        <v>410694.5</v>
      </c>
      <c r="J27">
        <v>126787</v>
      </c>
      <c r="K27">
        <v>369328</v>
      </c>
    </row>
    <row r="28" spans="1:13" ht="25.5" customHeight="1" thickBot="1" x14ac:dyDescent="0.3">
      <c r="A28" s="12"/>
      <c r="B28" s="108" t="s">
        <v>11</v>
      </c>
      <c r="C28" s="109"/>
      <c r="D28" s="110">
        <v>-664800</v>
      </c>
      <c r="E28" s="111"/>
      <c r="F28" s="1"/>
      <c r="H28">
        <v>58263</v>
      </c>
      <c r="I28">
        <v>409807.8</v>
      </c>
      <c r="J28">
        <v>128090</v>
      </c>
      <c r="K28">
        <v>367714</v>
      </c>
    </row>
    <row r="29" spans="1:13" thickBot="1" x14ac:dyDescent="0.3">
      <c r="A29" s="112"/>
      <c r="B29" s="113"/>
      <c r="C29" s="113"/>
      <c r="D29" s="113"/>
      <c r="E29" s="113"/>
      <c r="F29" s="114"/>
      <c r="H29">
        <v>57087</v>
      </c>
      <c r="I29">
        <v>406008.9</v>
      </c>
      <c r="J29">
        <v>129420</v>
      </c>
      <c r="K29">
        <v>364084</v>
      </c>
    </row>
    <row r="30" spans="1:13" thickBot="1" x14ac:dyDescent="0.3">
      <c r="A30" s="2" t="s">
        <v>22</v>
      </c>
      <c r="B30" s="12" t="s">
        <v>5</v>
      </c>
      <c r="C30" s="12">
        <v>985</v>
      </c>
      <c r="D30" s="12">
        <v>3</v>
      </c>
      <c r="E30" s="12">
        <v>7</v>
      </c>
      <c r="F30" s="12">
        <v>0</v>
      </c>
      <c r="H30">
        <v>58130</v>
      </c>
      <c r="I30">
        <v>411211.5</v>
      </c>
      <c r="J30">
        <v>131850</v>
      </c>
      <c r="K30">
        <v>368748</v>
      </c>
      <c r="L30" s="74"/>
      <c r="M30" s="74"/>
    </row>
    <row r="31" spans="1:13" ht="18.75" x14ac:dyDescent="0.25">
      <c r="A31" s="3">
        <v>19</v>
      </c>
      <c r="B31" s="105" t="s">
        <v>6</v>
      </c>
      <c r="C31" s="19">
        <v>440541</v>
      </c>
      <c r="D31" s="19">
        <v>300000</v>
      </c>
      <c r="E31" s="19">
        <v>740541</v>
      </c>
      <c r="F31" s="24">
        <v>0</v>
      </c>
      <c r="H31">
        <v>57523</v>
      </c>
      <c r="I31">
        <v>417001.9</v>
      </c>
      <c r="J31">
        <v>135541</v>
      </c>
      <c r="K31">
        <v>374034</v>
      </c>
    </row>
    <row r="32" spans="1:13" ht="15" x14ac:dyDescent="0.25">
      <c r="A32" s="15"/>
      <c r="B32" s="106"/>
      <c r="C32" s="71" t="s">
        <v>7</v>
      </c>
      <c r="D32" s="71" t="s">
        <v>7</v>
      </c>
      <c r="E32" s="71" t="s">
        <v>7</v>
      </c>
      <c r="F32" s="71" t="s">
        <v>7</v>
      </c>
      <c r="H32">
        <v>57811</v>
      </c>
      <c r="I32">
        <v>418312.5</v>
      </c>
      <c r="J32">
        <v>137333</v>
      </c>
      <c r="K32">
        <v>375156</v>
      </c>
    </row>
    <row r="33" spans="1:13" ht="15" x14ac:dyDescent="0.25">
      <c r="A33" s="15"/>
      <c r="B33" s="106"/>
      <c r="C33" s="16">
        <v>59</v>
      </c>
      <c r="D33" s="16">
        <v>40</v>
      </c>
      <c r="E33" s="16">
        <v>100</v>
      </c>
      <c r="F33" s="16">
        <v>0</v>
      </c>
      <c r="H33">
        <v>56218</v>
      </c>
      <c r="I33">
        <v>420668</v>
      </c>
      <c r="J33">
        <v>138235</v>
      </c>
      <c r="K33">
        <v>376984</v>
      </c>
    </row>
    <row r="34" spans="1:13" thickBot="1" x14ac:dyDescent="0.3">
      <c r="A34" s="15"/>
      <c r="B34" s="107"/>
      <c r="C34" s="72" t="s">
        <v>8</v>
      </c>
      <c r="D34" s="72" t="s">
        <v>8</v>
      </c>
      <c r="E34" s="72" t="s">
        <v>8</v>
      </c>
      <c r="F34" s="72" t="s">
        <v>8</v>
      </c>
      <c r="H34">
        <v>55971</v>
      </c>
      <c r="I34">
        <v>427139.4</v>
      </c>
      <c r="J34">
        <v>139961</v>
      </c>
      <c r="K34">
        <v>382257</v>
      </c>
    </row>
    <row r="35" spans="1:13" thickBot="1" x14ac:dyDescent="0.3">
      <c r="A35" s="15"/>
      <c r="B35" s="12" t="s">
        <v>9</v>
      </c>
      <c r="C35" s="17" t="s">
        <v>379</v>
      </c>
      <c r="D35" s="17" t="s">
        <v>380</v>
      </c>
      <c r="E35" s="17" t="s">
        <v>381</v>
      </c>
      <c r="F35" s="17">
        <v>0</v>
      </c>
      <c r="H35">
        <v>57916</v>
      </c>
      <c r="I35">
        <v>426184.9</v>
      </c>
      <c r="J35">
        <v>140201</v>
      </c>
      <c r="K35">
        <v>381219</v>
      </c>
    </row>
    <row r="36" spans="1:13" ht="26.25" thickBot="1" x14ac:dyDescent="0.3">
      <c r="A36" s="18"/>
      <c r="B36" s="11" t="s">
        <v>10</v>
      </c>
      <c r="C36" s="11">
        <v>68514</v>
      </c>
      <c r="D36" s="11">
        <v>68514</v>
      </c>
      <c r="E36" s="11">
        <v>68514</v>
      </c>
      <c r="F36" s="11">
        <v>0</v>
      </c>
      <c r="H36">
        <v>57099</v>
      </c>
      <c r="I36">
        <v>428217</v>
      </c>
      <c r="J36">
        <v>141862</v>
      </c>
      <c r="K36">
        <v>382988</v>
      </c>
    </row>
    <row r="37" spans="1:13" ht="25.5" customHeight="1" thickBot="1" x14ac:dyDescent="0.3">
      <c r="A37" s="12"/>
      <c r="B37" s="108" t="s">
        <v>11</v>
      </c>
      <c r="C37" s="109"/>
      <c r="D37" s="110">
        <v>-300000</v>
      </c>
      <c r="E37" s="111"/>
      <c r="F37" s="1"/>
      <c r="H37">
        <v>57605</v>
      </c>
      <c r="I37">
        <v>438880.2</v>
      </c>
      <c r="J37">
        <v>145542</v>
      </c>
      <c r="K37">
        <v>392188</v>
      </c>
    </row>
    <row r="38" spans="1:13" thickBot="1" x14ac:dyDescent="0.3">
      <c r="A38" s="112"/>
      <c r="B38" s="113"/>
      <c r="C38" s="113"/>
      <c r="D38" s="113"/>
      <c r="E38" s="113"/>
      <c r="F38" s="114"/>
      <c r="H38">
        <v>58602</v>
      </c>
      <c r="I38">
        <v>440199.1</v>
      </c>
      <c r="J38">
        <v>145049</v>
      </c>
      <c r="K38">
        <v>392272</v>
      </c>
    </row>
    <row r="39" spans="1:13" thickBot="1" x14ac:dyDescent="0.3">
      <c r="A39" s="2" t="s">
        <v>22</v>
      </c>
      <c r="B39" s="12" t="s">
        <v>5</v>
      </c>
      <c r="C39" s="13">
        <v>1490</v>
      </c>
      <c r="D39" s="12">
        <v>7</v>
      </c>
      <c r="E39" s="13">
        <v>1630</v>
      </c>
      <c r="F39" s="12">
        <v>4</v>
      </c>
      <c r="H39">
        <v>57876</v>
      </c>
      <c r="I39">
        <v>445894.1</v>
      </c>
      <c r="J39">
        <v>146571</v>
      </c>
      <c r="K39">
        <v>396519</v>
      </c>
      <c r="L39" s="74"/>
      <c r="M39" s="74"/>
    </row>
    <row r="40" spans="1:13" ht="18.75" x14ac:dyDescent="0.25">
      <c r="A40" s="3">
        <v>17</v>
      </c>
      <c r="B40" s="105" t="s">
        <v>6</v>
      </c>
      <c r="C40" s="14">
        <v>2082000</v>
      </c>
      <c r="D40" s="14">
        <v>1580000</v>
      </c>
      <c r="E40" s="14">
        <v>3042000</v>
      </c>
      <c r="F40" s="19">
        <v>621098</v>
      </c>
      <c r="H40">
        <v>58033</v>
      </c>
      <c r="I40">
        <v>452842.3</v>
      </c>
      <c r="J40">
        <v>147116</v>
      </c>
      <c r="K40">
        <v>402841</v>
      </c>
    </row>
    <row r="41" spans="1:13" ht="15" x14ac:dyDescent="0.25">
      <c r="A41" s="15"/>
      <c r="B41" s="106"/>
      <c r="C41" s="71" t="s">
        <v>7</v>
      </c>
      <c r="D41" s="71" t="s">
        <v>7</v>
      </c>
      <c r="E41" s="71" t="s">
        <v>7</v>
      </c>
      <c r="F41" s="71" t="s">
        <v>7</v>
      </c>
      <c r="H41">
        <v>60422</v>
      </c>
      <c r="I41">
        <v>454618.5</v>
      </c>
      <c r="J41">
        <v>147472</v>
      </c>
      <c r="K41">
        <v>404840</v>
      </c>
    </row>
    <row r="42" spans="1:13" ht="15" x14ac:dyDescent="0.25">
      <c r="A42" s="15"/>
      <c r="B42" s="106"/>
      <c r="C42" s="16">
        <v>56</v>
      </c>
      <c r="D42" s="16">
        <v>43</v>
      </c>
      <c r="E42" s="16">
        <v>83</v>
      </c>
      <c r="F42" s="16">
        <v>16</v>
      </c>
      <c r="H42">
        <v>63441</v>
      </c>
      <c r="I42">
        <v>447151.9</v>
      </c>
      <c r="J42">
        <v>145326</v>
      </c>
      <c r="K42">
        <v>398329</v>
      </c>
    </row>
    <row r="43" spans="1:13" thickBot="1" x14ac:dyDescent="0.3">
      <c r="A43" s="15"/>
      <c r="B43" s="107"/>
      <c r="C43" s="72" t="s">
        <v>8</v>
      </c>
      <c r="D43" s="72" t="s">
        <v>8</v>
      </c>
      <c r="E43" s="72" t="s">
        <v>8</v>
      </c>
      <c r="F43" s="72" t="s">
        <v>8</v>
      </c>
      <c r="H43">
        <v>66611</v>
      </c>
      <c r="I43">
        <v>459079.6</v>
      </c>
      <c r="J43">
        <v>148930</v>
      </c>
      <c r="K43">
        <v>409007</v>
      </c>
    </row>
    <row r="44" spans="1:13" thickBot="1" x14ac:dyDescent="0.3">
      <c r="A44" s="15"/>
      <c r="B44" s="12" t="s">
        <v>9</v>
      </c>
      <c r="C44" s="17" t="s">
        <v>382</v>
      </c>
      <c r="D44" s="17" t="s">
        <v>383</v>
      </c>
      <c r="E44" s="17" t="s">
        <v>384</v>
      </c>
      <c r="F44" s="17" t="s">
        <v>385</v>
      </c>
      <c r="H44">
        <v>69398</v>
      </c>
      <c r="I44">
        <v>461988.4</v>
      </c>
      <c r="J44">
        <v>150032</v>
      </c>
      <c r="K44">
        <v>412894</v>
      </c>
    </row>
    <row r="45" spans="1:13" ht="26.25" thickBot="1" x14ac:dyDescent="0.3">
      <c r="A45" s="18"/>
      <c r="B45" s="11" t="s">
        <v>10</v>
      </c>
      <c r="C45" s="11">
        <v>72177.429999999993</v>
      </c>
      <c r="D45" s="11">
        <v>72041.98</v>
      </c>
      <c r="E45" s="11">
        <v>72108.36</v>
      </c>
      <c r="F45" s="11">
        <v>72171.039999999994</v>
      </c>
      <c r="H45">
        <v>69018</v>
      </c>
      <c r="I45">
        <v>472749.9</v>
      </c>
      <c r="J45">
        <v>152458</v>
      </c>
      <c r="K45">
        <v>423613</v>
      </c>
    </row>
    <row r="46" spans="1:13" ht="25.5" customHeight="1" thickBot="1" x14ac:dyDescent="0.3">
      <c r="A46" s="12"/>
      <c r="B46" s="108" t="s">
        <v>11</v>
      </c>
      <c r="C46" s="109"/>
      <c r="D46" s="110">
        <v>-959321</v>
      </c>
      <c r="E46" s="111"/>
      <c r="F46" s="1"/>
      <c r="H46">
        <v>69775</v>
      </c>
      <c r="I46">
        <v>476812.7</v>
      </c>
      <c r="J46">
        <v>152696</v>
      </c>
      <c r="K46">
        <v>427715</v>
      </c>
    </row>
    <row r="47" spans="1:13" thickBot="1" x14ac:dyDescent="0.3">
      <c r="A47" s="112"/>
      <c r="B47" s="113"/>
      <c r="C47" s="113"/>
      <c r="D47" s="113"/>
      <c r="E47" s="113"/>
      <c r="F47" s="114"/>
      <c r="H47">
        <v>71124</v>
      </c>
      <c r="I47">
        <v>472120.4</v>
      </c>
      <c r="J47">
        <v>152187</v>
      </c>
      <c r="K47">
        <v>423719</v>
      </c>
    </row>
    <row r="48" spans="1:13" thickBot="1" x14ac:dyDescent="0.3">
      <c r="A48" s="2" t="s">
        <v>22</v>
      </c>
      <c r="B48" s="12" t="s">
        <v>5</v>
      </c>
      <c r="C48" s="13">
        <v>1098</v>
      </c>
      <c r="D48" s="12">
        <v>2</v>
      </c>
      <c r="E48" s="13">
        <v>1266</v>
      </c>
      <c r="F48" s="12">
        <v>5</v>
      </c>
      <c r="H48">
        <v>74297</v>
      </c>
      <c r="I48">
        <v>478755.7</v>
      </c>
      <c r="J48">
        <v>155685</v>
      </c>
      <c r="K48">
        <v>429635</v>
      </c>
    </row>
    <row r="49" spans="1:11" ht="18.75" x14ac:dyDescent="0.25">
      <c r="A49" s="3">
        <v>14</v>
      </c>
      <c r="B49" s="105" t="s">
        <v>6</v>
      </c>
      <c r="C49" s="14">
        <v>1382000</v>
      </c>
      <c r="D49" s="19">
        <v>50517</v>
      </c>
      <c r="E49" s="14">
        <v>1192000</v>
      </c>
      <c r="F49" s="19">
        <v>240122</v>
      </c>
      <c r="H49">
        <v>75901</v>
      </c>
      <c r="I49">
        <v>481798</v>
      </c>
      <c r="J49">
        <v>157219</v>
      </c>
      <c r="K49">
        <v>433794</v>
      </c>
    </row>
    <row r="50" spans="1:11" ht="15" x14ac:dyDescent="0.25">
      <c r="A50" s="15"/>
      <c r="B50" s="106"/>
      <c r="C50" s="71" t="s">
        <v>7</v>
      </c>
      <c r="D50" s="71" t="s">
        <v>7</v>
      </c>
      <c r="E50" s="71" t="s">
        <v>7</v>
      </c>
      <c r="F50" s="71" t="s">
        <v>7</v>
      </c>
      <c r="H50">
        <v>76199</v>
      </c>
      <c r="I50">
        <v>498904.5</v>
      </c>
      <c r="J50">
        <v>163322</v>
      </c>
      <c r="K50">
        <v>449291</v>
      </c>
    </row>
    <row r="51" spans="1:11" ht="15" x14ac:dyDescent="0.25">
      <c r="A51" s="15"/>
      <c r="B51" s="106"/>
      <c r="C51" s="16">
        <v>96</v>
      </c>
      <c r="D51" s="16">
        <v>3</v>
      </c>
      <c r="E51" s="16">
        <v>83</v>
      </c>
      <c r="F51" s="16">
        <v>16</v>
      </c>
      <c r="H51">
        <v>74238</v>
      </c>
      <c r="I51">
        <v>503735.8</v>
      </c>
      <c r="J51">
        <v>166233</v>
      </c>
      <c r="K51">
        <v>453687</v>
      </c>
    </row>
    <row r="52" spans="1:11" thickBot="1" x14ac:dyDescent="0.3">
      <c r="A52" s="15"/>
      <c r="B52" s="107"/>
      <c r="C52" s="72" t="s">
        <v>8</v>
      </c>
      <c r="D52" s="72" t="s">
        <v>8</v>
      </c>
      <c r="E52" s="72" t="s">
        <v>8</v>
      </c>
      <c r="F52" s="72" t="s">
        <v>8</v>
      </c>
      <c r="H52">
        <v>70550</v>
      </c>
      <c r="I52">
        <v>518512.8</v>
      </c>
      <c r="J52">
        <v>170944</v>
      </c>
      <c r="K52">
        <v>466366</v>
      </c>
    </row>
    <row r="53" spans="1:11" thickBot="1" x14ac:dyDescent="0.3">
      <c r="A53" s="15"/>
      <c r="B53" s="12" t="s">
        <v>9</v>
      </c>
      <c r="C53" s="17" t="s">
        <v>386</v>
      </c>
      <c r="D53" s="17" t="s">
        <v>387</v>
      </c>
      <c r="E53" s="17" t="s">
        <v>388</v>
      </c>
      <c r="F53" s="17" t="s">
        <v>389</v>
      </c>
      <c r="H53">
        <v>72095</v>
      </c>
      <c r="I53">
        <v>523851</v>
      </c>
      <c r="J53">
        <v>173298</v>
      </c>
      <c r="K53">
        <v>471595</v>
      </c>
    </row>
    <row r="54" spans="1:11" ht="26.25" thickBot="1" x14ac:dyDescent="0.3">
      <c r="A54" s="18"/>
      <c r="B54" s="11" t="s">
        <v>10</v>
      </c>
      <c r="C54" s="11">
        <v>75688.2</v>
      </c>
      <c r="D54" s="11">
        <v>75810.25</v>
      </c>
      <c r="E54" s="11">
        <v>75684.69</v>
      </c>
      <c r="F54" s="11">
        <v>75731.3</v>
      </c>
      <c r="H54">
        <v>74474</v>
      </c>
      <c r="I54">
        <v>505801</v>
      </c>
      <c r="J54">
        <v>169585</v>
      </c>
      <c r="K54">
        <v>455272</v>
      </c>
    </row>
    <row r="55" spans="1:11" ht="25.5" customHeight="1" thickBot="1" x14ac:dyDescent="0.3">
      <c r="A55" s="12"/>
      <c r="B55" s="108" t="s">
        <v>11</v>
      </c>
      <c r="C55" s="109"/>
      <c r="D55" s="110">
        <v>189605</v>
      </c>
      <c r="E55" s="111"/>
      <c r="F55" s="1"/>
      <c r="H55">
        <v>76259</v>
      </c>
      <c r="I55">
        <v>515583.4</v>
      </c>
      <c r="J55">
        <v>174470</v>
      </c>
      <c r="K55">
        <v>464086</v>
      </c>
    </row>
    <row r="56" spans="1:11" thickBot="1" x14ac:dyDescent="0.3">
      <c r="A56" s="112"/>
      <c r="B56" s="113"/>
      <c r="C56" s="113"/>
      <c r="D56" s="113"/>
      <c r="E56" s="113"/>
      <c r="F56" s="114"/>
      <c r="H56">
        <v>75693</v>
      </c>
      <c r="I56">
        <v>529329</v>
      </c>
      <c r="J56">
        <v>178939</v>
      </c>
      <c r="K56">
        <v>476700</v>
      </c>
    </row>
    <row r="57" spans="1:11" thickBot="1" x14ac:dyDescent="0.3">
      <c r="A57" s="2" t="s">
        <v>22</v>
      </c>
      <c r="B57" s="12" t="s">
        <v>5</v>
      </c>
      <c r="C57" s="12">
        <v>947</v>
      </c>
      <c r="D57" s="12">
        <v>16</v>
      </c>
      <c r="E57" s="13">
        <v>1028</v>
      </c>
      <c r="F57" s="12">
        <v>7</v>
      </c>
      <c r="H57">
        <v>72119</v>
      </c>
      <c r="I57">
        <v>544237.69999999995</v>
      </c>
      <c r="J57">
        <v>182996</v>
      </c>
      <c r="K57">
        <v>490195</v>
      </c>
    </row>
    <row r="58" spans="1:11" ht="18.75" x14ac:dyDescent="0.25">
      <c r="A58" s="3">
        <v>13</v>
      </c>
      <c r="B58" s="105" t="s">
        <v>6</v>
      </c>
      <c r="C58" s="14">
        <v>1752000</v>
      </c>
      <c r="D58" s="19">
        <v>825833</v>
      </c>
      <c r="E58" s="19">
        <v>944459</v>
      </c>
      <c r="F58" s="14">
        <v>1633000</v>
      </c>
      <c r="H58">
        <v>69894</v>
      </c>
      <c r="I58">
        <v>555167.69999999995</v>
      </c>
      <c r="J58">
        <v>186266</v>
      </c>
      <c r="K58">
        <v>499838</v>
      </c>
    </row>
    <row r="59" spans="1:11" ht="15" x14ac:dyDescent="0.25">
      <c r="A59" s="15"/>
      <c r="B59" s="106"/>
      <c r="C59" s="71" t="s">
        <v>7</v>
      </c>
      <c r="D59" s="71" t="s">
        <v>7</v>
      </c>
      <c r="E59" s="71" t="s">
        <v>7</v>
      </c>
      <c r="F59" s="71" t="s">
        <v>7</v>
      </c>
      <c r="H59">
        <v>66400</v>
      </c>
      <c r="I59">
        <v>549185.1</v>
      </c>
      <c r="J59">
        <v>184501</v>
      </c>
      <c r="K59">
        <v>493623</v>
      </c>
    </row>
    <row r="60" spans="1:11" ht="15" x14ac:dyDescent="0.25">
      <c r="A60" s="15"/>
      <c r="B60" s="106"/>
      <c r="C60" s="16">
        <v>67</v>
      </c>
      <c r="D60" s="16">
        <v>32</v>
      </c>
      <c r="E60" s="16">
        <v>36</v>
      </c>
      <c r="F60" s="16">
        <v>63</v>
      </c>
      <c r="H60">
        <v>63740</v>
      </c>
      <c r="I60">
        <v>534378.4</v>
      </c>
      <c r="J60">
        <v>180970</v>
      </c>
      <c r="K60">
        <v>480745</v>
      </c>
    </row>
    <row r="61" spans="1:11" thickBot="1" x14ac:dyDescent="0.3">
      <c r="A61" s="15"/>
      <c r="B61" s="107"/>
      <c r="C61" s="72" t="s">
        <v>8</v>
      </c>
      <c r="D61" s="72" t="s">
        <v>8</v>
      </c>
      <c r="E61" s="72" t="s">
        <v>8</v>
      </c>
      <c r="F61" s="72" t="s">
        <v>8</v>
      </c>
      <c r="H61">
        <v>60553</v>
      </c>
      <c r="I61">
        <v>519953.25</v>
      </c>
      <c r="J61">
        <v>178438.2</v>
      </c>
      <c r="K61">
        <v>466301.99</v>
      </c>
    </row>
    <row r="62" spans="1:11" ht="16.5" thickBot="1" x14ac:dyDescent="0.3">
      <c r="A62" s="15"/>
      <c r="B62" s="12" t="s">
        <v>9</v>
      </c>
      <c r="C62" s="17" t="s">
        <v>390</v>
      </c>
      <c r="D62" s="17" t="s">
        <v>391</v>
      </c>
      <c r="E62" s="17" t="s">
        <v>392</v>
      </c>
      <c r="F62" s="17" t="s">
        <v>393</v>
      </c>
      <c r="I62">
        <v>304688.5</v>
      </c>
    </row>
    <row r="63" spans="1:11" ht="26.25" thickBot="1" x14ac:dyDescent="0.3">
      <c r="A63" s="18"/>
      <c r="B63" s="11" t="s">
        <v>10</v>
      </c>
      <c r="C63" s="11">
        <v>76355.100000000006</v>
      </c>
      <c r="D63" s="11">
        <v>76053.61</v>
      </c>
      <c r="E63" s="11">
        <v>76491.850000000006</v>
      </c>
      <c r="F63" s="11">
        <v>76123.600000000006</v>
      </c>
      <c r="I63">
        <v>304997</v>
      </c>
    </row>
    <row r="64" spans="1:11" ht="25.5" customHeight="1" thickBot="1" x14ac:dyDescent="0.3">
      <c r="A64" s="12"/>
      <c r="B64" s="108" t="s">
        <v>11</v>
      </c>
      <c r="C64" s="109"/>
      <c r="D64" s="110">
        <v>807541</v>
      </c>
      <c r="E64" s="111"/>
      <c r="F64" s="1"/>
      <c r="I64">
        <v>305622.5</v>
      </c>
    </row>
    <row r="65" spans="1:9" ht="16.5" thickBot="1" x14ac:dyDescent="0.3">
      <c r="A65" s="112"/>
      <c r="B65" s="113"/>
      <c r="C65" s="113"/>
      <c r="D65" s="113"/>
      <c r="E65" s="113"/>
      <c r="F65" s="114"/>
      <c r="I65">
        <v>305774</v>
      </c>
    </row>
    <row r="66" spans="1:9" ht="16.5" thickBot="1" x14ac:dyDescent="0.3">
      <c r="A66" s="2" t="s">
        <v>22</v>
      </c>
      <c r="B66" s="12" t="s">
        <v>5</v>
      </c>
      <c r="C66" s="12">
        <v>844</v>
      </c>
      <c r="D66" s="12">
        <v>4</v>
      </c>
      <c r="E66" s="12">
        <v>799</v>
      </c>
      <c r="F66" s="12">
        <v>4</v>
      </c>
      <c r="I66">
        <v>308477.2</v>
      </c>
    </row>
    <row r="67" spans="1:9" ht="18.75" x14ac:dyDescent="0.25">
      <c r="A67" s="3">
        <v>12</v>
      </c>
      <c r="B67" s="105" t="s">
        <v>6</v>
      </c>
      <c r="C67" s="14">
        <v>1519000</v>
      </c>
      <c r="D67" s="14">
        <v>1164000</v>
      </c>
      <c r="E67" s="14">
        <v>1673000</v>
      </c>
      <c r="F67" s="14">
        <v>1010000</v>
      </c>
      <c r="I67">
        <v>309643.3</v>
      </c>
    </row>
    <row r="68" spans="1:9" x14ac:dyDescent="0.25">
      <c r="A68" s="15"/>
      <c r="B68" s="106"/>
      <c r="C68" s="71" t="s">
        <v>7</v>
      </c>
      <c r="D68" s="71" t="s">
        <v>7</v>
      </c>
      <c r="E68" s="71" t="s">
        <v>7</v>
      </c>
      <c r="F68" s="71" t="s">
        <v>7</v>
      </c>
      <c r="I68">
        <v>311230.09999999998</v>
      </c>
    </row>
    <row r="69" spans="1:9" x14ac:dyDescent="0.25">
      <c r="A69" s="15"/>
      <c r="B69" s="106"/>
      <c r="C69" s="16">
        <v>56</v>
      </c>
      <c r="D69" s="16">
        <v>43</v>
      </c>
      <c r="E69" s="16">
        <v>62</v>
      </c>
      <c r="F69" s="16">
        <v>37</v>
      </c>
      <c r="I69">
        <v>314587.90000000002</v>
      </c>
    </row>
    <row r="70" spans="1:9" ht="16.5" thickBot="1" x14ac:dyDescent="0.3">
      <c r="A70" s="15"/>
      <c r="B70" s="107"/>
      <c r="C70" s="72" t="s">
        <v>8</v>
      </c>
      <c r="D70" s="72" t="s">
        <v>8</v>
      </c>
      <c r="E70" s="72" t="s">
        <v>8</v>
      </c>
      <c r="F70" s="72" t="s">
        <v>8</v>
      </c>
      <c r="I70">
        <v>318670.5</v>
      </c>
    </row>
    <row r="71" spans="1:9" ht="16.5" thickBot="1" x14ac:dyDescent="0.3">
      <c r="A71" s="15"/>
      <c r="B71" s="12" t="s">
        <v>9</v>
      </c>
      <c r="C71" s="17" t="s">
        <v>394</v>
      </c>
      <c r="D71" s="17" t="s">
        <v>395</v>
      </c>
      <c r="E71" s="17" t="s">
        <v>396</v>
      </c>
      <c r="F71" s="17" t="s">
        <v>397</v>
      </c>
      <c r="I71">
        <v>320194.8</v>
      </c>
    </row>
    <row r="72" spans="1:9" ht="26.25" thickBot="1" x14ac:dyDescent="0.3">
      <c r="A72" s="18"/>
      <c r="B72" s="11" t="s">
        <v>10</v>
      </c>
      <c r="C72" s="11">
        <v>74199.009999999995</v>
      </c>
      <c r="D72" s="11">
        <v>74832.41</v>
      </c>
      <c r="E72" s="11">
        <v>74636.570000000007</v>
      </c>
      <c r="F72" s="11">
        <v>74204.2</v>
      </c>
      <c r="I72">
        <v>320814.40000000002</v>
      </c>
    </row>
    <row r="73" spans="1:9" ht="25.5" customHeight="1" thickBot="1" x14ac:dyDescent="0.3">
      <c r="A73" s="12"/>
      <c r="B73" s="108" t="s">
        <v>11</v>
      </c>
      <c r="C73" s="109"/>
      <c r="D73" s="110">
        <v>-153920</v>
      </c>
      <c r="E73" s="111"/>
      <c r="F73" s="1"/>
      <c r="I73">
        <v>322527.90000000002</v>
      </c>
    </row>
    <row r="74" spans="1:9" ht="16.5" thickBot="1" x14ac:dyDescent="0.3">
      <c r="A74" s="112"/>
      <c r="B74" s="113"/>
      <c r="C74" s="113"/>
      <c r="D74" s="113"/>
      <c r="E74" s="113"/>
      <c r="F74" s="114"/>
      <c r="I74">
        <v>327624.8</v>
      </c>
    </row>
    <row r="75" spans="1:9" ht="16.5" thickBot="1" x14ac:dyDescent="0.3">
      <c r="A75" s="2" t="s">
        <v>22</v>
      </c>
      <c r="B75" s="12" t="s">
        <v>5</v>
      </c>
      <c r="C75" s="12">
        <v>975</v>
      </c>
      <c r="D75" s="12">
        <v>3</v>
      </c>
      <c r="E75" s="12">
        <v>766</v>
      </c>
      <c r="F75" s="12">
        <v>4</v>
      </c>
      <c r="I75">
        <v>332567.2</v>
      </c>
    </row>
    <row r="76" spans="1:9" ht="18.75" x14ac:dyDescent="0.25">
      <c r="A76" s="3">
        <v>11</v>
      </c>
      <c r="B76" s="105" t="s">
        <v>6</v>
      </c>
      <c r="C76" s="14">
        <v>1105000</v>
      </c>
      <c r="D76" s="19">
        <v>256500</v>
      </c>
      <c r="E76" s="14">
        <v>1033000</v>
      </c>
      <c r="F76" s="19">
        <v>328517</v>
      </c>
      <c r="I76">
        <v>335792</v>
      </c>
    </row>
    <row r="77" spans="1:9" x14ac:dyDescent="0.25">
      <c r="A77" s="15"/>
      <c r="B77" s="106"/>
      <c r="C77" s="71" t="s">
        <v>7</v>
      </c>
      <c r="D77" s="71" t="s">
        <v>7</v>
      </c>
      <c r="E77" s="71" t="s">
        <v>7</v>
      </c>
      <c r="F77" s="71" t="s">
        <v>7</v>
      </c>
      <c r="I77">
        <v>339434.4</v>
      </c>
    </row>
    <row r="78" spans="1:9" x14ac:dyDescent="0.25">
      <c r="A78" s="15"/>
      <c r="B78" s="106"/>
      <c r="C78" s="16">
        <v>81</v>
      </c>
      <c r="D78" s="16">
        <v>18</v>
      </c>
      <c r="E78" s="16">
        <v>75</v>
      </c>
      <c r="F78" s="16">
        <v>24</v>
      </c>
      <c r="I78">
        <v>339386.6</v>
      </c>
    </row>
    <row r="79" spans="1:9" ht="16.5" thickBot="1" x14ac:dyDescent="0.3">
      <c r="A79" s="15"/>
      <c r="B79" s="107"/>
      <c r="C79" s="72" t="s">
        <v>8</v>
      </c>
      <c r="D79" s="72" t="s">
        <v>8</v>
      </c>
      <c r="E79" s="72" t="s">
        <v>8</v>
      </c>
      <c r="F79" s="72" t="s">
        <v>8</v>
      </c>
      <c r="I79">
        <v>343291.8</v>
      </c>
    </row>
    <row r="80" spans="1:9" ht="16.5" thickBot="1" x14ac:dyDescent="0.3">
      <c r="A80" s="15"/>
      <c r="B80" s="12" t="s">
        <v>9</v>
      </c>
      <c r="C80" s="17" t="s">
        <v>398</v>
      </c>
      <c r="D80" s="17" t="s">
        <v>399</v>
      </c>
      <c r="E80" s="17" t="s">
        <v>400</v>
      </c>
      <c r="F80" s="17" t="s">
        <v>401</v>
      </c>
      <c r="I80">
        <v>344115.1</v>
      </c>
    </row>
    <row r="81" spans="1:9" ht="26.25" thickBot="1" x14ac:dyDescent="0.3">
      <c r="A81" s="18"/>
      <c r="B81" s="11" t="s">
        <v>10</v>
      </c>
      <c r="C81" s="11">
        <v>72061.14</v>
      </c>
      <c r="D81" s="11">
        <v>72240.649999999994</v>
      </c>
      <c r="E81" s="11">
        <v>72040.03</v>
      </c>
      <c r="F81" s="11">
        <v>72267.7</v>
      </c>
      <c r="I81">
        <v>344487.6</v>
      </c>
    </row>
    <row r="82" spans="1:9" ht="25.5" customHeight="1" thickBot="1" x14ac:dyDescent="0.3">
      <c r="A82" s="12"/>
      <c r="B82" s="108" t="s">
        <v>11</v>
      </c>
      <c r="C82" s="109"/>
      <c r="D82" s="110">
        <v>72017</v>
      </c>
      <c r="E82" s="111"/>
      <c r="F82" s="1"/>
      <c r="I82">
        <v>346870.7</v>
      </c>
    </row>
    <row r="83" spans="1:9" ht="16.5" thickBot="1" x14ac:dyDescent="0.3">
      <c r="A83" s="112"/>
      <c r="B83" s="113"/>
      <c r="C83" s="113"/>
      <c r="D83" s="113"/>
      <c r="E83" s="113"/>
      <c r="F83" s="114"/>
      <c r="I83">
        <v>350322.6</v>
      </c>
    </row>
    <row r="84" spans="1:9" ht="16.5" thickBot="1" x14ac:dyDescent="0.3">
      <c r="A84" s="2" t="s">
        <v>22</v>
      </c>
      <c r="B84" s="12" t="s">
        <v>5</v>
      </c>
      <c r="C84" s="13">
        <v>2060</v>
      </c>
      <c r="D84" s="12">
        <v>8</v>
      </c>
      <c r="E84" s="13">
        <v>1316</v>
      </c>
      <c r="F84" s="12">
        <v>4</v>
      </c>
      <c r="I84">
        <v>353996.7</v>
      </c>
    </row>
    <row r="85" spans="1:9" ht="18.75" x14ac:dyDescent="0.25">
      <c r="A85" s="3">
        <v>10</v>
      </c>
      <c r="B85" s="105" t="s">
        <v>6</v>
      </c>
      <c r="C85" s="14">
        <v>2227000</v>
      </c>
      <c r="D85" s="14">
        <v>1520000</v>
      </c>
      <c r="E85" s="14">
        <v>3376000</v>
      </c>
      <c r="F85" s="19">
        <v>370987</v>
      </c>
      <c r="I85">
        <v>356721.1</v>
      </c>
    </row>
    <row r="86" spans="1:9" x14ac:dyDescent="0.25">
      <c r="A86" s="15"/>
      <c r="B86" s="106"/>
      <c r="C86" s="71" t="s">
        <v>7</v>
      </c>
      <c r="D86" s="71" t="s">
        <v>7</v>
      </c>
      <c r="E86" s="71" t="s">
        <v>7</v>
      </c>
      <c r="F86" s="71" t="s">
        <v>7</v>
      </c>
      <c r="I86">
        <v>359365.5</v>
      </c>
    </row>
    <row r="87" spans="1:9" x14ac:dyDescent="0.25">
      <c r="A87" s="15"/>
      <c r="B87" s="106"/>
      <c r="C87" s="16">
        <v>59</v>
      </c>
      <c r="D87" s="16">
        <v>40</v>
      </c>
      <c r="E87" s="16">
        <v>90</v>
      </c>
      <c r="F87" s="16">
        <v>9</v>
      </c>
      <c r="I87">
        <v>362259.3</v>
      </c>
    </row>
    <row r="88" spans="1:9" ht="16.5" thickBot="1" x14ac:dyDescent="0.3">
      <c r="A88" s="15"/>
      <c r="B88" s="107"/>
      <c r="C88" s="72" t="s">
        <v>8</v>
      </c>
      <c r="D88" s="72" t="s">
        <v>8</v>
      </c>
      <c r="E88" s="72" t="s">
        <v>8</v>
      </c>
      <c r="F88" s="72" t="s">
        <v>8</v>
      </c>
      <c r="I88">
        <v>361088.4</v>
      </c>
    </row>
    <row r="89" spans="1:9" ht="16.5" thickBot="1" x14ac:dyDescent="0.3">
      <c r="A89" s="15"/>
      <c r="B89" s="12" t="s">
        <v>9</v>
      </c>
      <c r="C89" s="17" t="s">
        <v>402</v>
      </c>
      <c r="D89" s="17" t="s">
        <v>403</v>
      </c>
      <c r="E89" s="17" t="s">
        <v>404</v>
      </c>
      <c r="F89" s="17" t="s">
        <v>405</v>
      </c>
      <c r="I89">
        <v>367632.1</v>
      </c>
    </row>
    <row r="90" spans="1:9" ht="26.25" thickBot="1" x14ac:dyDescent="0.3">
      <c r="A90" s="18"/>
      <c r="B90" s="11" t="s">
        <v>10</v>
      </c>
      <c r="C90" s="11">
        <v>70565.289999999994</v>
      </c>
      <c r="D90" s="11">
        <v>70528.5</v>
      </c>
      <c r="E90" s="11">
        <v>70548.59</v>
      </c>
      <c r="F90" s="11">
        <v>70566.53</v>
      </c>
      <c r="I90">
        <v>369729.9</v>
      </c>
    </row>
    <row r="91" spans="1:9" ht="25.5" customHeight="1" thickBot="1" x14ac:dyDescent="0.3">
      <c r="A91" s="12"/>
      <c r="B91" s="108" t="s">
        <v>11</v>
      </c>
      <c r="C91" s="109"/>
      <c r="D91" s="110">
        <v>-1149435</v>
      </c>
      <c r="E91" s="111"/>
      <c r="F91" s="1"/>
      <c r="I91">
        <v>375547.7</v>
      </c>
    </row>
    <row r="92" spans="1:9" ht="16.5" thickBot="1" x14ac:dyDescent="0.3">
      <c r="A92" s="112"/>
      <c r="B92" s="113"/>
      <c r="C92" s="113"/>
      <c r="D92" s="113"/>
      <c r="E92" s="113"/>
      <c r="F92" s="114"/>
      <c r="I92">
        <v>377012.6</v>
      </c>
    </row>
    <row r="93" spans="1:9" ht="16.5" thickBot="1" x14ac:dyDescent="0.3">
      <c r="A93" s="2" t="s">
        <v>22</v>
      </c>
      <c r="B93" s="12" t="s">
        <v>5</v>
      </c>
      <c r="C93" s="13">
        <v>1733</v>
      </c>
      <c r="D93" s="12">
        <v>12</v>
      </c>
      <c r="E93" s="12">
        <v>926</v>
      </c>
      <c r="F93" s="12">
        <v>1</v>
      </c>
      <c r="I93">
        <v>384099.6</v>
      </c>
    </row>
    <row r="94" spans="1:9" ht="18.75" x14ac:dyDescent="0.25">
      <c r="A94" s="3">
        <v>7</v>
      </c>
      <c r="B94" s="105" t="s">
        <v>6</v>
      </c>
      <c r="C94" s="14">
        <v>2239000</v>
      </c>
      <c r="D94" s="14">
        <v>1133000</v>
      </c>
      <c r="E94" s="14">
        <v>3355000</v>
      </c>
      <c r="F94" s="19">
        <v>17471</v>
      </c>
      <c r="I94">
        <v>367334.2</v>
      </c>
    </row>
    <row r="95" spans="1:9" x14ac:dyDescent="0.25">
      <c r="A95" s="15"/>
      <c r="B95" s="106"/>
      <c r="C95" s="71" t="s">
        <v>7</v>
      </c>
      <c r="D95" s="71" t="s">
        <v>7</v>
      </c>
      <c r="E95" s="71" t="s">
        <v>7</v>
      </c>
      <c r="F95" s="71" t="s">
        <v>7</v>
      </c>
      <c r="I95">
        <v>365815.5</v>
      </c>
    </row>
    <row r="96" spans="1:9" x14ac:dyDescent="0.25">
      <c r="A96" s="15"/>
      <c r="B96" s="106"/>
      <c r="C96" s="16">
        <v>66</v>
      </c>
      <c r="D96" s="16">
        <v>33</v>
      </c>
      <c r="E96" s="16">
        <v>99</v>
      </c>
      <c r="F96" s="16">
        <v>0</v>
      </c>
      <c r="I96">
        <v>358843.2</v>
      </c>
    </row>
    <row r="97" spans="1:10" ht="16.5" thickBot="1" x14ac:dyDescent="0.3">
      <c r="A97" s="15"/>
      <c r="B97" s="107"/>
      <c r="C97" s="72" t="s">
        <v>8</v>
      </c>
      <c r="D97" s="72" t="s">
        <v>8</v>
      </c>
      <c r="E97" s="72" t="s">
        <v>8</v>
      </c>
      <c r="F97" s="72" t="s">
        <v>8</v>
      </c>
      <c r="I97">
        <v>353807.7</v>
      </c>
    </row>
    <row r="98" spans="1:10" ht="16.5" thickBot="1" x14ac:dyDescent="0.3">
      <c r="A98" s="15"/>
      <c r="B98" s="12" t="s">
        <v>9</v>
      </c>
      <c r="C98" s="17" t="s">
        <v>406</v>
      </c>
      <c r="D98" s="17" t="s">
        <v>407</v>
      </c>
      <c r="E98" s="17" t="s">
        <v>408</v>
      </c>
      <c r="F98" s="17" t="s">
        <v>409</v>
      </c>
      <c r="I98">
        <v>359807.4</v>
      </c>
    </row>
    <row r="99" spans="1:10" ht="26.25" thickBot="1" x14ac:dyDescent="0.3">
      <c r="A99" s="18"/>
      <c r="B99" s="11" t="s">
        <v>10</v>
      </c>
      <c r="C99" s="11">
        <v>74238.64</v>
      </c>
      <c r="D99" s="11">
        <v>74237.78</v>
      </c>
      <c r="E99" s="11">
        <v>74237.990000000005</v>
      </c>
      <c r="F99" s="11">
        <v>74307.91</v>
      </c>
      <c r="I99">
        <v>375650.2</v>
      </c>
    </row>
    <row r="100" spans="1:10" ht="25.5" customHeight="1" thickBot="1" x14ac:dyDescent="0.3">
      <c r="A100" s="12"/>
      <c r="B100" s="108" t="s">
        <v>11</v>
      </c>
      <c r="C100" s="109"/>
      <c r="D100" s="110">
        <v>-1115467</v>
      </c>
      <c r="E100" s="111"/>
      <c r="F100" s="1"/>
      <c r="I100">
        <v>392038.40000000002</v>
      </c>
    </row>
    <row r="101" spans="1:10" ht="16.5" thickBot="1" x14ac:dyDescent="0.3">
      <c r="A101" s="112"/>
      <c r="B101" s="113"/>
      <c r="C101" s="113"/>
      <c r="D101" s="113"/>
      <c r="E101" s="113"/>
      <c r="F101" s="114"/>
      <c r="I101">
        <v>395912.6</v>
      </c>
    </row>
    <row r="102" spans="1:10" ht="16.5" thickBot="1" x14ac:dyDescent="0.3">
      <c r="A102" s="2" t="s">
        <v>22</v>
      </c>
      <c r="B102" s="12" t="s">
        <v>5</v>
      </c>
      <c r="C102" s="13">
        <v>1764</v>
      </c>
      <c r="D102" s="12">
        <v>8</v>
      </c>
      <c r="E102" s="12">
        <v>939</v>
      </c>
      <c r="F102" s="12">
        <v>5</v>
      </c>
      <c r="I102">
        <v>399445.3</v>
      </c>
    </row>
    <row r="103" spans="1:10" ht="18.75" x14ac:dyDescent="0.25">
      <c r="A103" s="3">
        <v>6</v>
      </c>
      <c r="B103" s="105" t="s">
        <v>6</v>
      </c>
      <c r="C103" s="14">
        <v>2133000</v>
      </c>
      <c r="D103" s="19">
        <v>835410</v>
      </c>
      <c r="E103" s="14">
        <v>2476000</v>
      </c>
      <c r="F103" s="19">
        <v>492542</v>
      </c>
      <c r="G103" s="4"/>
      <c r="I103">
        <v>409962.5</v>
      </c>
      <c r="J103" s="55"/>
    </row>
    <row r="104" spans="1:10" x14ac:dyDescent="0.25">
      <c r="A104" s="15"/>
      <c r="B104" s="106"/>
      <c r="C104" s="71" t="s">
        <v>7</v>
      </c>
      <c r="D104" s="71" t="s">
        <v>7</v>
      </c>
      <c r="E104" s="71" t="s">
        <v>7</v>
      </c>
      <c r="F104" s="71" t="s">
        <v>7</v>
      </c>
      <c r="I104">
        <v>410694.5</v>
      </c>
    </row>
    <row r="105" spans="1:10" x14ac:dyDescent="0.25">
      <c r="A105" s="15"/>
      <c r="B105" s="106"/>
      <c r="C105" s="16">
        <v>71</v>
      </c>
      <c r="D105" s="16">
        <v>28</v>
      </c>
      <c r="E105" s="16">
        <v>83</v>
      </c>
      <c r="F105" s="16">
        <v>16</v>
      </c>
      <c r="I105">
        <v>409807.8</v>
      </c>
    </row>
    <row r="106" spans="1:10" ht="16.5" thickBot="1" x14ac:dyDescent="0.3">
      <c r="A106" s="15"/>
      <c r="B106" s="107"/>
      <c r="C106" s="72" t="s">
        <v>8</v>
      </c>
      <c r="D106" s="72" t="s">
        <v>8</v>
      </c>
      <c r="E106" s="72" t="s">
        <v>8</v>
      </c>
      <c r="F106" s="72" t="s">
        <v>8</v>
      </c>
      <c r="I106">
        <v>406008.9</v>
      </c>
    </row>
    <row r="107" spans="1:10" ht="16.5" thickBot="1" x14ac:dyDescent="0.3">
      <c r="A107" s="15"/>
      <c r="B107" s="12" t="s">
        <v>9</v>
      </c>
      <c r="C107" s="17" t="s">
        <v>23</v>
      </c>
      <c r="D107" s="17" t="s">
        <v>24</v>
      </c>
      <c r="E107" s="17" t="s">
        <v>25</v>
      </c>
      <c r="F107" s="17" t="s">
        <v>26</v>
      </c>
      <c r="I107">
        <v>411211.5</v>
      </c>
    </row>
    <row r="108" spans="1:10" ht="26.25" thickBot="1" x14ac:dyDescent="0.3">
      <c r="A108" s="18"/>
      <c r="B108" s="11" t="s">
        <v>10</v>
      </c>
      <c r="C108" s="11">
        <v>76173.22</v>
      </c>
      <c r="D108" s="11">
        <v>76263.5</v>
      </c>
      <c r="E108" s="11">
        <v>76208.38</v>
      </c>
      <c r="F108" s="11">
        <v>76149.570000000007</v>
      </c>
      <c r="I108">
        <v>417001.9</v>
      </c>
    </row>
    <row r="109" spans="1:10" ht="25.5" customHeight="1" thickBot="1" x14ac:dyDescent="0.3">
      <c r="A109" s="12"/>
      <c r="B109" s="108" t="s">
        <v>11</v>
      </c>
      <c r="C109" s="109"/>
      <c r="D109" s="110">
        <v>-342868</v>
      </c>
      <c r="E109" s="111"/>
      <c r="F109" s="1"/>
      <c r="I109">
        <v>418312.5</v>
      </c>
    </row>
    <row r="110" spans="1:10" ht="16.5" thickBot="1" x14ac:dyDescent="0.3">
      <c r="A110" s="112"/>
      <c r="B110" s="113"/>
      <c r="C110" s="113"/>
      <c r="D110" s="113"/>
      <c r="E110" s="113"/>
      <c r="F110" s="114"/>
      <c r="I110">
        <v>420668</v>
      </c>
    </row>
    <row r="111" spans="1:10" ht="16.5" thickBot="1" x14ac:dyDescent="0.3">
      <c r="A111" s="2" t="s">
        <v>22</v>
      </c>
      <c r="B111" s="12" t="s">
        <v>5</v>
      </c>
      <c r="C111" s="13">
        <v>1155</v>
      </c>
      <c r="D111" s="12">
        <v>6</v>
      </c>
      <c r="E111" s="12">
        <v>927</v>
      </c>
      <c r="F111" s="12">
        <v>5</v>
      </c>
      <c r="I111">
        <v>427139.4</v>
      </c>
    </row>
    <row r="112" spans="1:10" ht="18.75" x14ac:dyDescent="0.25">
      <c r="A112" s="3">
        <v>5</v>
      </c>
      <c r="B112" s="105" t="s">
        <v>6</v>
      </c>
      <c r="C112" s="14">
        <v>1246000</v>
      </c>
      <c r="D112" s="14">
        <v>2456000</v>
      </c>
      <c r="E112" s="14">
        <v>1862000</v>
      </c>
      <c r="F112" s="14">
        <v>1840000</v>
      </c>
      <c r="G112" s="4"/>
      <c r="I112">
        <v>426184.9</v>
      </c>
      <c r="J112" s="55"/>
    </row>
    <row r="113" spans="1:10" x14ac:dyDescent="0.25">
      <c r="A113" s="15"/>
      <c r="B113" s="106"/>
      <c r="C113" s="71" t="s">
        <v>7</v>
      </c>
      <c r="D113" s="71" t="s">
        <v>7</v>
      </c>
      <c r="E113" s="71" t="s">
        <v>7</v>
      </c>
      <c r="F113" s="71" t="s">
        <v>7</v>
      </c>
      <c r="I113">
        <v>428217</v>
      </c>
    </row>
    <row r="114" spans="1:10" x14ac:dyDescent="0.25">
      <c r="A114" s="15"/>
      <c r="B114" s="106"/>
      <c r="C114" s="16">
        <v>33</v>
      </c>
      <c r="D114" s="16">
        <v>66</v>
      </c>
      <c r="E114" s="16">
        <v>50</v>
      </c>
      <c r="F114" s="16">
        <v>49</v>
      </c>
      <c r="I114">
        <v>438880.2</v>
      </c>
    </row>
    <row r="115" spans="1:10" ht="16.5" thickBot="1" x14ac:dyDescent="0.3">
      <c r="A115" s="15"/>
      <c r="B115" s="107"/>
      <c r="C115" s="72" t="s">
        <v>8</v>
      </c>
      <c r="D115" s="72" t="s">
        <v>8</v>
      </c>
      <c r="E115" s="72" t="s">
        <v>8</v>
      </c>
      <c r="F115" s="72" t="s">
        <v>8</v>
      </c>
      <c r="I115">
        <v>440199.1</v>
      </c>
    </row>
    <row r="116" spans="1:10" ht="16.5" thickBot="1" x14ac:dyDescent="0.3">
      <c r="A116" s="15"/>
      <c r="B116" s="12" t="s">
        <v>9</v>
      </c>
      <c r="C116" s="17" t="s">
        <v>27</v>
      </c>
      <c r="D116" s="17" t="s">
        <v>28</v>
      </c>
      <c r="E116" s="17" t="s">
        <v>29</v>
      </c>
      <c r="F116" s="17" t="s">
        <v>30</v>
      </c>
      <c r="I116">
        <v>445894.1</v>
      </c>
    </row>
    <row r="117" spans="1:10" ht="26.25" thickBot="1" x14ac:dyDescent="0.3">
      <c r="A117" s="18"/>
      <c r="B117" s="11" t="s">
        <v>10</v>
      </c>
      <c r="C117" s="11">
        <v>75347.92</v>
      </c>
      <c r="D117" s="11">
        <v>76181.67</v>
      </c>
      <c r="E117" s="11">
        <v>75047.69</v>
      </c>
      <c r="F117" s="11">
        <v>76764.710000000006</v>
      </c>
      <c r="I117">
        <v>452842.3</v>
      </c>
    </row>
    <row r="118" spans="1:10" ht="25.5" customHeight="1" thickBot="1" x14ac:dyDescent="0.3">
      <c r="A118" s="12"/>
      <c r="B118" s="108" t="s">
        <v>11</v>
      </c>
      <c r="C118" s="109"/>
      <c r="D118" s="110">
        <v>-616074</v>
      </c>
      <c r="E118" s="111"/>
      <c r="F118" s="1"/>
      <c r="I118">
        <v>454618.5</v>
      </c>
    </row>
    <row r="119" spans="1:10" ht="16.5" thickBot="1" x14ac:dyDescent="0.3">
      <c r="A119" s="112"/>
      <c r="B119" s="113"/>
      <c r="C119" s="113"/>
      <c r="D119" s="113"/>
      <c r="E119" s="113"/>
      <c r="F119" s="114"/>
      <c r="I119">
        <v>447151.9</v>
      </c>
    </row>
    <row r="120" spans="1:10" ht="16.5" thickBot="1" x14ac:dyDescent="0.3">
      <c r="A120" s="2" t="s">
        <v>22</v>
      </c>
      <c r="B120" s="12" t="s">
        <v>5</v>
      </c>
      <c r="C120" s="13">
        <v>1620</v>
      </c>
      <c r="D120" s="12">
        <v>8</v>
      </c>
      <c r="E120" s="12">
        <v>894</v>
      </c>
      <c r="F120" s="12">
        <v>10</v>
      </c>
      <c r="I120">
        <v>459079.6</v>
      </c>
    </row>
    <row r="121" spans="1:10" ht="18.75" x14ac:dyDescent="0.25">
      <c r="A121" s="3">
        <v>4</v>
      </c>
      <c r="B121" s="105" t="s">
        <v>6</v>
      </c>
      <c r="C121" s="14">
        <v>2385000</v>
      </c>
      <c r="D121" s="14">
        <v>1476000</v>
      </c>
      <c r="E121" s="14">
        <v>1608000</v>
      </c>
      <c r="F121" s="14">
        <v>2253000</v>
      </c>
      <c r="G121" s="4"/>
      <c r="I121">
        <v>461988.4</v>
      </c>
      <c r="J121" s="55"/>
    </row>
    <row r="122" spans="1:10" x14ac:dyDescent="0.25">
      <c r="A122" s="15"/>
      <c r="B122" s="106"/>
      <c r="C122" s="71" t="s">
        <v>7</v>
      </c>
      <c r="D122" s="71" t="s">
        <v>7</v>
      </c>
      <c r="E122" s="71" t="s">
        <v>7</v>
      </c>
      <c r="F122" s="71" t="s">
        <v>7</v>
      </c>
      <c r="I122">
        <v>472749.9</v>
      </c>
    </row>
    <row r="123" spans="1:10" x14ac:dyDescent="0.25">
      <c r="A123" s="15"/>
      <c r="B123" s="106"/>
      <c r="C123" s="16">
        <v>61</v>
      </c>
      <c r="D123" s="16">
        <v>38</v>
      </c>
      <c r="E123" s="16">
        <v>41</v>
      </c>
      <c r="F123" s="16">
        <v>58</v>
      </c>
      <c r="I123">
        <v>476812.7</v>
      </c>
    </row>
    <row r="124" spans="1:10" ht="16.5" thickBot="1" x14ac:dyDescent="0.3">
      <c r="A124" s="15"/>
      <c r="B124" s="107"/>
      <c r="C124" s="72" t="s">
        <v>8</v>
      </c>
      <c r="D124" s="72" t="s">
        <v>8</v>
      </c>
      <c r="E124" s="72" t="s">
        <v>8</v>
      </c>
      <c r="F124" s="72" t="s">
        <v>8</v>
      </c>
      <c r="I124">
        <v>472120.4</v>
      </c>
    </row>
    <row r="125" spans="1:10" ht="16.5" thickBot="1" x14ac:dyDescent="0.3">
      <c r="A125" s="15"/>
      <c r="B125" s="12" t="s">
        <v>9</v>
      </c>
      <c r="C125" s="17" t="s">
        <v>31</v>
      </c>
      <c r="D125" s="17" t="s">
        <v>32</v>
      </c>
      <c r="E125" s="17" t="s">
        <v>33</v>
      </c>
      <c r="F125" s="17" t="s">
        <v>34</v>
      </c>
      <c r="I125">
        <v>478755.7</v>
      </c>
    </row>
    <row r="126" spans="1:10" ht="26.25" thickBot="1" x14ac:dyDescent="0.3">
      <c r="A126" s="18"/>
      <c r="B126" s="11" t="s">
        <v>10</v>
      </c>
      <c r="C126" s="11">
        <v>74180.259999999995</v>
      </c>
      <c r="D126" s="11">
        <v>74485.960000000006</v>
      </c>
      <c r="E126" s="11">
        <v>73983.16</v>
      </c>
      <c r="F126" s="11">
        <v>74521.119999999995</v>
      </c>
      <c r="I126">
        <v>481798</v>
      </c>
    </row>
    <row r="127" spans="1:10" ht="25.5" customHeight="1" thickBot="1" x14ac:dyDescent="0.3">
      <c r="A127" s="12"/>
      <c r="B127" s="108" t="s">
        <v>11</v>
      </c>
      <c r="C127" s="109"/>
      <c r="D127" s="110">
        <v>777347</v>
      </c>
      <c r="E127" s="111"/>
      <c r="F127" s="1"/>
      <c r="I127">
        <v>498904.5</v>
      </c>
    </row>
    <row r="128" spans="1:10" ht="16.5" thickBot="1" x14ac:dyDescent="0.3">
      <c r="A128" s="112"/>
      <c r="B128" s="113"/>
      <c r="C128" s="113"/>
      <c r="D128" s="113"/>
      <c r="E128" s="113"/>
      <c r="F128" s="114"/>
      <c r="I128">
        <v>503735.8</v>
      </c>
    </row>
    <row r="129" spans="1:10" ht="16.5" thickBot="1" x14ac:dyDescent="0.3">
      <c r="A129" s="2" t="s">
        <v>22</v>
      </c>
      <c r="B129" s="12" t="s">
        <v>5</v>
      </c>
      <c r="C129" s="13">
        <v>1216</v>
      </c>
      <c r="D129" s="12">
        <v>8</v>
      </c>
      <c r="E129" s="13">
        <v>1073</v>
      </c>
      <c r="F129" s="12">
        <v>9</v>
      </c>
      <c r="I129">
        <v>518512.8</v>
      </c>
    </row>
    <row r="130" spans="1:10" ht="18.75" x14ac:dyDescent="0.25">
      <c r="A130" s="3">
        <v>3</v>
      </c>
      <c r="B130" s="105" t="s">
        <v>6</v>
      </c>
      <c r="C130" s="14">
        <v>1568000</v>
      </c>
      <c r="D130" s="14">
        <v>1368000</v>
      </c>
      <c r="E130" s="14">
        <v>2132000</v>
      </c>
      <c r="F130" s="19">
        <v>804059</v>
      </c>
      <c r="G130" s="4"/>
      <c r="I130">
        <v>523851</v>
      </c>
      <c r="J130" s="55"/>
    </row>
    <row r="131" spans="1:10" x14ac:dyDescent="0.25">
      <c r="A131" s="15"/>
      <c r="B131" s="106"/>
      <c r="C131" s="71" t="s">
        <v>7</v>
      </c>
      <c r="D131" s="71" t="s">
        <v>7</v>
      </c>
      <c r="E131" s="71" t="s">
        <v>7</v>
      </c>
      <c r="F131" s="71" t="s">
        <v>7</v>
      </c>
      <c r="I131">
        <v>505801</v>
      </c>
    </row>
    <row r="132" spans="1:10" x14ac:dyDescent="0.25">
      <c r="A132" s="15"/>
      <c r="B132" s="106"/>
      <c r="C132" s="16">
        <v>53</v>
      </c>
      <c r="D132" s="16">
        <v>46</v>
      </c>
      <c r="E132" s="16">
        <v>72</v>
      </c>
      <c r="F132" s="16">
        <v>27</v>
      </c>
      <c r="I132">
        <v>515583.4</v>
      </c>
    </row>
    <row r="133" spans="1:10" ht="16.5" thickBot="1" x14ac:dyDescent="0.3">
      <c r="A133" s="15"/>
      <c r="B133" s="107"/>
      <c r="C133" s="72" t="s">
        <v>8</v>
      </c>
      <c r="D133" s="72" t="s">
        <v>8</v>
      </c>
      <c r="E133" s="72" t="s">
        <v>8</v>
      </c>
      <c r="F133" s="72" t="s">
        <v>8</v>
      </c>
      <c r="I133">
        <v>529329</v>
      </c>
    </row>
    <row r="134" spans="1:10" ht="16.5" thickBot="1" x14ac:dyDescent="0.3">
      <c r="A134" s="15"/>
      <c r="B134" s="12" t="s">
        <v>9</v>
      </c>
      <c r="C134" s="17" t="s">
        <v>35</v>
      </c>
      <c r="D134" s="17" t="s">
        <v>36</v>
      </c>
      <c r="E134" s="17" t="s">
        <v>37</v>
      </c>
      <c r="F134" s="17" t="s">
        <v>38</v>
      </c>
      <c r="I134">
        <v>544237.69999999995</v>
      </c>
    </row>
    <row r="135" spans="1:10" ht="26.25" thickBot="1" x14ac:dyDescent="0.3">
      <c r="A135" s="18"/>
      <c r="B135" s="11" t="s">
        <v>10</v>
      </c>
      <c r="C135" s="11">
        <v>70544.67</v>
      </c>
      <c r="D135" s="11">
        <v>71787.850000000006</v>
      </c>
      <c r="E135" s="11">
        <v>70798.61</v>
      </c>
      <c r="F135" s="11">
        <v>71986.31</v>
      </c>
      <c r="I135">
        <v>555167.69999999995</v>
      </c>
    </row>
    <row r="136" spans="1:10" ht="25.5" customHeight="1" thickBot="1" x14ac:dyDescent="0.3">
      <c r="A136" s="12"/>
      <c r="B136" s="108" t="s">
        <v>11</v>
      </c>
      <c r="C136" s="109"/>
      <c r="D136" s="110">
        <v>-563813</v>
      </c>
      <c r="E136" s="111"/>
      <c r="F136" s="1"/>
      <c r="I136">
        <v>549185.1</v>
      </c>
    </row>
    <row r="137" spans="1:10" ht="16.5" thickBot="1" x14ac:dyDescent="0.3">
      <c r="A137" s="112"/>
      <c r="B137" s="113"/>
      <c r="C137" s="113"/>
      <c r="D137" s="113"/>
      <c r="E137" s="113"/>
      <c r="F137" s="114"/>
      <c r="I137">
        <v>534378.4</v>
      </c>
    </row>
    <row r="138" spans="1:10" ht="16.5" thickBot="1" x14ac:dyDescent="0.3">
      <c r="A138" s="2" t="s">
        <v>4</v>
      </c>
      <c r="B138" s="12" t="s">
        <v>5</v>
      </c>
      <c r="C138" s="12">
        <v>966</v>
      </c>
      <c r="D138" s="12">
        <v>11</v>
      </c>
      <c r="E138" s="13">
        <v>1380</v>
      </c>
      <c r="F138" s="12">
        <v>10</v>
      </c>
      <c r="I138">
        <v>519953.25</v>
      </c>
    </row>
    <row r="139" spans="1:10" ht="18.75" x14ac:dyDescent="0.25">
      <c r="A139" s="3">
        <v>30</v>
      </c>
      <c r="B139" s="105" t="s">
        <v>6</v>
      </c>
      <c r="C139" s="14">
        <v>1381000</v>
      </c>
      <c r="D139" s="14">
        <v>1149000</v>
      </c>
      <c r="E139" s="14">
        <v>2106000</v>
      </c>
      <c r="F139" s="19">
        <v>423122</v>
      </c>
      <c r="G139" s="4"/>
      <c r="I139" s="55"/>
      <c r="J139" s="55"/>
    </row>
    <row r="140" spans="1:10" x14ac:dyDescent="0.25">
      <c r="A140" s="15"/>
      <c r="B140" s="106"/>
      <c r="C140" s="71" t="s">
        <v>7</v>
      </c>
      <c r="D140" s="71" t="s">
        <v>7</v>
      </c>
      <c r="E140" s="71" t="s">
        <v>7</v>
      </c>
      <c r="F140" s="71" t="s">
        <v>7</v>
      </c>
    </row>
    <row r="141" spans="1:10" x14ac:dyDescent="0.25">
      <c r="A141" s="15"/>
      <c r="B141" s="106"/>
      <c r="C141" s="16">
        <v>54</v>
      </c>
      <c r="D141" s="16">
        <v>45</v>
      </c>
      <c r="E141" s="16">
        <v>83</v>
      </c>
      <c r="F141" s="16">
        <v>16</v>
      </c>
    </row>
    <row r="142" spans="1:10" ht="16.5" thickBot="1" x14ac:dyDescent="0.3">
      <c r="A142" s="15"/>
      <c r="B142" s="107"/>
      <c r="C142" s="72" t="s">
        <v>8</v>
      </c>
      <c r="D142" s="72" t="s">
        <v>8</v>
      </c>
      <c r="E142" s="72" t="s">
        <v>8</v>
      </c>
      <c r="F142" s="72" t="s">
        <v>8</v>
      </c>
    </row>
    <row r="143" spans="1:10" ht="16.5" thickBot="1" x14ac:dyDescent="0.3">
      <c r="A143" s="15"/>
      <c r="B143" s="12" t="s">
        <v>9</v>
      </c>
      <c r="C143" s="17" t="s">
        <v>39</v>
      </c>
      <c r="D143" s="17" t="s">
        <v>40</v>
      </c>
      <c r="E143" s="17" t="s">
        <v>41</v>
      </c>
      <c r="F143" s="17" t="s">
        <v>42</v>
      </c>
    </row>
    <row r="144" spans="1:10" ht="26.25" thickBot="1" x14ac:dyDescent="0.3">
      <c r="A144" s="18"/>
      <c r="B144" s="11" t="s">
        <v>10</v>
      </c>
      <c r="C144" s="11">
        <v>69675.399999999994</v>
      </c>
      <c r="D144" s="11">
        <v>69894.58</v>
      </c>
      <c r="E144" s="11">
        <v>69735.42</v>
      </c>
      <c r="F144" s="11">
        <v>69971.67</v>
      </c>
    </row>
    <row r="145" spans="1:10" ht="25.5" customHeight="1" thickBot="1" x14ac:dyDescent="0.3">
      <c r="A145" s="12"/>
      <c r="B145" s="108" t="s">
        <v>11</v>
      </c>
      <c r="C145" s="109"/>
      <c r="D145" s="110">
        <v>-725623</v>
      </c>
      <c r="E145" s="111"/>
      <c r="F145" s="1"/>
    </row>
    <row r="146" spans="1:10" ht="16.5" thickBot="1" x14ac:dyDescent="0.3">
      <c r="A146" s="112"/>
      <c r="B146" s="113"/>
      <c r="C146" s="113"/>
      <c r="D146" s="113"/>
      <c r="E146" s="113"/>
      <c r="F146" s="114"/>
    </row>
    <row r="147" spans="1:10" ht="16.5" thickBot="1" x14ac:dyDescent="0.3">
      <c r="A147" s="2" t="s">
        <v>4</v>
      </c>
      <c r="B147" s="12" t="s">
        <v>5</v>
      </c>
      <c r="C147" s="13">
        <v>1028</v>
      </c>
      <c r="D147" s="12">
        <v>9</v>
      </c>
      <c r="E147" s="13">
        <v>1729</v>
      </c>
      <c r="F147" s="12">
        <v>6</v>
      </c>
    </row>
    <row r="148" spans="1:10" ht="18.75" x14ac:dyDescent="0.25">
      <c r="A148" s="3">
        <v>29</v>
      </c>
      <c r="B148" s="105" t="s">
        <v>6</v>
      </c>
      <c r="C148" s="14">
        <v>2519000</v>
      </c>
      <c r="D148" s="14">
        <v>1739000</v>
      </c>
      <c r="E148" s="14">
        <v>2891000</v>
      </c>
      <c r="F148" s="14">
        <v>1366000</v>
      </c>
      <c r="G148" s="4"/>
      <c r="I148" s="55"/>
      <c r="J148" s="55"/>
    </row>
    <row r="149" spans="1:10" x14ac:dyDescent="0.25">
      <c r="A149" s="15"/>
      <c r="B149" s="106"/>
      <c r="C149" s="71" t="s">
        <v>7</v>
      </c>
      <c r="D149" s="71" t="s">
        <v>7</v>
      </c>
      <c r="E149" s="71" t="s">
        <v>7</v>
      </c>
      <c r="F149" s="71" t="s">
        <v>7</v>
      </c>
    </row>
    <row r="150" spans="1:10" x14ac:dyDescent="0.25">
      <c r="A150" s="15"/>
      <c r="B150" s="106"/>
      <c r="C150" s="16">
        <v>59</v>
      </c>
      <c r="D150" s="16">
        <v>40</v>
      </c>
      <c r="E150" s="16">
        <v>67</v>
      </c>
      <c r="F150" s="16">
        <v>32</v>
      </c>
    </row>
    <row r="151" spans="1:10" ht="16.5" thickBot="1" x14ac:dyDescent="0.3">
      <c r="A151" s="15"/>
      <c r="B151" s="107"/>
      <c r="C151" s="72" t="s">
        <v>8</v>
      </c>
      <c r="D151" s="72" t="s">
        <v>8</v>
      </c>
      <c r="E151" s="72" t="s">
        <v>8</v>
      </c>
      <c r="F151" s="72" t="s">
        <v>8</v>
      </c>
    </row>
    <row r="152" spans="1:10" ht="16.5" thickBot="1" x14ac:dyDescent="0.3">
      <c r="A152" s="15"/>
      <c r="B152" s="12" t="s">
        <v>9</v>
      </c>
      <c r="C152" s="17" t="s">
        <v>43</v>
      </c>
      <c r="D152" s="17" t="s">
        <v>44</v>
      </c>
      <c r="E152" s="17" t="s">
        <v>45</v>
      </c>
      <c r="F152" s="17" t="s">
        <v>46</v>
      </c>
    </row>
    <row r="153" spans="1:10" ht="26.25" thickBot="1" x14ac:dyDescent="0.3">
      <c r="A153" s="18"/>
      <c r="B153" s="11" t="s">
        <v>10</v>
      </c>
      <c r="C153" s="11">
        <v>69071.92</v>
      </c>
      <c r="D153" s="11">
        <v>68939.23</v>
      </c>
      <c r="E153" s="11">
        <v>68839.72</v>
      </c>
      <c r="F153" s="11">
        <v>69394.350000000006</v>
      </c>
    </row>
    <row r="154" spans="1:10" ht="25.5" customHeight="1" thickBot="1" x14ac:dyDescent="0.3">
      <c r="A154" s="12"/>
      <c r="B154" s="108" t="s">
        <v>11</v>
      </c>
      <c r="C154" s="109"/>
      <c r="D154" s="110">
        <v>-372397</v>
      </c>
      <c r="E154" s="111"/>
      <c r="F154" s="1"/>
    </row>
    <row r="155" spans="1:10" ht="16.5" thickBot="1" x14ac:dyDescent="0.3">
      <c r="A155" s="112"/>
      <c r="B155" s="113"/>
      <c r="C155" s="113"/>
      <c r="D155" s="113"/>
      <c r="E155" s="113"/>
      <c r="F155" s="114"/>
    </row>
    <row r="156" spans="1:10" ht="16.5" thickBot="1" x14ac:dyDescent="0.3">
      <c r="A156" s="2" t="s">
        <v>4</v>
      </c>
      <c r="B156" s="12" t="s">
        <v>5</v>
      </c>
      <c r="C156" s="13">
        <v>1773</v>
      </c>
      <c r="D156" s="12">
        <v>9</v>
      </c>
      <c r="E156" s="13">
        <v>1631</v>
      </c>
      <c r="F156" s="12">
        <v>10</v>
      </c>
    </row>
    <row r="157" spans="1:10" ht="18.75" x14ac:dyDescent="0.25">
      <c r="A157" s="3">
        <v>28</v>
      </c>
      <c r="B157" s="105" t="s">
        <v>6</v>
      </c>
      <c r="C157" s="14">
        <v>3949000</v>
      </c>
      <c r="D157" s="14">
        <v>2557000</v>
      </c>
      <c r="E157" s="14">
        <v>5556000</v>
      </c>
      <c r="F157" s="19">
        <v>950354</v>
      </c>
      <c r="G157" s="4"/>
      <c r="I157" s="55"/>
      <c r="J157" s="55"/>
    </row>
    <row r="158" spans="1:10" x14ac:dyDescent="0.25">
      <c r="A158" s="15"/>
      <c r="B158" s="106"/>
      <c r="C158" s="71" t="s">
        <v>7</v>
      </c>
      <c r="D158" s="71" t="s">
        <v>7</v>
      </c>
      <c r="E158" s="71" t="s">
        <v>7</v>
      </c>
      <c r="F158" s="71" t="s">
        <v>7</v>
      </c>
    </row>
    <row r="159" spans="1:10" x14ac:dyDescent="0.25">
      <c r="A159" s="15"/>
      <c r="B159" s="106"/>
      <c r="C159" s="16">
        <v>60</v>
      </c>
      <c r="D159" s="16">
        <v>39</v>
      </c>
      <c r="E159" s="16">
        <v>85</v>
      </c>
      <c r="F159" s="16">
        <v>14</v>
      </c>
    </row>
    <row r="160" spans="1:10" ht="16.5" thickBot="1" x14ac:dyDescent="0.3">
      <c r="A160" s="15"/>
      <c r="B160" s="107"/>
      <c r="C160" s="72" t="s">
        <v>8</v>
      </c>
      <c r="D160" s="72" t="s">
        <v>8</v>
      </c>
      <c r="E160" s="72" t="s">
        <v>8</v>
      </c>
      <c r="F160" s="72" t="s">
        <v>8</v>
      </c>
    </row>
    <row r="161" spans="1:10" ht="16.5" thickBot="1" x14ac:dyDescent="0.3">
      <c r="A161" s="15"/>
      <c r="B161" s="12" t="s">
        <v>9</v>
      </c>
      <c r="C161" s="17" t="s">
        <v>47</v>
      </c>
      <c r="D161" s="17" t="s">
        <v>48</v>
      </c>
      <c r="E161" s="17" t="s">
        <v>49</v>
      </c>
      <c r="F161" s="17" t="s">
        <v>50</v>
      </c>
    </row>
    <row r="162" spans="1:10" ht="26.25" thickBot="1" x14ac:dyDescent="0.3">
      <c r="A162" s="18"/>
      <c r="B162" s="11" t="s">
        <v>10</v>
      </c>
      <c r="C162" s="11">
        <v>69402.97</v>
      </c>
      <c r="D162" s="11">
        <v>69391.28</v>
      </c>
      <c r="E162" s="11">
        <v>69360.539999999994</v>
      </c>
      <c r="F162" s="11">
        <v>69619.56</v>
      </c>
    </row>
    <row r="163" spans="1:10" ht="25.5" customHeight="1" thickBot="1" x14ac:dyDescent="0.3">
      <c r="A163" s="12"/>
      <c r="B163" s="108" t="s">
        <v>11</v>
      </c>
      <c r="C163" s="109"/>
      <c r="D163" s="110">
        <v>-1606712</v>
      </c>
      <c r="E163" s="111"/>
      <c r="F163" s="1"/>
    </row>
    <row r="164" spans="1:10" ht="16.5" thickBot="1" x14ac:dyDescent="0.3">
      <c r="A164" s="112"/>
      <c r="B164" s="113"/>
      <c r="C164" s="113"/>
      <c r="D164" s="113"/>
      <c r="E164" s="113"/>
      <c r="F164" s="114"/>
    </row>
    <row r="165" spans="1:10" ht="16.5" thickBot="1" x14ac:dyDescent="0.3">
      <c r="A165" s="2" t="s">
        <v>4</v>
      </c>
      <c r="B165" s="12" t="s">
        <v>5</v>
      </c>
      <c r="C165" s="13">
        <v>1411</v>
      </c>
      <c r="D165" s="12">
        <v>10</v>
      </c>
      <c r="E165" s="12">
        <v>916</v>
      </c>
      <c r="F165" s="12">
        <v>12</v>
      </c>
    </row>
    <row r="166" spans="1:10" ht="18.75" x14ac:dyDescent="0.25">
      <c r="A166" s="3">
        <v>27</v>
      </c>
      <c r="B166" s="105" t="s">
        <v>6</v>
      </c>
      <c r="C166" s="14">
        <v>7783000</v>
      </c>
      <c r="D166" s="14">
        <v>3109000</v>
      </c>
      <c r="E166" s="14">
        <v>3164000</v>
      </c>
      <c r="F166" s="14">
        <v>7728000</v>
      </c>
      <c r="G166" s="4"/>
      <c r="I166" s="55"/>
      <c r="J166" s="55"/>
    </row>
    <row r="167" spans="1:10" x14ac:dyDescent="0.25">
      <c r="A167" s="15"/>
      <c r="B167" s="106"/>
      <c r="C167" s="71" t="s">
        <v>7</v>
      </c>
      <c r="D167" s="71" t="s">
        <v>7</v>
      </c>
      <c r="E167" s="71" t="s">
        <v>7</v>
      </c>
      <c r="F167" s="71" t="s">
        <v>7</v>
      </c>
    </row>
    <row r="168" spans="1:10" x14ac:dyDescent="0.25">
      <c r="A168" s="15"/>
      <c r="B168" s="106"/>
      <c r="C168" s="16">
        <v>71</v>
      </c>
      <c r="D168" s="16">
        <v>28</v>
      </c>
      <c r="E168" s="16">
        <v>29</v>
      </c>
      <c r="F168" s="16">
        <v>70</v>
      </c>
    </row>
    <row r="169" spans="1:10" ht="16.5" thickBot="1" x14ac:dyDescent="0.3">
      <c r="A169" s="15"/>
      <c r="B169" s="107"/>
      <c r="C169" s="72" t="s">
        <v>8</v>
      </c>
      <c r="D169" s="72" t="s">
        <v>8</v>
      </c>
      <c r="E169" s="72" t="s">
        <v>8</v>
      </c>
      <c r="F169" s="72" t="s">
        <v>8</v>
      </c>
    </row>
    <row r="170" spans="1:10" ht="16.5" thickBot="1" x14ac:dyDescent="0.3">
      <c r="A170" s="15"/>
      <c r="B170" s="12" t="s">
        <v>9</v>
      </c>
      <c r="C170" s="17" t="s">
        <v>51</v>
      </c>
      <c r="D170" s="17" t="s">
        <v>52</v>
      </c>
      <c r="E170" s="17" t="s">
        <v>53</v>
      </c>
      <c r="F170" s="17" t="s">
        <v>54</v>
      </c>
    </row>
    <row r="171" spans="1:10" ht="26.25" thickBot="1" x14ac:dyDescent="0.3">
      <c r="A171" s="18"/>
      <c r="B171" s="11" t="s">
        <v>10</v>
      </c>
      <c r="C171" s="11">
        <v>66611.31</v>
      </c>
      <c r="D171" s="11">
        <v>66611.58</v>
      </c>
      <c r="E171" s="11">
        <v>66607.47</v>
      </c>
      <c r="F171" s="11">
        <v>66612.990000000005</v>
      </c>
    </row>
    <row r="172" spans="1:10" ht="25.5" customHeight="1" thickBot="1" x14ac:dyDescent="0.3">
      <c r="A172" s="12"/>
      <c r="B172" s="108" t="s">
        <v>11</v>
      </c>
      <c r="C172" s="109"/>
      <c r="D172" s="115">
        <v>4619000</v>
      </c>
      <c r="E172" s="116"/>
      <c r="F172" s="1"/>
    </row>
    <row r="173" spans="1:10" ht="16.5" thickBot="1" x14ac:dyDescent="0.3">
      <c r="A173" s="112"/>
      <c r="B173" s="113"/>
      <c r="C173" s="113"/>
      <c r="D173" s="113"/>
      <c r="E173" s="113"/>
      <c r="F173" s="114"/>
    </row>
    <row r="174" spans="1:10" ht="16.5" thickBot="1" x14ac:dyDescent="0.3">
      <c r="A174" s="2" t="s">
        <v>4</v>
      </c>
      <c r="B174" s="12" t="s">
        <v>5</v>
      </c>
      <c r="C174" s="12">
        <v>833</v>
      </c>
      <c r="D174" s="12">
        <v>9</v>
      </c>
      <c r="E174" s="12">
        <v>990</v>
      </c>
      <c r="F174" s="12">
        <v>17</v>
      </c>
    </row>
    <row r="175" spans="1:10" ht="18.75" x14ac:dyDescent="0.25">
      <c r="A175" s="3">
        <v>26</v>
      </c>
      <c r="B175" s="105" t="s">
        <v>6</v>
      </c>
      <c r="C175" s="14">
        <v>7530000</v>
      </c>
      <c r="D175" s="14">
        <v>1738000</v>
      </c>
      <c r="E175" s="14">
        <v>2880000</v>
      </c>
      <c r="F175" s="14">
        <v>6387000</v>
      </c>
      <c r="G175" s="4"/>
      <c r="I175" s="55"/>
      <c r="J175" s="55"/>
    </row>
    <row r="176" spans="1:10" x14ac:dyDescent="0.25">
      <c r="A176" s="15"/>
      <c r="B176" s="106"/>
      <c r="C176" s="71" t="s">
        <v>7</v>
      </c>
      <c r="D176" s="71" t="s">
        <v>7</v>
      </c>
      <c r="E176" s="71" t="s">
        <v>7</v>
      </c>
      <c r="F176" s="71" t="s">
        <v>7</v>
      </c>
    </row>
    <row r="177" spans="1:10" x14ac:dyDescent="0.25">
      <c r="A177" s="15"/>
      <c r="B177" s="106"/>
      <c r="C177" s="16">
        <v>81</v>
      </c>
      <c r="D177" s="16">
        <v>18</v>
      </c>
      <c r="E177" s="16">
        <v>31</v>
      </c>
      <c r="F177" s="16">
        <v>68</v>
      </c>
    </row>
    <row r="178" spans="1:10" ht="16.5" thickBot="1" x14ac:dyDescent="0.3">
      <c r="A178" s="15"/>
      <c r="B178" s="107"/>
      <c r="C178" s="72" t="s">
        <v>8</v>
      </c>
      <c r="D178" s="72" t="s">
        <v>8</v>
      </c>
      <c r="E178" s="72" t="s">
        <v>8</v>
      </c>
      <c r="F178" s="72" t="s">
        <v>8</v>
      </c>
    </row>
    <row r="179" spans="1:10" ht="16.5" thickBot="1" x14ac:dyDescent="0.3">
      <c r="A179" s="15"/>
      <c r="B179" s="12" t="s">
        <v>9</v>
      </c>
      <c r="C179" s="17" t="s">
        <v>55</v>
      </c>
      <c r="D179" s="17" t="s">
        <v>56</v>
      </c>
      <c r="E179" s="17" t="s">
        <v>57</v>
      </c>
      <c r="F179" s="17" t="s">
        <v>58</v>
      </c>
    </row>
    <row r="180" spans="1:10" ht="26.25" thickBot="1" x14ac:dyDescent="0.3">
      <c r="A180" s="18"/>
      <c r="B180" s="11" t="s">
        <v>10</v>
      </c>
      <c r="C180" s="11">
        <v>63440.44</v>
      </c>
      <c r="D180" s="11">
        <v>63443</v>
      </c>
      <c r="E180" s="11">
        <v>63438.85</v>
      </c>
      <c r="F180" s="11">
        <v>63441.85</v>
      </c>
    </row>
    <row r="181" spans="1:10" ht="25.5" customHeight="1" thickBot="1" x14ac:dyDescent="0.3">
      <c r="A181" s="12"/>
      <c r="B181" s="108" t="s">
        <v>11</v>
      </c>
      <c r="C181" s="109"/>
      <c r="D181" s="115">
        <v>4650000</v>
      </c>
      <c r="E181" s="116"/>
      <c r="F181" s="1"/>
    </row>
    <row r="182" spans="1:10" ht="16.5" thickBot="1" x14ac:dyDescent="0.3">
      <c r="A182" s="112"/>
      <c r="B182" s="113"/>
      <c r="C182" s="113"/>
      <c r="D182" s="113"/>
      <c r="E182" s="113"/>
      <c r="F182" s="114"/>
    </row>
    <row r="183" spans="1:10" ht="16.5" thickBot="1" x14ac:dyDescent="0.3">
      <c r="A183" s="2" t="s">
        <v>4</v>
      </c>
      <c r="B183" s="12" t="s">
        <v>5</v>
      </c>
      <c r="C183" s="12">
        <v>192</v>
      </c>
      <c r="D183" s="12">
        <v>2</v>
      </c>
      <c r="E183" s="13">
        <v>1319</v>
      </c>
      <c r="F183" s="12">
        <v>8</v>
      </c>
    </row>
    <row r="184" spans="1:10" ht="18.75" x14ac:dyDescent="0.25">
      <c r="A184" s="3">
        <v>23</v>
      </c>
      <c r="B184" s="105" t="s">
        <v>6</v>
      </c>
      <c r="C184" s="14">
        <v>1592000</v>
      </c>
      <c r="D184" s="19">
        <v>927020</v>
      </c>
      <c r="E184" s="14">
        <v>2185000</v>
      </c>
      <c r="F184" s="19">
        <v>333725</v>
      </c>
      <c r="G184" s="4"/>
      <c r="I184" s="55"/>
      <c r="J184" s="55"/>
    </row>
    <row r="185" spans="1:10" x14ac:dyDescent="0.25">
      <c r="A185" s="15"/>
      <c r="B185" s="106"/>
      <c r="C185" s="71" t="s">
        <v>7</v>
      </c>
      <c r="D185" s="71" t="s">
        <v>7</v>
      </c>
      <c r="E185" s="71" t="s">
        <v>7</v>
      </c>
      <c r="F185" s="71" t="s">
        <v>7</v>
      </c>
    </row>
    <row r="186" spans="1:10" x14ac:dyDescent="0.25">
      <c r="A186" s="15"/>
      <c r="B186" s="106"/>
      <c r="C186" s="16">
        <v>63</v>
      </c>
      <c r="D186" s="16">
        <v>36</v>
      </c>
      <c r="E186" s="16">
        <v>86</v>
      </c>
      <c r="F186" s="16">
        <v>13</v>
      </c>
    </row>
    <row r="187" spans="1:10" ht="16.5" thickBot="1" x14ac:dyDescent="0.3">
      <c r="A187" s="15"/>
      <c r="B187" s="107"/>
      <c r="C187" s="72" t="s">
        <v>8</v>
      </c>
      <c r="D187" s="72" t="s">
        <v>8</v>
      </c>
      <c r="E187" s="72" t="s">
        <v>8</v>
      </c>
      <c r="F187" s="72" t="s">
        <v>8</v>
      </c>
    </row>
    <row r="188" spans="1:10" ht="16.5" thickBot="1" x14ac:dyDescent="0.3">
      <c r="A188" s="15"/>
      <c r="B188" s="12" t="s">
        <v>9</v>
      </c>
      <c r="C188" s="17" t="s">
        <v>59</v>
      </c>
      <c r="D188" s="17" t="s">
        <v>60</v>
      </c>
      <c r="E188" s="17" t="s">
        <v>61</v>
      </c>
      <c r="F188" s="17" t="s">
        <v>62</v>
      </c>
    </row>
    <row r="189" spans="1:10" ht="26.25" thickBot="1" x14ac:dyDescent="0.3">
      <c r="A189" s="18"/>
      <c r="B189" s="11" t="s">
        <v>10</v>
      </c>
      <c r="C189" s="11">
        <v>60443.01</v>
      </c>
      <c r="D189" s="11">
        <v>60384.959999999999</v>
      </c>
      <c r="E189" s="11">
        <v>60402.16</v>
      </c>
      <c r="F189" s="11">
        <v>60549.25</v>
      </c>
    </row>
    <row r="190" spans="1:10" ht="25.5" customHeight="1" thickBot="1" x14ac:dyDescent="0.3">
      <c r="A190" s="12"/>
      <c r="B190" s="108" t="s">
        <v>11</v>
      </c>
      <c r="C190" s="109"/>
      <c r="D190" s="110">
        <v>-593295</v>
      </c>
      <c r="E190" s="111"/>
      <c r="F190" s="1"/>
    </row>
    <row r="191" spans="1:10" ht="16.5" thickBot="1" x14ac:dyDescent="0.3">
      <c r="A191" s="112"/>
      <c r="B191" s="113"/>
      <c r="C191" s="113"/>
      <c r="D191" s="113"/>
      <c r="E191" s="113"/>
      <c r="F191" s="114"/>
    </row>
    <row r="192" spans="1:10" ht="16.5" thickBot="1" x14ac:dyDescent="0.3">
      <c r="A192" s="2" t="s">
        <v>4</v>
      </c>
      <c r="B192" s="12" t="s">
        <v>5</v>
      </c>
      <c r="C192" s="12">
        <v>614</v>
      </c>
      <c r="D192" s="12">
        <v>5</v>
      </c>
      <c r="E192" s="13">
        <v>1546</v>
      </c>
      <c r="F192" s="12">
        <v>9</v>
      </c>
    </row>
    <row r="193" spans="1:10" ht="18.75" x14ac:dyDescent="0.25">
      <c r="A193" s="3">
        <v>21</v>
      </c>
      <c r="B193" s="105" t="s">
        <v>6</v>
      </c>
      <c r="C193" s="14">
        <v>1629000</v>
      </c>
      <c r="D193" s="14">
        <v>1211000</v>
      </c>
      <c r="E193" s="14">
        <v>1599000</v>
      </c>
      <c r="F193" s="14">
        <v>1241000</v>
      </c>
      <c r="G193" s="4"/>
      <c r="I193" s="55"/>
      <c r="J193" s="55"/>
    </row>
    <row r="194" spans="1:10" x14ac:dyDescent="0.25">
      <c r="A194" s="15"/>
      <c r="B194" s="106"/>
      <c r="C194" s="71" t="s">
        <v>7</v>
      </c>
      <c r="D194" s="71" t="s">
        <v>7</v>
      </c>
      <c r="E194" s="71" t="s">
        <v>7</v>
      </c>
      <c r="F194" s="71" t="s">
        <v>7</v>
      </c>
    </row>
    <row r="195" spans="1:10" x14ac:dyDescent="0.25">
      <c r="A195" s="15"/>
      <c r="B195" s="106"/>
      <c r="C195" s="16">
        <v>57</v>
      </c>
      <c r="D195" s="16">
        <v>42</v>
      </c>
      <c r="E195" s="16">
        <v>56</v>
      </c>
      <c r="F195" s="16">
        <v>43</v>
      </c>
    </row>
    <row r="196" spans="1:10" ht="16.5" thickBot="1" x14ac:dyDescent="0.3">
      <c r="A196" s="15"/>
      <c r="B196" s="107"/>
      <c r="C196" s="72" t="s">
        <v>8</v>
      </c>
      <c r="D196" s="72" t="s">
        <v>8</v>
      </c>
      <c r="E196" s="72" t="s">
        <v>8</v>
      </c>
      <c r="F196" s="72" t="s">
        <v>8</v>
      </c>
    </row>
    <row r="197" spans="1:10" ht="16.5" thickBot="1" x14ac:dyDescent="0.3">
      <c r="A197" s="15"/>
      <c r="B197" s="12" t="s">
        <v>9</v>
      </c>
      <c r="C197" s="17" t="s">
        <v>63</v>
      </c>
      <c r="D197" s="17" t="s">
        <v>64</v>
      </c>
      <c r="E197" s="17" t="s">
        <v>65</v>
      </c>
      <c r="F197" s="17" t="s">
        <v>66</v>
      </c>
    </row>
    <row r="198" spans="1:10" ht="26.25" thickBot="1" x14ac:dyDescent="0.3">
      <c r="A198" s="18"/>
      <c r="B198" s="11" t="s">
        <v>10</v>
      </c>
      <c r="C198" s="11">
        <v>58034.25</v>
      </c>
      <c r="D198" s="11">
        <v>58031.57</v>
      </c>
      <c r="E198" s="11">
        <v>58047.58</v>
      </c>
      <c r="F198" s="11">
        <v>58014.45</v>
      </c>
    </row>
    <row r="199" spans="1:10" ht="25.5" customHeight="1" thickBot="1" x14ac:dyDescent="0.3">
      <c r="A199" s="12"/>
      <c r="B199" s="108" t="s">
        <v>11</v>
      </c>
      <c r="C199" s="109"/>
      <c r="D199" s="110">
        <v>29976</v>
      </c>
      <c r="E199" s="111"/>
      <c r="F199" s="1"/>
    </row>
    <row r="200" spans="1:10" ht="16.5" thickBot="1" x14ac:dyDescent="0.3">
      <c r="A200" s="112"/>
      <c r="B200" s="113"/>
      <c r="C200" s="113"/>
      <c r="D200" s="113"/>
      <c r="E200" s="113"/>
      <c r="F200" s="114"/>
    </row>
    <row r="201" spans="1:10" ht="16.5" thickBot="1" x14ac:dyDescent="0.3">
      <c r="A201" s="2" t="s">
        <v>4</v>
      </c>
      <c r="B201" s="12" t="s">
        <v>5</v>
      </c>
      <c r="C201" s="12">
        <v>818</v>
      </c>
      <c r="D201" s="12">
        <v>7</v>
      </c>
      <c r="E201" s="13">
        <v>1026</v>
      </c>
      <c r="F201" s="12">
        <v>5</v>
      </c>
    </row>
    <row r="202" spans="1:10" ht="18.75" x14ac:dyDescent="0.25">
      <c r="A202" s="3">
        <v>20</v>
      </c>
      <c r="B202" s="105" t="s">
        <v>6</v>
      </c>
      <c r="C202" s="14">
        <v>1189000</v>
      </c>
      <c r="D202" s="14">
        <v>1129000</v>
      </c>
      <c r="E202" s="14">
        <v>2043000</v>
      </c>
      <c r="F202" s="19">
        <v>274491</v>
      </c>
      <c r="G202" s="4"/>
      <c r="I202" s="55"/>
      <c r="J202" s="55"/>
    </row>
    <row r="203" spans="1:10" x14ac:dyDescent="0.25">
      <c r="A203" s="15"/>
      <c r="B203" s="106"/>
      <c r="C203" s="71" t="s">
        <v>7</v>
      </c>
      <c r="D203" s="71" t="s">
        <v>7</v>
      </c>
      <c r="E203" s="71" t="s">
        <v>7</v>
      </c>
      <c r="F203" s="71" t="s">
        <v>7</v>
      </c>
    </row>
    <row r="204" spans="1:10" x14ac:dyDescent="0.25">
      <c r="A204" s="15"/>
      <c r="B204" s="106"/>
      <c r="C204" s="16">
        <v>51</v>
      </c>
      <c r="D204" s="16">
        <v>48</v>
      </c>
      <c r="E204" s="16">
        <v>88</v>
      </c>
      <c r="F204" s="16">
        <v>11</v>
      </c>
    </row>
    <row r="205" spans="1:10" ht="16.5" thickBot="1" x14ac:dyDescent="0.3">
      <c r="A205" s="15"/>
      <c r="B205" s="107"/>
      <c r="C205" s="72" t="s">
        <v>8</v>
      </c>
      <c r="D205" s="72" t="s">
        <v>8</v>
      </c>
      <c r="E205" s="72" t="s">
        <v>8</v>
      </c>
      <c r="F205" s="72" t="s">
        <v>8</v>
      </c>
    </row>
    <row r="206" spans="1:10" ht="16.5" thickBot="1" x14ac:dyDescent="0.3">
      <c r="A206" s="15"/>
      <c r="B206" s="12" t="s">
        <v>9</v>
      </c>
      <c r="C206" s="17" t="s">
        <v>67</v>
      </c>
      <c r="D206" s="17" t="s">
        <v>68</v>
      </c>
      <c r="E206" s="17" t="s">
        <v>69</v>
      </c>
      <c r="F206" s="17" t="s">
        <v>70</v>
      </c>
    </row>
    <row r="207" spans="1:10" ht="26.25" thickBot="1" x14ac:dyDescent="0.3">
      <c r="A207" s="18"/>
      <c r="B207" s="11" t="s">
        <v>10</v>
      </c>
      <c r="C207" s="11">
        <v>57867.199999999997</v>
      </c>
      <c r="D207" s="11">
        <v>57885.27</v>
      </c>
      <c r="E207" s="11">
        <v>57873.46</v>
      </c>
      <c r="F207" s="11">
        <v>57894.91</v>
      </c>
    </row>
    <row r="208" spans="1:10" ht="25.5" customHeight="1" thickBot="1" x14ac:dyDescent="0.3">
      <c r="A208" s="12"/>
      <c r="B208" s="108" t="s">
        <v>11</v>
      </c>
      <c r="C208" s="109"/>
      <c r="D208" s="110">
        <v>-854453</v>
      </c>
      <c r="E208" s="111"/>
      <c r="F208" s="1"/>
    </row>
    <row r="209" spans="1:10" ht="16.5" thickBot="1" x14ac:dyDescent="0.3">
      <c r="A209" s="112"/>
      <c r="B209" s="113"/>
      <c r="C209" s="113"/>
      <c r="D209" s="113"/>
      <c r="E209" s="113"/>
      <c r="F209" s="114"/>
    </row>
    <row r="210" spans="1:10" ht="16.5" thickBot="1" x14ac:dyDescent="0.3">
      <c r="A210" s="2" t="s">
        <v>4</v>
      </c>
      <c r="B210" s="12" t="s">
        <v>5</v>
      </c>
      <c r="C210" s="12">
        <v>705</v>
      </c>
      <c r="D210" s="12">
        <v>4</v>
      </c>
      <c r="E210" s="13">
        <v>1066</v>
      </c>
      <c r="F210" s="12">
        <v>2</v>
      </c>
    </row>
    <row r="211" spans="1:10" ht="18.75" x14ac:dyDescent="0.25">
      <c r="A211" s="3">
        <v>19</v>
      </c>
      <c r="B211" s="105" t="s">
        <v>6</v>
      </c>
      <c r="C211" s="14">
        <v>1549000</v>
      </c>
      <c r="D211" s="19">
        <v>732782</v>
      </c>
      <c r="E211" s="14">
        <v>1859000</v>
      </c>
      <c r="F211" s="19">
        <v>423087</v>
      </c>
      <c r="G211" s="4"/>
      <c r="I211" s="55"/>
      <c r="J211" s="55"/>
    </row>
    <row r="212" spans="1:10" x14ac:dyDescent="0.25">
      <c r="A212" s="15"/>
      <c r="B212" s="106"/>
      <c r="C212" s="71" t="s">
        <v>7</v>
      </c>
      <c r="D212" s="71" t="s">
        <v>7</v>
      </c>
      <c r="E212" s="71" t="s">
        <v>7</v>
      </c>
      <c r="F212" s="71" t="s">
        <v>7</v>
      </c>
    </row>
    <row r="213" spans="1:10" x14ac:dyDescent="0.25">
      <c r="A213" s="15"/>
      <c r="B213" s="106"/>
      <c r="C213" s="16">
        <v>67</v>
      </c>
      <c r="D213" s="16">
        <v>32</v>
      </c>
      <c r="E213" s="16">
        <v>81</v>
      </c>
      <c r="F213" s="16">
        <v>18</v>
      </c>
    </row>
    <row r="214" spans="1:10" ht="16.5" thickBot="1" x14ac:dyDescent="0.3">
      <c r="A214" s="15"/>
      <c r="B214" s="107"/>
      <c r="C214" s="72" t="s">
        <v>8</v>
      </c>
      <c r="D214" s="72" t="s">
        <v>8</v>
      </c>
      <c r="E214" s="72" t="s">
        <v>8</v>
      </c>
      <c r="F214" s="72" t="s">
        <v>8</v>
      </c>
    </row>
    <row r="215" spans="1:10" ht="16.5" thickBot="1" x14ac:dyDescent="0.3">
      <c r="A215" s="15"/>
      <c r="B215" s="12" t="s">
        <v>9</v>
      </c>
      <c r="C215" s="17" t="s">
        <v>71</v>
      </c>
      <c r="D215" s="17" t="s">
        <v>72</v>
      </c>
      <c r="E215" s="17" t="s">
        <v>73</v>
      </c>
      <c r="F215" s="17" t="s">
        <v>74</v>
      </c>
    </row>
    <row r="216" spans="1:10" ht="26.25" thickBot="1" x14ac:dyDescent="0.3">
      <c r="A216" s="18"/>
      <c r="B216" s="11" t="s">
        <v>10</v>
      </c>
      <c r="C216" s="11">
        <v>58649.29</v>
      </c>
      <c r="D216" s="11">
        <v>58500.86</v>
      </c>
      <c r="E216" s="11">
        <v>58632.83</v>
      </c>
      <c r="F216" s="11">
        <v>58464.53</v>
      </c>
    </row>
    <row r="217" spans="1:10" ht="25.5" customHeight="1" thickBot="1" x14ac:dyDescent="0.3">
      <c r="A217" s="12"/>
      <c r="B217" s="108" t="s">
        <v>11</v>
      </c>
      <c r="C217" s="109"/>
      <c r="D217" s="110">
        <v>-309695</v>
      </c>
      <c r="E217" s="111"/>
      <c r="F217" s="1"/>
    </row>
    <row r="218" spans="1:10" ht="16.5" thickBot="1" x14ac:dyDescent="0.3">
      <c r="A218" s="112"/>
      <c r="B218" s="113"/>
      <c r="C218" s="113"/>
      <c r="D218" s="113"/>
      <c r="E218" s="113"/>
      <c r="F218" s="114"/>
    </row>
    <row r="219" spans="1:10" ht="16.5" thickBot="1" x14ac:dyDescent="0.3">
      <c r="A219" s="2" t="s">
        <v>4</v>
      </c>
      <c r="B219" s="12" t="s">
        <v>5</v>
      </c>
      <c r="C219" s="12">
        <v>589</v>
      </c>
      <c r="D219" s="12">
        <v>2</v>
      </c>
      <c r="E219" s="13">
        <v>1357</v>
      </c>
      <c r="F219" s="12">
        <v>2</v>
      </c>
    </row>
    <row r="220" spans="1:10" ht="18.75" x14ac:dyDescent="0.25">
      <c r="A220" s="3">
        <v>16</v>
      </c>
      <c r="B220" s="105" t="s">
        <v>6</v>
      </c>
      <c r="C220" s="14">
        <v>1263000</v>
      </c>
      <c r="D220" s="19">
        <v>290673</v>
      </c>
      <c r="E220" s="14">
        <v>1312000</v>
      </c>
      <c r="F220" s="19">
        <v>241061</v>
      </c>
      <c r="G220" s="4"/>
      <c r="I220" s="55"/>
      <c r="J220" s="55"/>
    </row>
    <row r="221" spans="1:10" x14ac:dyDescent="0.25">
      <c r="A221" s="15"/>
      <c r="B221" s="106"/>
      <c r="C221" s="71" t="s">
        <v>7</v>
      </c>
      <c r="D221" s="71" t="s">
        <v>7</v>
      </c>
      <c r="E221" s="71" t="s">
        <v>7</v>
      </c>
      <c r="F221" s="71" t="s">
        <v>7</v>
      </c>
    </row>
    <row r="222" spans="1:10" x14ac:dyDescent="0.25">
      <c r="A222" s="15"/>
      <c r="B222" s="106"/>
      <c r="C222" s="16">
        <v>81</v>
      </c>
      <c r="D222" s="16">
        <v>18</v>
      </c>
      <c r="E222" s="16">
        <v>84</v>
      </c>
      <c r="F222" s="16">
        <v>15</v>
      </c>
    </row>
    <row r="223" spans="1:10" ht="16.5" thickBot="1" x14ac:dyDescent="0.3">
      <c r="A223" s="15"/>
      <c r="B223" s="107"/>
      <c r="C223" s="72" t="s">
        <v>8</v>
      </c>
      <c r="D223" s="72" t="s">
        <v>8</v>
      </c>
      <c r="E223" s="72" t="s">
        <v>8</v>
      </c>
      <c r="F223" s="72" t="s">
        <v>8</v>
      </c>
    </row>
    <row r="224" spans="1:10" ht="16.5" thickBot="1" x14ac:dyDescent="0.3">
      <c r="A224" s="15"/>
      <c r="B224" s="12" t="s">
        <v>9</v>
      </c>
      <c r="C224" s="17" t="s">
        <v>75</v>
      </c>
      <c r="D224" s="17" t="s">
        <v>76</v>
      </c>
      <c r="E224" s="17" t="s">
        <v>77</v>
      </c>
      <c r="F224" s="17" t="s">
        <v>78</v>
      </c>
    </row>
    <row r="225" spans="1:10" ht="26.25" thickBot="1" x14ac:dyDescent="0.3">
      <c r="A225" s="18"/>
      <c r="B225" s="11" t="s">
        <v>10</v>
      </c>
      <c r="C225" s="11">
        <v>57577.31</v>
      </c>
      <c r="D225" s="11">
        <v>57726.42</v>
      </c>
      <c r="E225" s="11">
        <v>57640.21</v>
      </c>
      <c r="F225" s="11">
        <v>57414.7</v>
      </c>
    </row>
    <row r="226" spans="1:10" ht="25.5" customHeight="1" thickBot="1" x14ac:dyDescent="0.3">
      <c r="A226" s="12"/>
      <c r="B226" s="108" t="s">
        <v>11</v>
      </c>
      <c r="C226" s="109"/>
      <c r="D226" s="110">
        <v>-49612</v>
      </c>
      <c r="E226" s="111"/>
      <c r="F226" s="1"/>
    </row>
    <row r="227" spans="1:10" ht="16.5" thickBot="1" x14ac:dyDescent="0.3">
      <c r="A227" s="112"/>
      <c r="B227" s="113"/>
      <c r="C227" s="113"/>
      <c r="D227" s="113"/>
      <c r="E227" s="113"/>
      <c r="F227" s="114"/>
    </row>
    <row r="228" spans="1:10" ht="16.5" thickBot="1" x14ac:dyDescent="0.3">
      <c r="A228" s="2" t="s">
        <v>4</v>
      </c>
      <c r="B228" s="12" t="s">
        <v>5</v>
      </c>
      <c r="C228" s="12">
        <v>966</v>
      </c>
      <c r="D228" s="12">
        <v>6</v>
      </c>
      <c r="E228" s="12">
        <v>789</v>
      </c>
      <c r="F228" s="12">
        <v>2</v>
      </c>
    </row>
    <row r="229" spans="1:10" ht="18.75" x14ac:dyDescent="0.25">
      <c r="A229" s="3">
        <v>15</v>
      </c>
      <c r="B229" s="105" t="s">
        <v>6</v>
      </c>
      <c r="C229" s="14">
        <v>1728000</v>
      </c>
      <c r="D229" s="19">
        <v>395280</v>
      </c>
      <c r="E229" s="14">
        <v>1984000</v>
      </c>
      <c r="F229" s="19">
        <v>140000</v>
      </c>
      <c r="G229" s="4"/>
      <c r="I229" s="55"/>
      <c r="J229" s="55"/>
    </row>
    <row r="230" spans="1:10" x14ac:dyDescent="0.25">
      <c r="A230" s="15"/>
      <c r="B230" s="106"/>
      <c r="C230" s="71" t="s">
        <v>7</v>
      </c>
      <c r="D230" s="71" t="s">
        <v>7</v>
      </c>
      <c r="E230" s="71" t="s">
        <v>7</v>
      </c>
      <c r="F230" s="71" t="s">
        <v>7</v>
      </c>
    </row>
    <row r="231" spans="1:10" x14ac:dyDescent="0.25">
      <c r="A231" s="15"/>
      <c r="B231" s="106"/>
      <c r="C231" s="16">
        <v>81</v>
      </c>
      <c r="D231" s="16">
        <v>18</v>
      </c>
      <c r="E231" s="16">
        <v>93</v>
      </c>
      <c r="F231" s="16">
        <v>6</v>
      </c>
    </row>
    <row r="232" spans="1:10" ht="16.5" thickBot="1" x14ac:dyDescent="0.3">
      <c r="A232" s="15"/>
      <c r="B232" s="107"/>
      <c r="C232" s="72" t="s">
        <v>8</v>
      </c>
      <c r="D232" s="72" t="s">
        <v>8</v>
      </c>
      <c r="E232" s="72" t="s">
        <v>8</v>
      </c>
      <c r="F232" s="72" t="s">
        <v>8</v>
      </c>
    </row>
    <row r="233" spans="1:10" ht="16.5" thickBot="1" x14ac:dyDescent="0.3">
      <c r="A233" s="15"/>
      <c r="B233" s="12" t="s">
        <v>9</v>
      </c>
      <c r="C233" s="17" t="s">
        <v>79</v>
      </c>
      <c r="D233" s="17" t="s">
        <v>80</v>
      </c>
      <c r="E233" s="17" t="s">
        <v>81</v>
      </c>
      <c r="F233" s="17" t="s">
        <v>82</v>
      </c>
    </row>
    <row r="234" spans="1:10" ht="26.25" thickBot="1" x14ac:dyDescent="0.3">
      <c r="A234" s="18"/>
      <c r="B234" s="11" t="s">
        <v>10</v>
      </c>
      <c r="C234" s="11">
        <v>57064.43</v>
      </c>
      <c r="D234" s="11">
        <v>57248.33</v>
      </c>
      <c r="E234" s="11">
        <v>57103.51</v>
      </c>
      <c r="F234" s="11">
        <v>57029.919999999998</v>
      </c>
    </row>
    <row r="235" spans="1:10" ht="25.5" customHeight="1" thickBot="1" x14ac:dyDescent="0.3">
      <c r="A235" s="12"/>
      <c r="B235" s="108" t="s">
        <v>11</v>
      </c>
      <c r="C235" s="109"/>
      <c r="D235" s="110">
        <v>-255280</v>
      </c>
      <c r="E235" s="111"/>
      <c r="F235" s="1"/>
    </row>
    <row r="236" spans="1:10" ht="16.5" thickBot="1" x14ac:dyDescent="0.3">
      <c r="A236" s="112"/>
      <c r="B236" s="113"/>
      <c r="C236" s="113"/>
      <c r="D236" s="113"/>
      <c r="E236" s="113"/>
      <c r="F236" s="114"/>
    </row>
    <row r="237" spans="1:10" ht="16.5" thickBot="1" x14ac:dyDescent="0.3">
      <c r="A237" s="2" t="s">
        <v>4</v>
      </c>
      <c r="B237" s="12" t="s">
        <v>5</v>
      </c>
      <c r="C237" s="12">
        <v>824</v>
      </c>
      <c r="D237" s="12">
        <v>5</v>
      </c>
      <c r="E237" s="13">
        <v>1017</v>
      </c>
      <c r="F237" s="12">
        <v>7</v>
      </c>
    </row>
    <row r="238" spans="1:10" ht="18.75" x14ac:dyDescent="0.25">
      <c r="A238" s="3">
        <v>14</v>
      </c>
      <c r="B238" s="105" t="s">
        <v>6</v>
      </c>
      <c r="C238" s="14">
        <v>1266000</v>
      </c>
      <c r="D238" s="19">
        <v>358500</v>
      </c>
      <c r="E238" s="14">
        <v>1351000</v>
      </c>
      <c r="F238" s="19">
        <v>273534</v>
      </c>
      <c r="G238" s="4"/>
      <c r="I238" s="55"/>
      <c r="J238" s="55"/>
    </row>
    <row r="239" spans="1:10" x14ac:dyDescent="0.25">
      <c r="A239" s="15"/>
      <c r="B239" s="106"/>
      <c r="C239" s="71" t="s">
        <v>7</v>
      </c>
      <c r="D239" s="71" t="s">
        <v>7</v>
      </c>
      <c r="E239" s="71" t="s">
        <v>7</v>
      </c>
      <c r="F239" s="71" t="s">
        <v>7</v>
      </c>
    </row>
    <row r="240" spans="1:10" x14ac:dyDescent="0.25">
      <c r="A240" s="15"/>
      <c r="B240" s="106"/>
      <c r="C240" s="16">
        <v>77</v>
      </c>
      <c r="D240" s="16">
        <v>22</v>
      </c>
      <c r="E240" s="16">
        <v>83</v>
      </c>
      <c r="F240" s="16">
        <v>16</v>
      </c>
    </row>
    <row r="241" spans="1:10" ht="16.5" thickBot="1" x14ac:dyDescent="0.3">
      <c r="A241" s="15"/>
      <c r="B241" s="107"/>
      <c r="C241" s="72" t="s">
        <v>8</v>
      </c>
      <c r="D241" s="72" t="s">
        <v>8</v>
      </c>
      <c r="E241" s="72" t="s">
        <v>8</v>
      </c>
      <c r="F241" s="72" t="s">
        <v>8</v>
      </c>
    </row>
    <row r="242" spans="1:10" ht="16.5" thickBot="1" x14ac:dyDescent="0.3">
      <c r="A242" s="15"/>
      <c r="B242" s="12" t="s">
        <v>9</v>
      </c>
      <c r="C242" s="17" t="s">
        <v>83</v>
      </c>
      <c r="D242" s="17" t="s">
        <v>84</v>
      </c>
      <c r="E242" s="17" t="s">
        <v>85</v>
      </c>
      <c r="F242" s="17" t="s">
        <v>86</v>
      </c>
    </row>
    <row r="243" spans="1:10" ht="26.25" thickBot="1" x14ac:dyDescent="0.3">
      <c r="A243" s="18"/>
      <c r="B243" s="11" t="s">
        <v>10</v>
      </c>
      <c r="C243" s="11">
        <v>57933.31</v>
      </c>
      <c r="D243" s="11">
        <v>57856</v>
      </c>
      <c r="E243" s="11">
        <v>58021.37</v>
      </c>
      <c r="F243" s="11">
        <v>57397</v>
      </c>
    </row>
    <row r="244" spans="1:10" ht="25.5" customHeight="1" thickBot="1" x14ac:dyDescent="0.3">
      <c r="A244" s="12"/>
      <c r="B244" s="108" t="s">
        <v>11</v>
      </c>
      <c r="C244" s="109"/>
      <c r="D244" s="110">
        <v>-84966</v>
      </c>
      <c r="E244" s="111"/>
      <c r="F244" s="1"/>
    </row>
    <row r="245" spans="1:10" ht="16.5" thickBot="1" x14ac:dyDescent="0.3">
      <c r="A245" s="112"/>
      <c r="B245" s="113"/>
      <c r="C245" s="113"/>
      <c r="D245" s="113"/>
      <c r="E245" s="113"/>
      <c r="F245" s="114"/>
    </row>
    <row r="246" spans="1:10" ht="16.5" thickBot="1" x14ac:dyDescent="0.3">
      <c r="A246" s="2" t="s">
        <v>4</v>
      </c>
      <c r="B246" s="12" t="s">
        <v>5</v>
      </c>
      <c r="C246" s="13">
        <v>1078</v>
      </c>
      <c r="D246" s="12">
        <v>5</v>
      </c>
      <c r="E246" s="12">
        <v>916</v>
      </c>
      <c r="F246" s="12">
        <v>6</v>
      </c>
    </row>
    <row r="247" spans="1:10" ht="18.75" x14ac:dyDescent="0.25">
      <c r="A247" s="3">
        <v>13</v>
      </c>
      <c r="B247" s="105" t="s">
        <v>6</v>
      </c>
      <c r="C247" s="14">
        <v>1367000</v>
      </c>
      <c r="D247" s="19">
        <v>179055</v>
      </c>
      <c r="E247" s="14">
        <v>1322000</v>
      </c>
      <c r="F247" s="19">
        <v>224102</v>
      </c>
      <c r="G247" s="4"/>
      <c r="I247" s="55"/>
      <c r="J247" s="55"/>
    </row>
    <row r="248" spans="1:10" x14ac:dyDescent="0.25">
      <c r="A248" s="15"/>
      <c r="B248" s="106"/>
      <c r="C248" s="71" t="s">
        <v>7</v>
      </c>
      <c r="D248" s="71" t="s">
        <v>7</v>
      </c>
      <c r="E248" s="71" t="s">
        <v>7</v>
      </c>
      <c r="F248" s="71" t="s">
        <v>7</v>
      </c>
    </row>
    <row r="249" spans="1:10" x14ac:dyDescent="0.25">
      <c r="A249" s="15"/>
      <c r="B249" s="106"/>
      <c r="C249" s="16">
        <v>88</v>
      </c>
      <c r="D249" s="16">
        <v>11</v>
      </c>
      <c r="E249" s="16">
        <v>85</v>
      </c>
      <c r="F249" s="16">
        <v>14</v>
      </c>
    </row>
    <row r="250" spans="1:10" ht="16.5" thickBot="1" x14ac:dyDescent="0.3">
      <c r="A250" s="15"/>
      <c r="B250" s="107"/>
      <c r="C250" s="72" t="s">
        <v>8</v>
      </c>
      <c r="D250" s="72" t="s">
        <v>8</v>
      </c>
      <c r="E250" s="72" t="s">
        <v>8</v>
      </c>
      <c r="F250" s="72" t="s">
        <v>8</v>
      </c>
    </row>
    <row r="251" spans="1:10" ht="16.5" thickBot="1" x14ac:dyDescent="0.3">
      <c r="A251" s="15"/>
      <c r="B251" s="12" t="s">
        <v>9</v>
      </c>
      <c r="C251" s="17" t="s">
        <v>87</v>
      </c>
      <c r="D251" s="17" t="s">
        <v>88</v>
      </c>
      <c r="E251" s="17" t="s">
        <v>89</v>
      </c>
      <c r="F251" s="17" t="s">
        <v>90</v>
      </c>
    </row>
    <row r="252" spans="1:10" ht="26.25" thickBot="1" x14ac:dyDescent="0.3">
      <c r="A252" s="18"/>
      <c r="B252" s="11" t="s">
        <v>10</v>
      </c>
      <c r="C252" s="11">
        <v>56006.12</v>
      </c>
      <c r="D252" s="11">
        <v>55700.52</v>
      </c>
      <c r="E252" s="11">
        <v>55944.15</v>
      </c>
      <c r="F252" s="11">
        <v>56127.48</v>
      </c>
    </row>
    <row r="253" spans="1:10" ht="25.5" customHeight="1" thickBot="1" x14ac:dyDescent="0.3">
      <c r="A253" s="12"/>
      <c r="B253" s="108" t="s">
        <v>11</v>
      </c>
      <c r="C253" s="109"/>
      <c r="D253" s="110">
        <v>45047</v>
      </c>
      <c r="E253" s="111"/>
      <c r="F253" s="1"/>
    </row>
    <row r="254" spans="1:10" ht="16.5" thickBot="1" x14ac:dyDescent="0.3">
      <c r="A254" s="112"/>
      <c r="B254" s="113"/>
      <c r="C254" s="113"/>
      <c r="D254" s="113"/>
      <c r="E254" s="113"/>
      <c r="F254" s="114"/>
    </row>
    <row r="255" spans="1:10" ht="16.5" thickBot="1" x14ac:dyDescent="0.3">
      <c r="A255" s="2" t="s">
        <v>4</v>
      </c>
      <c r="B255" s="12" t="s">
        <v>5</v>
      </c>
      <c r="C255" s="13">
        <v>1559</v>
      </c>
      <c r="D255" s="12">
        <v>11</v>
      </c>
      <c r="E255" s="13">
        <v>1034</v>
      </c>
      <c r="F255" s="12">
        <v>3</v>
      </c>
    </row>
    <row r="256" spans="1:10" ht="18.75" x14ac:dyDescent="0.25">
      <c r="A256" s="3">
        <v>12</v>
      </c>
      <c r="B256" s="105" t="s">
        <v>6</v>
      </c>
      <c r="C256" s="14">
        <v>2167000</v>
      </c>
      <c r="D256" s="19">
        <v>386083</v>
      </c>
      <c r="E256" s="14">
        <v>2450000</v>
      </c>
      <c r="F256" s="19">
        <v>102932</v>
      </c>
      <c r="G256" s="4"/>
      <c r="I256" s="55"/>
      <c r="J256" s="55"/>
    </row>
    <row r="257" spans="1:10" x14ac:dyDescent="0.25">
      <c r="A257" s="15"/>
      <c r="B257" s="106"/>
      <c r="C257" s="71" t="s">
        <v>7</v>
      </c>
      <c r="D257" s="71" t="s">
        <v>7</v>
      </c>
      <c r="E257" s="71" t="s">
        <v>7</v>
      </c>
      <c r="F257" s="71" t="s">
        <v>7</v>
      </c>
    </row>
    <row r="258" spans="1:10" x14ac:dyDescent="0.25">
      <c r="A258" s="15"/>
      <c r="B258" s="106"/>
      <c r="C258" s="16">
        <v>84</v>
      </c>
      <c r="D258" s="16">
        <v>15</v>
      </c>
      <c r="E258" s="16">
        <v>95</v>
      </c>
      <c r="F258" s="16">
        <v>4</v>
      </c>
    </row>
    <row r="259" spans="1:10" ht="16.5" thickBot="1" x14ac:dyDescent="0.3">
      <c r="A259" s="15"/>
      <c r="B259" s="107"/>
      <c r="C259" s="72" t="s">
        <v>8</v>
      </c>
      <c r="D259" s="72" t="s">
        <v>8</v>
      </c>
      <c r="E259" s="72" t="s">
        <v>8</v>
      </c>
      <c r="F259" s="72" t="s">
        <v>8</v>
      </c>
    </row>
    <row r="260" spans="1:10" ht="16.5" thickBot="1" x14ac:dyDescent="0.3">
      <c r="A260" s="15"/>
      <c r="B260" s="12" t="s">
        <v>9</v>
      </c>
      <c r="C260" s="17" t="s">
        <v>91</v>
      </c>
      <c r="D260" s="17" t="s">
        <v>92</v>
      </c>
      <c r="E260" s="17" t="s">
        <v>93</v>
      </c>
      <c r="F260" s="17" t="s">
        <v>94</v>
      </c>
    </row>
    <row r="261" spans="1:10" ht="26.25" thickBot="1" x14ac:dyDescent="0.3">
      <c r="A261" s="18"/>
      <c r="B261" s="11" t="s">
        <v>10</v>
      </c>
      <c r="C261" s="11">
        <v>56254.74</v>
      </c>
      <c r="D261" s="11">
        <v>56010.3</v>
      </c>
      <c r="E261" s="11">
        <v>56214.09</v>
      </c>
      <c r="F261" s="11">
        <v>56305.279999999999</v>
      </c>
    </row>
    <row r="262" spans="1:10" ht="25.5" customHeight="1" thickBot="1" x14ac:dyDescent="0.3">
      <c r="A262" s="12"/>
      <c r="B262" s="108" t="s">
        <v>11</v>
      </c>
      <c r="C262" s="109"/>
      <c r="D262" s="110">
        <v>-283151</v>
      </c>
      <c r="E262" s="111"/>
      <c r="F262" s="1"/>
    </row>
    <row r="263" spans="1:10" ht="16.5" thickBot="1" x14ac:dyDescent="0.3">
      <c r="A263" s="112"/>
      <c r="B263" s="113"/>
      <c r="C263" s="113"/>
      <c r="D263" s="113"/>
      <c r="E263" s="113"/>
      <c r="F263" s="114"/>
    </row>
    <row r="264" spans="1:10" ht="16.5" thickBot="1" x14ac:dyDescent="0.3">
      <c r="A264" s="2" t="s">
        <v>4</v>
      </c>
      <c r="B264" s="12" t="s">
        <v>5</v>
      </c>
      <c r="C264" s="12">
        <v>957</v>
      </c>
      <c r="D264" s="12">
        <v>5</v>
      </c>
      <c r="E264" s="12">
        <v>998</v>
      </c>
      <c r="F264" s="12">
        <v>6</v>
      </c>
    </row>
    <row r="265" spans="1:10" ht="18.75" x14ac:dyDescent="0.25">
      <c r="A265" s="3">
        <v>8</v>
      </c>
      <c r="B265" s="105" t="s">
        <v>6</v>
      </c>
      <c r="C265" s="14">
        <v>1832000</v>
      </c>
      <c r="D265" s="19">
        <v>774861</v>
      </c>
      <c r="E265" s="19">
        <v>942877</v>
      </c>
      <c r="F265" s="14">
        <v>1664000</v>
      </c>
      <c r="G265" s="4"/>
      <c r="I265" s="55"/>
      <c r="J265" s="55"/>
    </row>
    <row r="266" spans="1:10" x14ac:dyDescent="0.25">
      <c r="A266" s="15"/>
      <c r="B266" s="106"/>
      <c r="C266" s="71" t="s">
        <v>7</v>
      </c>
      <c r="D266" s="71" t="s">
        <v>7</v>
      </c>
      <c r="E266" s="71" t="s">
        <v>7</v>
      </c>
      <c r="F266" s="71" t="s">
        <v>7</v>
      </c>
    </row>
    <row r="267" spans="1:10" x14ac:dyDescent="0.25">
      <c r="A267" s="15"/>
      <c r="B267" s="106"/>
      <c r="C267" s="16">
        <v>70</v>
      </c>
      <c r="D267" s="16">
        <v>29</v>
      </c>
      <c r="E267" s="16">
        <v>36</v>
      </c>
      <c r="F267" s="16">
        <v>63</v>
      </c>
    </row>
    <row r="268" spans="1:10" ht="16.5" thickBot="1" x14ac:dyDescent="0.3">
      <c r="A268" s="15"/>
      <c r="B268" s="107"/>
      <c r="C268" s="72" t="s">
        <v>8</v>
      </c>
      <c r="D268" s="72" t="s">
        <v>8</v>
      </c>
      <c r="E268" s="72" t="s">
        <v>8</v>
      </c>
      <c r="F268" s="72" t="s">
        <v>8</v>
      </c>
    </row>
    <row r="269" spans="1:10" ht="16.5" thickBot="1" x14ac:dyDescent="0.3">
      <c r="A269" s="15"/>
      <c r="B269" s="12" t="s">
        <v>9</v>
      </c>
      <c r="C269" s="17" t="s">
        <v>95</v>
      </c>
      <c r="D269" s="17" t="s">
        <v>96</v>
      </c>
      <c r="E269" s="17" t="s">
        <v>97</v>
      </c>
      <c r="F269" s="17" t="s">
        <v>98</v>
      </c>
    </row>
    <row r="270" spans="1:10" ht="26.25" thickBot="1" x14ac:dyDescent="0.3">
      <c r="A270" s="18"/>
      <c r="B270" s="11" t="s">
        <v>10</v>
      </c>
      <c r="C270" s="11">
        <v>57805.75</v>
      </c>
      <c r="D270" s="11">
        <v>57822.92</v>
      </c>
      <c r="E270" s="11">
        <v>57966.14</v>
      </c>
      <c r="F270" s="11">
        <v>57722.84</v>
      </c>
    </row>
    <row r="271" spans="1:10" ht="25.5" customHeight="1" thickBot="1" x14ac:dyDescent="0.3">
      <c r="A271" s="12"/>
      <c r="B271" s="108" t="s">
        <v>11</v>
      </c>
      <c r="C271" s="109"/>
      <c r="D271" s="110">
        <v>888763</v>
      </c>
      <c r="E271" s="111"/>
      <c r="F271" s="1"/>
    </row>
    <row r="272" spans="1:10" ht="16.5" thickBot="1" x14ac:dyDescent="0.3">
      <c r="A272" s="112"/>
      <c r="B272" s="113"/>
      <c r="C272" s="113"/>
      <c r="D272" s="113"/>
      <c r="E272" s="113"/>
      <c r="F272" s="114"/>
    </row>
    <row r="273" spans="1:10" ht="16.5" thickBot="1" x14ac:dyDescent="0.3">
      <c r="A273" s="2" t="s">
        <v>4</v>
      </c>
      <c r="B273" s="12" t="s">
        <v>5</v>
      </c>
      <c r="C273" s="13">
        <v>1048</v>
      </c>
      <c r="D273" s="12">
        <v>9</v>
      </c>
      <c r="E273" s="12">
        <v>979</v>
      </c>
      <c r="F273" s="12">
        <v>5</v>
      </c>
    </row>
    <row r="274" spans="1:10" ht="18.75" x14ac:dyDescent="0.25">
      <c r="A274" s="3">
        <v>7</v>
      </c>
      <c r="B274" s="105" t="s">
        <v>6</v>
      </c>
      <c r="C274" s="14">
        <v>2167000</v>
      </c>
      <c r="D274" s="19">
        <v>347445</v>
      </c>
      <c r="E274" s="14">
        <v>2407000</v>
      </c>
      <c r="F274" s="19">
        <v>107096</v>
      </c>
      <c r="G274" s="4"/>
      <c r="I274" s="55"/>
      <c r="J274" s="55"/>
    </row>
    <row r="275" spans="1:10" x14ac:dyDescent="0.25">
      <c r="A275" s="15"/>
      <c r="B275" s="106"/>
      <c r="C275" s="71" t="s">
        <v>7</v>
      </c>
      <c r="D275" s="71" t="s">
        <v>7</v>
      </c>
      <c r="E275" s="71" t="s">
        <v>7</v>
      </c>
      <c r="F275" s="71" t="s">
        <v>7</v>
      </c>
    </row>
    <row r="276" spans="1:10" x14ac:dyDescent="0.25">
      <c r="A276" s="15"/>
      <c r="B276" s="106"/>
      <c r="C276" s="16">
        <v>86</v>
      </c>
      <c r="D276" s="16">
        <v>13</v>
      </c>
      <c r="E276" s="16">
        <v>95</v>
      </c>
      <c r="F276" s="16">
        <v>4</v>
      </c>
    </row>
    <row r="277" spans="1:10" ht="16.5" thickBot="1" x14ac:dyDescent="0.3">
      <c r="A277" s="15"/>
      <c r="B277" s="107"/>
      <c r="C277" s="72" t="s">
        <v>8</v>
      </c>
      <c r="D277" s="72" t="s">
        <v>8</v>
      </c>
      <c r="E277" s="72" t="s">
        <v>8</v>
      </c>
      <c r="F277" s="72" t="s">
        <v>8</v>
      </c>
    </row>
    <row r="278" spans="1:10" ht="16.5" thickBot="1" x14ac:dyDescent="0.3">
      <c r="A278" s="15"/>
      <c r="B278" s="12" t="s">
        <v>9</v>
      </c>
      <c r="C278" s="17" t="s">
        <v>99</v>
      </c>
      <c r="D278" s="17" t="s">
        <v>100</v>
      </c>
      <c r="E278" s="17" t="s">
        <v>101</v>
      </c>
      <c r="F278" s="17" t="s">
        <v>102</v>
      </c>
    </row>
    <row r="279" spans="1:10" ht="26.25" thickBot="1" x14ac:dyDescent="0.3">
      <c r="A279" s="18"/>
      <c r="B279" s="11" t="s">
        <v>10</v>
      </c>
      <c r="C279" s="11">
        <v>57490.63</v>
      </c>
      <c r="D279" s="11">
        <v>57722.05</v>
      </c>
      <c r="E279" s="11">
        <v>57496.82</v>
      </c>
      <c r="F279" s="11">
        <v>58102.239999999998</v>
      </c>
    </row>
    <row r="280" spans="1:10" ht="25.5" customHeight="1" thickBot="1" x14ac:dyDescent="0.3">
      <c r="A280" s="12"/>
      <c r="B280" s="108" t="s">
        <v>11</v>
      </c>
      <c r="C280" s="109"/>
      <c r="D280" s="110">
        <v>-240349</v>
      </c>
      <c r="E280" s="111"/>
      <c r="F280" s="1"/>
    </row>
    <row r="281" spans="1:10" ht="16.5" thickBot="1" x14ac:dyDescent="0.3">
      <c r="A281" s="112"/>
      <c r="B281" s="113"/>
      <c r="C281" s="113"/>
      <c r="D281" s="113"/>
      <c r="E281" s="113"/>
      <c r="F281" s="114"/>
    </row>
    <row r="282" spans="1:10" ht="16.5" thickBot="1" x14ac:dyDescent="0.3">
      <c r="A282" s="2" t="s">
        <v>4</v>
      </c>
      <c r="B282" s="12" t="s">
        <v>5</v>
      </c>
      <c r="C282" s="13">
        <v>1581</v>
      </c>
      <c r="D282" s="12">
        <v>8</v>
      </c>
      <c r="E282" s="12">
        <v>978</v>
      </c>
      <c r="F282" s="12">
        <v>5</v>
      </c>
    </row>
    <row r="283" spans="1:10" ht="18.75" x14ac:dyDescent="0.25">
      <c r="A283" s="3">
        <v>6</v>
      </c>
      <c r="B283" s="105" t="s">
        <v>6</v>
      </c>
      <c r="C283" s="14">
        <v>3180000</v>
      </c>
      <c r="D283" s="19">
        <v>791398</v>
      </c>
      <c r="E283" s="14">
        <v>1680000</v>
      </c>
      <c r="F283" s="14">
        <v>2292000</v>
      </c>
      <c r="G283" s="4"/>
      <c r="I283" s="55"/>
      <c r="J283" s="55"/>
    </row>
    <row r="284" spans="1:10" x14ac:dyDescent="0.25">
      <c r="A284" s="15"/>
      <c r="B284" s="106"/>
      <c r="C284" s="71" t="s">
        <v>7</v>
      </c>
      <c r="D284" s="71" t="s">
        <v>7</v>
      </c>
      <c r="E284" s="71" t="s">
        <v>7</v>
      </c>
      <c r="F284" s="71" t="s">
        <v>7</v>
      </c>
    </row>
    <row r="285" spans="1:10" x14ac:dyDescent="0.25">
      <c r="A285" s="15"/>
      <c r="B285" s="106"/>
      <c r="C285" s="16">
        <v>80</v>
      </c>
      <c r="D285" s="16">
        <v>19</v>
      </c>
      <c r="E285" s="16">
        <v>42</v>
      </c>
      <c r="F285" s="16">
        <v>57</v>
      </c>
    </row>
    <row r="286" spans="1:10" ht="16.5" thickBot="1" x14ac:dyDescent="0.3">
      <c r="A286" s="15"/>
      <c r="B286" s="107"/>
      <c r="C286" s="72" t="s">
        <v>8</v>
      </c>
      <c r="D286" s="72" t="s">
        <v>8</v>
      </c>
      <c r="E286" s="72" t="s">
        <v>8</v>
      </c>
      <c r="F286" s="72" t="s">
        <v>8</v>
      </c>
    </row>
    <row r="287" spans="1:10" ht="16.5" thickBot="1" x14ac:dyDescent="0.3">
      <c r="A287" s="15"/>
      <c r="B287" s="12" t="s">
        <v>9</v>
      </c>
      <c r="C287" s="17" t="s">
        <v>103</v>
      </c>
      <c r="D287" s="17" t="s">
        <v>104</v>
      </c>
      <c r="E287" s="17" t="s">
        <v>105</v>
      </c>
      <c r="F287" s="17" t="s">
        <v>106</v>
      </c>
    </row>
    <row r="288" spans="1:10" ht="26.25" thickBot="1" x14ac:dyDescent="0.3">
      <c r="A288" s="18"/>
      <c r="B288" s="11" t="s">
        <v>10</v>
      </c>
      <c r="C288" s="11">
        <v>58221.85</v>
      </c>
      <c r="D288" s="11">
        <v>57760.5</v>
      </c>
      <c r="E288" s="11">
        <v>58487.47</v>
      </c>
      <c r="F288" s="11">
        <v>57867.839999999997</v>
      </c>
    </row>
    <row r="289" spans="1:10" ht="25.5" customHeight="1" thickBot="1" x14ac:dyDescent="0.3">
      <c r="A289" s="12"/>
      <c r="B289" s="108" t="s">
        <v>11</v>
      </c>
      <c r="C289" s="109"/>
      <c r="D289" s="115">
        <v>1500000</v>
      </c>
      <c r="E289" s="116"/>
      <c r="F289" s="1"/>
    </row>
    <row r="290" spans="1:10" ht="16.5" thickBot="1" x14ac:dyDescent="0.3">
      <c r="A290" s="112"/>
      <c r="B290" s="113"/>
      <c r="C290" s="113"/>
      <c r="D290" s="113"/>
      <c r="E290" s="113"/>
      <c r="F290" s="114"/>
    </row>
    <row r="291" spans="1:10" ht="16.5" thickBot="1" x14ac:dyDescent="0.3">
      <c r="A291" s="2" t="s">
        <v>4</v>
      </c>
      <c r="B291" s="12" t="s">
        <v>5</v>
      </c>
      <c r="C291" s="13">
        <v>1796</v>
      </c>
      <c r="D291" s="12">
        <v>13</v>
      </c>
      <c r="E291" s="13">
        <v>1395</v>
      </c>
      <c r="F291" s="12">
        <v>2</v>
      </c>
    </row>
    <row r="292" spans="1:10" ht="18.75" x14ac:dyDescent="0.25">
      <c r="A292" s="3">
        <v>5</v>
      </c>
      <c r="B292" s="105" t="s">
        <v>6</v>
      </c>
      <c r="C292" s="14">
        <v>2777000</v>
      </c>
      <c r="D292" s="19">
        <v>850321</v>
      </c>
      <c r="E292" s="14">
        <v>2705000</v>
      </c>
      <c r="F292" s="19">
        <v>922003</v>
      </c>
      <c r="G292" s="4"/>
      <c r="I292" s="55"/>
      <c r="J292" s="55"/>
    </row>
    <row r="293" spans="1:10" x14ac:dyDescent="0.25">
      <c r="A293" s="15"/>
      <c r="B293" s="106"/>
      <c r="C293" s="71" t="s">
        <v>7</v>
      </c>
      <c r="D293" s="71" t="s">
        <v>7</v>
      </c>
      <c r="E293" s="71" t="s">
        <v>7</v>
      </c>
      <c r="F293" s="71" t="s">
        <v>7</v>
      </c>
    </row>
    <row r="294" spans="1:10" x14ac:dyDescent="0.25">
      <c r="A294" s="15"/>
      <c r="B294" s="106"/>
      <c r="C294" s="16">
        <v>76</v>
      </c>
      <c r="D294" s="16">
        <v>23</v>
      </c>
      <c r="E294" s="16">
        <v>74</v>
      </c>
      <c r="F294" s="16">
        <v>25</v>
      </c>
    </row>
    <row r="295" spans="1:10" ht="16.5" thickBot="1" x14ac:dyDescent="0.3">
      <c r="A295" s="15"/>
      <c r="B295" s="107"/>
      <c r="C295" s="72" t="s">
        <v>8</v>
      </c>
      <c r="D295" s="72" t="s">
        <v>8</v>
      </c>
      <c r="E295" s="72" t="s">
        <v>8</v>
      </c>
      <c r="F295" s="72" t="s">
        <v>8</v>
      </c>
    </row>
    <row r="296" spans="1:10" ht="16.5" thickBot="1" x14ac:dyDescent="0.3">
      <c r="A296" s="15"/>
      <c r="B296" s="12" t="s">
        <v>9</v>
      </c>
      <c r="C296" s="17" t="s">
        <v>107</v>
      </c>
      <c r="D296" s="17" t="s">
        <v>108</v>
      </c>
      <c r="E296" s="17" t="s">
        <v>109</v>
      </c>
      <c r="F296" s="17" t="s">
        <v>110</v>
      </c>
    </row>
    <row r="297" spans="1:10" ht="26.25" thickBot="1" x14ac:dyDescent="0.3">
      <c r="A297" s="18"/>
      <c r="B297" s="11" t="s">
        <v>10</v>
      </c>
      <c r="C297" s="11">
        <v>57105.68</v>
      </c>
      <c r="D297" s="11">
        <v>57025.88</v>
      </c>
      <c r="E297" s="11">
        <v>57105.42</v>
      </c>
      <c r="F297" s="11">
        <v>57032.84</v>
      </c>
    </row>
    <row r="298" spans="1:10" ht="25.5" customHeight="1" thickBot="1" x14ac:dyDescent="0.3">
      <c r="A298" s="12"/>
      <c r="B298" s="108" t="s">
        <v>11</v>
      </c>
      <c r="C298" s="109"/>
      <c r="D298" s="110">
        <v>71682</v>
      </c>
      <c r="E298" s="111"/>
      <c r="F298" s="1"/>
    </row>
    <row r="299" spans="1:10" ht="16.5" thickBot="1" x14ac:dyDescent="0.3">
      <c r="A299" s="112"/>
      <c r="B299" s="113"/>
      <c r="C299" s="113"/>
      <c r="D299" s="113"/>
      <c r="E299" s="113"/>
      <c r="F299" s="114"/>
    </row>
    <row r="300" spans="1:10" ht="16.5" thickBot="1" x14ac:dyDescent="0.3">
      <c r="A300" s="2" t="s">
        <v>4</v>
      </c>
      <c r="B300" s="12" t="s">
        <v>5</v>
      </c>
      <c r="C300" s="13">
        <v>1194</v>
      </c>
      <c r="D300" s="12">
        <v>9</v>
      </c>
      <c r="E300" s="13">
        <v>1048</v>
      </c>
      <c r="F300" s="12">
        <v>8</v>
      </c>
    </row>
    <row r="301" spans="1:10" ht="18.75" x14ac:dyDescent="0.25">
      <c r="A301" s="3">
        <v>2</v>
      </c>
      <c r="B301" s="105" t="s">
        <v>6</v>
      </c>
      <c r="C301" s="14">
        <v>1597000</v>
      </c>
      <c r="D301" s="14">
        <v>2314000</v>
      </c>
      <c r="E301" s="14">
        <v>1759000</v>
      </c>
      <c r="F301" s="14">
        <v>2152000</v>
      </c>
      <c r="G301" s="4"/>
      <c r="I301" s="55"/>
      <c r="J301" s="55"/>
    </row>
    <row r="302" spans="1:10" x14ac:dyDescent="0.25">
      <c r="A302" s="15"/>
      <c r="B302" s="106"/>
      <c r="C302" s="71" t="s">
        <v>7</v>
      </c>
      <c r="D302" s="71" t="s">
        <v>7</v>
      </c>
      <c r="E302" s="71" t="s">
        <v>7</v>
      </c>
      <c r="F302" s="71" t="s">
        <v>7</v>
      </c>
    </row>
    <row r="303" spans="1:10" x14ac:dyDescent="0.25">
      <c r="A303" s="15"/>
      <c r="B303" s="106"/>
      <c r="C303" s="16">
        <v>40</v>
      </c>
      <c r="D303" s="16">
        <v>59</v>
      </c>
      <c r="E303" s="16">
        <v>44</v>
      </c>
      <c r="F303" s="16">
        <v>55</v>
      </c>
    </row>
    <row r="304" spans="1:10" ht="16.5" thickBot="1" x14ac:dyDescent="0.3">
      <c r="A304" s="15"/>
      <c r="B304" s="107"/>
      <c r="C304" s="72" t="s">
        <v>8</v>
      </c>
      <c r="D304" s="72" t="s">
        <v>8</v>
      </c>
      <c r="E304" s="72" t="s">
        <v>8</v>
      </c>
      <c r="F304" s="72" t="s">
        <v>8</v>
      </c>
    </row>
    <row r="305" spans="1:10" ht="16.5" thickBot="1" x14ac:dyDescent="0.3">
      <c r="A305" s="15"/>
      <c r="B305" s="12" t="s">
        <v>9</v>
      </c>
      <c r="C305" s="17" t="s">
        <v>111</v>
      </c>
      <c r="D305" s="17" t="s">
        <v>112</v>
      </c>
      <c r="E305" s="17" t="s">
        <v>113</v>
      </c>
      <c r="F305" s="17" t="s">
        <v>114</v>
      </c>
    </row>
    <row r="306" spans="1:10" ht="26.25" thickBot="1" x14ac:dyDescent="0.3">
      <c r="A306" s="18"/>
      <c r="B306" s="11" t="s">
        <v>10</v>
      </c>
      <c r="C306" s="11">
        <v>58135.1</v>
      </c>
      <c r="D306" s="11">
        <v>58352.04</v>
      </c>
      <c r="E306" s="11">
        <v>58140.5</v>
      </c>
      <c r="F306" s="11">
        <v>58364</v>
      </c>
    </row>
    <row r="307" spans="1:10" ht="25.5" customHeight="1" thickBot="1" x14ac:dyDescent="0.3">
      <c r="A307" s="12"/>
      <c r="B307" s="108" t="s">
        <v>11</v>
      </c>
      <c r="C307" s="109"/>
      <c r="D307" s="110">
        <v>-162338</v>
      </c>
      <c r="E307" s="111"/>
      <c r="F307" s="1"/>
    </row>
    <row r="308" spans="1:10" ht="16.5" thickBot="1" x14ac:dyDescent="0.3">
      <c r="A308" s="112"/>
      <c r="B308" s="113"/>
      <c r="C308" s="113"/>
      <c r="D308" s="113"/>
      <c r="E308" s="113"/>
      <c r="F308" s="114"/>
    </row>
    <row r="309" spans="1:10" ht="16.5" thickBot="1" x14ac:dyDescent="0.3">
      <c r="A309" s="2" t="s">
        <v>4</v>
      </c>
      <c r="B309" s="12" t="s">
        <v>5</v>
      </c>
      <c r="C309" s="12">
        <v>847</v>
      </c>
      <c r="D309" s="12">
        <v>7</v>
      </c>
      <c r="E309" s="13">
        <v>1087</v>
      </c>
      <c r="F309" s="12">
        <v>11</v>
      </c>
    </row>
    <row r="310" spans="1:10" ht="18.75" x14ac:dyDescent="0.25">
      <c r="A310" s="3">
        <v>1</v>
      </c>
      <c r="B310" s="105" t="s">
        <v>6</v>
      </c>
      <c r="C310" s="14">
        <v>1220000</v>
      </c>
      <c r="D310" s="14">
        <v>8606000</v>
      </c>
      <c r="E310" s="14">
        <v>3555000</v>
      </c>
      <c r="F310" s="14">
        <v>6271000</v>
      </c>
      <c r="G310" s="4"/>
      <c r="I310" s="55"/>
      <c r="J310" s="55"/>
    </row>
    <row r="311" spans="1:10" x14ac:dyDescent="0.25">
      <c r="A311" s="15"/>
      <c r="B311" s="106"/>
      <c r="C311" s="71" t="s">
        <v>7</v>
      </c>
      <c r="D311" s="71" t="s">
        <v>7</v>
      </c>
      <c r="E311" s="71" t="s">
        <v>7</v>
      </c>
      <c r="F311" s="71" t="s">
        <v>7</v>
      </c>
    </row>
    <row r="312" spans="1:10" x14ac:dyDescent="0.25">
      <c r="A312" s="15"/>
      <c r="B312" s="106"/>
      <c r="C312" s="16">
        <v>12</v>
      </c>
      <c r="D312" s="16">
        <v>87</v>
      </c>
      <c r="E312" s="16">
        <v>36</v>
      </c>
      <c r="F312" s="16">
        <v>63</v>
      </c>
    </row>
    <row r="313" spans="1:10" ht="16.5" thickBot="1" x14ac:dyDescent="0.3">
      <c r="A313" s="15"/>
      <c r="B313" s="107"/>
      <c r="C313" s="72" t="s">
        <v>8</v>
      </c>
      <c r="D313" s="72" t="s">
        <v>8</v>
      </c>
      <c r="E313" s="72" t="s">
        <v>8</v>
      </c>
      <c r="F313" s="72" t="s">
        <v>8</v>
      </c>
    </row>
    <row r="314" spans="1:10" ht="16.5" thickBot="1" x14ac:dyDescent="0.3">
      <c r="A314" s="15"/>
      <c r="B314" s="12" t="s">
        <v>9</v>
      </c>
      <c r="C314" s="17" t="s">
        <v>115</v>
      </c>
      <c r="D314" s="17" t="s">
        <v>116</v>
      </c>
      <c r="E314" s="17" t="s">
        <v>117</v>
      </c>
      <c r="F314" s="17" t="s">
        <v>118</v>
      </c>
    </row>
    <row r="315" spans="1:10" ht="26.25" thickBot="1" x14ac:dyDescent="0.3">
      <c r="A315" s="18"/>
      <c r="B315" s="11" t="s">
        <v>10</v>
      </c>
      <c r="C315" s="11">
        <v>58969.74</v>
      </c>
      <c r="D315" s="11">
        <v>59080.94</v>
      </c>
      <c r="E315" s="11">
        <v>58965.16</v>
      </c>
      <c r="F315" s="11">
        <v>59124.95</v>
      </c>
    </row>
    <row r="316" spans="1:10" ht="25.5" customHeight="1" thickBot="1" x14ac:dyDescent="0.3">
      <c r="A316" s="12"/>
      <c r="B316" s="108" t="s">
        <v>11</v>
      </c>
      <c r="C316" s="109"/>
      <c r="D316" s="110">
        <v>-2335155</v>
      </c>
      <c r="E316" s="111"/>
      <c r="F316" s="1"/>
    </row>
    <row r="317" spans="1:10" ht="16.5" thickBot="1" x14ac:dyDescent="0.3">
      <c r="A317" s="112"/>
      <c r="B317" s="113"/>
      <c r="C317" s="113"/>
      <c r="D317" s="113"/>
      <c r="E317" s="113"/>
      <c r="F317" s="114"/>
    </row>
    <row r="318" spans="1:10" ht="16.5" thickBot="1" x14ac:dyDescent="0.3">
      <c r="A318" s="2" t="s">
        <v>12</v>
      </c>
      <c r="B318" s="12" t="s">
        <v>5</v>
      </c>
      <c r="C318" s="13">
        <v>1067</v>
      </c>
      <c r="D318" s="12">
        <v>11</v>
      </c>
      <c r="E318" s="13">
        <v>1118</v>
      </c>
      <c r="F318" s="12">
        <v>13</v>
      </c>
    </row>
    <row r="319" spans="1:10" ht="18.75" x14ac:dyDescent="0.25">
      <c r="A319" s="3">
        <v>30</v>
      </c>
      <c r="B319" s="105" t="s">
        <v>6</v>
      </c>
      <c r="C319" s="14">
        <v>1147000</v>
      </c>
      <c r="D319" s="14">
        <v>7470000</v>
      </c>
      <c r="E319" s="14">
        <v>2765000</v>
      </c>
      <c r="F319" s="14">
        <v>5851000</v>
      </c>
      <c r="G319" s="4"/>
      <c r="I319" s="55"/>
      <c r="J319" s="55"/>
    </row>
    <row r="320" spans="1:10" x14ac:dyDescent="0.25">
      <c r="A320" s="15"/>
      <c r="B320" s="106"/>
      <c r="C320" s="71" t="s">
        <v>7</v>
      </c>
      <c r="D320" s="71" t="s">
        <v>7</v>
      </c>
      <c r="E320" s="71" t="s">
        <v>7</v>
      </c>
      <c r="F320" s="71" t="s">
        <v>7</v>
      </c>
    </row>
    <row r="321" spans="1:10" x14ac:dyDescent="0.25">
      <c r="A321" s="15"/>
      <c r="B321" s="106"/>
      <c r="C321" s="16">
        <v>13</v>
      </c>
      <c r="D321" s="16">
        <v>86</v>
      </c>
      <c r="E321" s="16">
        <v>32</v>
      </c>
      <c r="F321" s="16">
        <v>67</v>
      </c>
    </row>
    <row r="322" spans="1:10" ht="16.5" thickBot="1" x14ac:dyDescent="0.3">
      <c r="A322" s="15"/>
      <c r="B322" s="107"/>
      <c r="C322" s="72" t="s">
        <v>8</v>
      </c>
      <c r="D322" s="72" t="s">
        <v>8</v>
      </c>
      <c r="E322" s="72" t="s">
        <v>8</v>
      </c>
      <c r="F322" s="72" t="s">
        <v>8</v>
      </c>
    </row>
    <row r="323" spans="1:10" ht="16.5" thickBot="1" x14ac:dyDescent="0.3">
      <c r="A323" s="15"/>
      <c r="B323" s="12" t="s">
        <v>9</v>
      </c>
      <c r="C323" s="17" t="s">
        <v>119</v>
      </c>
      <c r="D323" s="17" t="s">
        <v>120</v>
      </c>
      <c r="E323" s="17" t="s">
        <v>121</v>
      </c>
      <c r="F323" s="17" t="s">
        <v>122</v>
      </c>
    </row>
    <row r="324" spans="1:10" ht="26.25" thickBot="1" x14ac:dyDescent="0.3">
      <c r="A324" s="18"/>
      <c r="B324" s="11" t="s">
        <v>10</v>
      </c>
      <c r="C324" s="11">
        <v>59514.76</v>
      </c>
      <c r="D324" s="11">
        <v>59626.13</v>
      </c>
      <c r="E324" s="11">
        <v>59596.41</v>
      </c>
      <c r="F324" s="11">
        <v>59618.36</v>
      </c>
    </row>
    <row r="325" spans="1:10" ht="25.5" customHeight="1" thickBot="1" x14ac:dyDescent="0.3">
      <c r="A325" s="12"/>
      <c r="B325" s="108" t="s">
        <v>11</v>
      </c>
      <c r="C325" s="109"/>
      <c r="D325" s="110">
        <v>-1618796</v>
      </c>
      <c r="E325" s="111"/>
      <c r="F325" s="1"/>
    </row>
    <row r="326" spans="1:10" ht="16.5" thickBot="1" x14ac:dyDescent="0.3">
      <c r="A326" s="112"/>
      <c r="B326" s="113"/>
      <c r="C326" s="113"/>
      <c r="D326" s="113"/>
      <c r="E326" s="113"/>
      <c r="F326" s="114"/>
    </row>
    <row r="327" spans="1:10" ht="16.5" thickBot="1" x14ac:dyDescent="0.3">
      <c r="A327" s="2" t="s">
        <v>12</v>
      </c>
      <c r="B327" s="12" t="s">
        <v>5</v>
      </c>
      <c r="C327" s="13">
        <v>1224</v>
      </c>
      <c r="D327" s="12">
        <v>11</v>
      </c>
      <c r="E327" s="13">
        <v>1151</v>
      </c>
      <c r="F327" s="12">
        <v>6</v>
      </c>
    </row>
    <row r="328" spans="1:10" ht="18.75" x14ac:dyDescent="0.25">
      <c r="A328" s="3">
        <v>29</v>
      </c>
      <c r="B328" s="105" t="s">
        <v>6</v>
      </c>
      <c r="C328" s="14">
        <v>2030000</v>
      </c>
      <c r="D328" s="14">
        <v>2346000</v>
      </c>
      <c r="E328" s="14">
        <v>2883000</v>
      </c>
      <c r="F328" s="14">
        <v>1493000</v>
      </c>
      <c r="G328" s="4"/>
      <c r="I328" s="55"/>
      <c r="J328" s="55"/>
    </row>
    <row r="329" spans="1:10" x14ac:dyDescent="0.25">
      <c r="A329" s="15"/>
      <c r="B329" s="106"/>
      <c r="C329" s="71" t="s">
        <v>7</v>
      </c>
      <c r="D329" s="71" t="s">
        <v>7</v>
      </c>
      <c r="E329" s="71" t="s">
        <v>7</v>
      </c>
      <c r="F329" s="71" t="s">
        <v>7</v>
      </c>
    </row>
    <row r="330" spans="1:10" x14ac:dyDescent="0.25">
      <c r="A330" s="15"/>
      <c r="B330" s="106"/>
      <c r="C330" s="16">
        <v>46</v>
      </c>
      <c r="D330" s="16">
        <v>53</v>
      </c>
      <c r="E330" s="16">
        <v>65</v>
      </c>
      <c r="F330" s="16">
        <v>34</v>
      </c>
    </row>
    <row r="331" spans="1:10" ht="16.5" thickBot="1" x14ac:dyDescent="0.3">
      <c r="A331" s="15"/>
      <c r="B331" s="107"/>
      <c r="C331" s="72" t="s">
        <v>8</v>
      </c>
      <c r="D331" s="72" t="s">
        <v>8</v>
      </c>
      <c r="E331" s="72" t="s">
        <v>8</v>
      </c>
      <c r="F331" s="72" t="s">
        <v>8</v>
      </c>
    </row>
    <row r="332" spans="1:10" ht="16.5" thickBot="1" x14ac:dyDescent="0.3">
      <c r="A332" s="15"/>
      <c r="B332" s="12" t="s">
        <v>9</v>
      </c>
      <c r="C332" s="17" t="s">
        <v>123</v>
      </c>
      <c r="D332" s="17" t="s">
        <v>124</v>
      </c>
      <c r="E332" s="17" t="s">
        <v>125</v>
      </c>
      <c r="F332" s="17" t="s">
        <v>126</v>
      </c>
    </row>
    <row r="333" spans="1:10" ht="26.25" thickBot="1" x14ac:dyDescent="0.3">
      <c r="A333" s="18"/>
      <c r="B333" s="11" t="s">
        <v>10</v>
      </c>
      <c r="C333" s="11">
        <v>59742.65</v>
      </c>
      <c r="D333" s="11">
        <v>59815.72</v>
      </c>
      <c r="E333" s="11">
        <v>59735.9</v>
      </c>
      <c r="F333" s="11">
        <v>59870.48</v>
      </c>
    </row>
    <row r="334" spans="1:10" ht="25.5" customHeight="1" thickBot="1" x14ac:dyDescent="0.3">
      <c r="A334" s="12"/>
      <c r="B334" s="108" t="s">
        <v>11</v>
      </c>
      <c r="C334" s="109"/>
      <c r="D334" s="110">
        <v>-852969</v>
      </c>
      <c r="E334" s="111"/>
      <c r="F334" s="1"/>
    </row>
    <row r="335" spans="1:10" ht="16.5" thickBot="1" x14ac:dyDescent="0.3">
      <c r="A335" s="112"/>
      <c r="B335" s="113"/>
      <c r="C335" s="113"/>
      <c r="D335" s="113"/>
      <c r="E335" s="113"/>
      <c r="F335" s="114"/>
    </row>
    <row r="336" spans="1:10" ht="16.5" thickBot="1" x14ac:dyDescent="0.3">
      <c r="A336" s="2" t="s">
        <v>12</v>
      </c>
      <c r="B336" s="12" t="s">
        <v>5</v>
      </c>
      <c r="C336" s="13">
        <v>1666</v>
      </c>
      <c r="D336" s="12">
        <v>8</v>
      </c>
      <c r="E336" s="13">
        <v>1083</v>
      </c>
      <c r="F336" s="12">
        <v>13</v>
      </c>
    </row>
    <row r="337" spans="1:10" ht="18.75" x14ac:dyDescent="0.25">
      <c r="A337" s="3">
        <v>28</v>
      </c>
      <c r="B337" s="105" t="s">
        <v>6</v>
      </c>
      <c r="C337" s="14">
        <v>3784000</v>
      </c>
      <c r="D337" s="14">
        <v>5611000</v>
      </c>
      <c r="E337" s="14">
        <v>3049000</v>
      </c>
      <c r="F337" s="14">
        <v>6346000</v>
      </c>
      <c r="G337" s="4"/>
      <c r="I337" s="55"/>
      <c r="J337" s="55"/>
    </row>
    <row r="338" spans="1:10" x14ac:dyDescent="0.25">
      <c r="A338" s="15"/>
      <c r="B338" s="106"/>
      <c r="C338" s="71" t="s">
        <v>7</v>
      </c>
      <c r="D338" s="71" t="s">
        <v>7</v>
      </c>
      <c r="E338" s="71" t="s">
        <v>7</v>
      </c>
      <c r="F338" s="71" t="s">
        <v>7</v>
      </c>
    </row>
    <row r="339" spans="1:10" x14ac:dyDescent="0.25">
      <c r="A339" s="15"/>
      <c r="B339" s="106"/>
      <c r="C339" s="16">
        <v>40</v>
      </c>
      <c r="D339" s="16">
        <v>59</v>
      </c>
      <c r="E339" s="16">
        <v>32</v>
      </c>
      <c r="F339" s="16">
        <v>67</v>
      </c>
    </row>
    <row r="340" spans="1:10" ht="16.5" thickBot="1" x14ac:dyDescent="0.3">
      <c r="A340" s="15"/>
      <c r="B340" s="107"/>
      <c r="C340" s="72" t="s">
        <v>8</v>
      </c>
      <c r="D340" s="72" t="s">
        <v>8</v>
      </c>
      <c r="E340" s="72" t="s">
        <v>8</v>
      </c>
      <c r="F340" s="72" t="s">
        <v>8</v>
      </c>
    </row>
    <row r="341" spans="1:10" ht="16.5" thickBot="1" x14ac:dyDescent="0.3">
      <c r="A341" s="15"/>
      <c r="B341" s="12" t="s">
        <v>9</v>
      </c>
      <c r="C341" s="17" t="s">
        <v>127</v>
      </c>
      <c r="D341" s="17" t="s">
        <v>128</v>
      </c>
      <c r="E341" s="17" t="s">
        <v>129</v>
      </c>
      <c r="F341" s="17" t="s">
        <v>130</v>
      </c>
    </row>
    <row r="342" spans="1:10" ht="26.25" thickBot="1" x14ac:dyDescent="0.3">
      <c r="A342" s="18"/>
      <c r="B342" s="11" t="s">
        <v>10</v>
      </c>
      <c r="C342" s="11">
        <v>60019.69</v>
      </c>
      <c r="D342" s="11">
        <v>59985.33</v>
      </c>
      <c r="E342" s="11">
        <v>59962.47</v>
      </c>
      <c r="F342" s="11">
        <v>60016.81</v>
      </c>
    </row>
    <row r="343" spans="1:10" ht="25.5" customHeight="1" thickBot="1" x14ac:dyDescent="0.3">
      <c r="A343" s="12"/>
      <c r="B343" s="108" t="s">
        <v>11</v>
      </c>
      <c r="C343" s="109"/>
      <c r="D343" s="110">
        <v>734616</v>
      </c>
      <c r="E343" s="111"/>
      <c r="F343" s="1"/>
    </row>
    <row r="344" spans="1:10" ht="16.5" thickBot="1" x14ac:dyDescent="0.3">
      <c r="A344" s="112"/>
      <c r="B344" s="113"/>
      <c r="C344" s="113"/>
      <c r="D344" s="113"/>
      <c r="E344" s="113"/>
      <c r="F344" s="114"/>
    </row>
    <row r="345" spans="1:10" ht="16.5" thickBot="1" x14ac:dyDescent="0.3">
      <c r="A345" s="2" t="s">
        <v>12</v>
      </c>
      <c r="B345" s="12" t="s">
        <v>5</v>
      </c>
      <c r="C345" s="13">
        <v>1226</v>
      </c>
      <c r="D345" s="12">
        <v>20</v>
      </c>
      <c r="E345" s="13">
        <v>1482</v>
      </c>
      <c r="F345" s="12">
        <v>65</v>
      </c>
    </row>
    <row r="346" spans="1:10" ht="18.75" x14ac:dyDescent="0.25">
      <c r="A346" s="3">
        <v>25</v>
      </c>
      <c r="B346" s="105" t="s">
        <v>6</v>
      </c>
      <c r="C346" s="14">
        <v>3456000</v>
      </c>
      <c r="D346" s="14">
        <v>3403000</v>
      </c>
      <c r="E346" s="14">
        <v>3835000</v>
      </c>
      <c r="F346" s="14">
        <v>3024000</v>
      </c>
      <c r="G346" s="4"/>
      <c r="I346" s="55"/>
      <c r="J346" s="55"/>
    </row>
    <row r="347" spans="1:10" x14ac:dyDescent="0.25">
      <c r="A347" s="15"/>
      <c r="B347" s="106"/>
      <c r="C347" s="71" t="s">
        <v>7</v>
      </c>
      <c r="D347" s="71" t="s">
        <v>7</v>
      </c>
      <c r="E347" s="71" t="s">
        <v>7</v>
      </c>
      <c r="F347" s="71" t="s">
        <v>7</v>
      </c>
    </row>
    <row r="348" spans="1:10" x14ac:dyDescent="0.25">
      <c r="A348" s="15"/>
      <c r="B348" s="106"/>
      <c r="C348" s="16">
        <v>50</v>
      </c>
      <c r="D348" s="16">
        <v>49</v>
      </c>
      <c r="E348" s="16">
        <v>55</v>
      </c>
      <c r="F348" s="16">
        <v>44</v>
      </c>
    </row>
    <row r="349" spans="1:10" ht="16.5" thickBot="1" x14ac:dyDescent="0.3">
      <c r="A349" s="15"/>
      <c r="B349" s="107"/>
      <c r="C349" s="72" t="s">
        <v>8</v>
      </c>
      <c r="D349" s="72" t="s">
        <v>8</v>
      </c>
      <c r="E349" s="72" t="s">
        <v>8</v>
      </c>
      <c r="F349" s="72" t="s">
        <v>8</v>
      </c>
    </row>
    <row r="350" spans="1:10" ht="16.5" thickBot="1" x14ac:dyDescent="0.3">
      <c r="A350" s="15"/>
      <c r="B350" s="12" t="s">
        <v>9</v>
      </c>
      <c r="C350" s="17" t="s">
        <v>131</v>
      </c>
      <c r="D350" s="17" t="s">
        <v>132</v>
      </c>
      <c r="E350" s="17" t="s">
        <v>133</v>
      </c>
      <c r="F350" s="17" t="s">
        <v>134</v>
      </c>
    </row>
    <row r="351" spans="1:10" ht="26.25" thickBot="1" x14ac:dyDescent="0.3">
      <c r="A351" s="18"/>
      <c r="B351" s="11" t="s">
        <v>10</v>
      </c>
      <c r="C351" s="11">
        <v>57713.71</v>
      </c>
      <c r="D351" s="11">
        <v>58307.15</v>
      </c>
      <c r="E351" s="11">
        <v>57655.8</v>
      </c>
      <c r="F351" s="11">
        <v>58454.89</v>
      </c>
    </row>
    <row r="352" spans="1:10" ht="25.5" customHeight="1" thickBot="1" x14ac:dyDescent="0.3">
      <c r="A352" s="12"/>
      <c r="B352" s="108" t="s">
        <v>11</v>
      </c>
      <c r="C352" s="109"/>
      <c r="D352" s="110">
        <v>-378776</v>
      </c>
      <c r="E352" s="111"/>
      <c r="F352" s="1"/>
    </row>
    <row r="353" spans="1:10" ht="16.5" thickBot="1" x14ac:dyDescent="0.3">
      <c r="A353" s="112"/>
      <c r="B353" s="113"/>
      <c r="C353" s="113"/>
      <c r="D353" s="113"/>
      <c r="E353" s="113"/>
      <c r="F353" s="114"/>
    </row>
    <row r="354" spans="1:10" ht="16.5" thickBot="1" x14ac:dyDescent="0.3">
      <c r="A354" s="2" t="s">
        <v>12</v>
      </c>
      <c r="B354" s="12" t="s">
        <v>5</v>
      </c>
      <c r="C354" s="13">
        <v>2126</v>
      </c>
      <c r="D354" s="12">
        <v>15</v>
      </c>
      <c r="E354" s="13">
        <v>1990</v>
      </c>
      <c r="F354" s="12">
        <v>20</v>
      </c>
    </row>
    <row r="355" spans="1:10" ht="18.75" x14ac:dyDescent="0.25">
      <c r="A355" s="3">
        <v>24</v>
      </c>
      <c r="B355" s="105" t="s">
        <v>6</v>
      </c>
      <c r="C355" s="14">
        <v>9802000</v>
      </c>
      <c r="D355" s="14">
        <v>3378000</v>
      </c>
      <c r="E355" s="14">
        <v>5557000</v>
      </c>
      <c r="F355" s="14">
        <v>7623000</v>
      </c>
      <c r="G355" s="4"/>
      <c r="I355" s="55"/>
      <c r="J355" s="55"/>
    </row>
    <row r="356" spans="1:10" x14ac:dyDescent="0.25">
      <c r="A356" s="15"/>
      <c r="B356" s="106"/>
      <c r="C356" s="71" t="s">
        <v>7</v>
      </c>
      <c r="D356" s="71" t="s">
        <v>7</v>
      </c>
      <c r="E356" s="71" t="s">
        <v>7</v>
      </c>
      <c r="F356" s="71" t="s">
        <v>7</v>
      </c>
    </row>
    <row r="357" spans="1:10" x14ac:dyDescent="0.25">
      <c r="A357" s="15"/>
      <c r="B357" s="106"/>
      <c r="C357" s="16">
        <v>74</v>
      </c>
      <c r="D357" s="16">
        <v>25</v>
      </c>
      <c r="E357" s="16">
        <v>42</v>
      </c>
      <c r="F357" s="16">
        <v>57</v>
      </c>
    </row>
    <row r="358" spans="1:10" ht="16.5" thickBot="1" x14ac:dyDescent="0.3">
      <c r="A358" s="15"/>
      <c r="B358" s="107"/>
      <c r="C358" s="72" t="s">
        <v>8</v>
      </c>
      <c r="D358" s="72" t="s">
        <v>8</v>
      </c>
      <c r="E358" s="72" t="s">
        <v>8</v>
      </c>
      <c r="F358" s="72" t="s">
        <v>8</v>
      </c>
    </row>
    <row r="359" spans="1:10" ht="16.5" thickBot="1" x14ac:dyDescent="0.3">
      <c r="A359" s="15"/>
      <c r="B359" s="12" t="s">
        <v>9</v>
      </c>
      <c r="C359" s="17" t="s">
        <v>135</v>
      </c>
      <c r="D359" s="17" t="s">
        <v>136</v>
      </c>
      <c r="E359" s="17" t="s">
        <v>137</v>
      </c>
      <c r="F359" s="17" t="s">
        <v>138</v>
      </c>
    </row>
    <row r="360" spans="1:10" ht="26.25" thickBot="1" x14ac:dyDescent="0.3">
      <c r="A360" s="18"/>
      <c r="B360" s="11" t="s">
        <v>10</v>
      </c>
      <c r="C360" s="11">
        <v>55938.080000000002</v>
      </c>
      <c r="D360" s="11">
        <v>55854.43</v>
      </c>
      <c r="E360" s="11">
        <v>55884.06</v>
      </c>
      <c r="F360" s="11">
        <v>55940.38</v>
      </c>
    </row>
    <row r="361" spans="1:10" ht="25.5" customHeight="1" thickBot="1" x14ac:dyDescent="0.3">
      <c r="A361" s="12"/>
      <c r="B361" s="108" t="s">
        <v>11</v>
      </c>
      <c r="C361" s="109"/>
      <c r="D361" s="115">
        <v>4245000</v>
      </c>
      <c r="E361" s="116"/>
      <c r="F361" s="1"/>
    </row>
    <row r="362" spans="1:10" ht="16.5" thickBot="1" x14ac:dyDescent="0.3">
      <c r="A362" s="112"/>
      <c r="B362" s="113"/>
      <c r="C362" s="113"/>
      <c r="D362" s="113"/>
      <c r="E362" s="113"/>
      <c r="F362" s="114"/>
    </row>
    <row r="363" spans="1:10" ht="16.5" thickBot="1" x14ac:dyDescent="0.3">
      <c r="A363" s="2" t="s">
        <v>12</v>
      </c>
      <c r="B363" s="12" t="s">
        <v>5</v>
      </c>
      <c r="C363" s="12">
        <v>37</v>
      </c>
      <c r="D363" s="12">
        <v>4</v>
      </c>
      <c r="E363" s="12">
        <v>472</v>
      </c>
      <c r="F363" s="12">
        <v>5</v>
      </c>
    </row>
    <row r="364" spans="1:10" ht="18.75" x14ac:dyDescent="0.25">
      <c r="A364" s="3">
        <v>23</v>
      </c>
      <c r="B364" s="105" t="s">
        <v>6</v>
      </c>
      <c r="C364" s="14">
        <v>1592000</v>
      </c>
      <c r="D364" s="19">
        <v>229000</v>
      </c>
      <c r="E364" s="19">
        <v>362659</v>
      </c>
      <c r="F364" s="14">
        <v>1458000</v>
      </c>
      <c r="G364" s="4"/>
      <c r="I364" s="55"/>
      <c r="J364" s="55"/>
    </row>
    <row r="365" spans="1:10" x14ac:dyDescent="0.25">
      <c r="A365" s="15"/>
      <c r="B365" s="106"/>
      <c r="C365" s="71" t="s">
        <v>7</v>
      </c>
      <c r="D365" s="71" t="s">
        <v>7</v>
      </c>
      <c r="E365" s="71" t="s">
        <v>7</v>
      </c>
      <c r="F365" s="71" t="s">
        <v>7</v>
      </c>
    </row>
    <row r="366" spans="1:10" x14ac:dyDescent="0.25">
      <c r="A366" s="15"/>
      <c r="B366" s="106"/>
      <c r="C366" s="16">
        <v>87</v>
      </c>
      <c r="D366" s="16">
        <v>12</v>
      </c>
      <c r="E366" s="16">
        <v>19</v>
      </c>
      <c r="F366" s="16">
        <v>80</v>
      </c>
    </row>
    <row r="367" spans="1:10" ht="16.5" thickBot="1" x14ac:dyDescent="0.3">
      <c r="A367" s="15"/>
      <c r="B367" s="107"/>
      <c r="C367" s="72" t="s">
        <v>8</v>
      </c>
      <c r="D367" s="72" t="s">
        <v>8</v>
      </c>
      <c r="E367" s="72" t="s">
        <v>8</v>
      </c>
      <c r="F367" s="72" t="s">
        <v>8</v>
      </c>
    </row>
    <row r="368" spans="1:10" ht="16.5" thickBot="1" x14ac:dyDescent="0.3">
      <c r="A368" s="15"/>
      <c r="B368" s="12" t="s">
        <v>9</v>
      </c>
      <c r="C368" s="17" t="s">
        <v>139</v>
      </c>
      <c r="D368" s="17" t="s">
        <v>140</v>
      </c>
      <c r="E368" s="17" t="s">
        <v>141</v>
      </c>
      <c r="F368" s="17" t="s">
        <v>142</v>
      </c>
    </row>
    <row r="369" spans="1:10" ht="26.25" thickBot="1" x14ac:dyDescent="0.3">
      <c r="A369" s="18"/>
      <c r="B369" s="11" t="s">
        <v>10</v>
      </c>
      <c r="C369" s="11">
        <v>53431</v>
      </c>
      <c r="D369" s="11">
        <v>53431</v>
      </c>
      <c r="E369" s="11">
        <v>53431</v>
      </c>
      <c r="F369" s="11">
        <v>53431</v>
      </c>
    </row>
    <row r="370" spans="1:10" ht="25.5" customHeight="1" thickBot="1" x14ac:dyDescent="0.3">
      <c r="A370" s="12"/>
      <c r="B370" s="108" t="s">
        <v>11</v>
      </c>
      <c r="C370" s="109"/>
      <c r="D370" s="115">
        <v>1229000</v>
      </c>
      <c r="E370" s="116"/>
      <c r="F370" s="1"/>
    </row>
    <row r="371" spans="1:10" ht="16.5" thickBot="1" x14ac:dyDescent="0.3">
      <c r="A371" s="112"/>
      <c r="B371" s="113"/>
      <c r="C371" s="113"/>
      <c r="D371" s="113"/>
      <c r="E371" s="113"/>
      <c r="F371" s="114"/>
    </row>
    <row r="372" spans="1:10" ht="16.5" thickBot="1" x14ac:dyDescent="0.3">
      <c r="A372" s="2" t="s">
        <v>12</v>
      </c>
      <c r="B372" s="12" t="s">
        <v>5</v>
      </c>
      <c r="C372" s="12">
        <v>11</v>
      </c>
      <c r="D372" s="12">
        <v>2</v>
      </c>
      <c r="E372" s="12">
        <v>244</v>
      </c>
      <c r="F372" s="12">
        <v>3</v>
      </c>
    </row>
    <row r="373" spans="1:10" ht="18.75" x14ac:dyDescent="0.25">
      <c r="A373" s="3">
        <v>22</v>
      </c>
      <c r="B373" s="105" t="s">
        <v>6</v>
      </c>
      <c r="C373" s="19">
        <v>376404</v>
      </c>
      <c r="D373" s="19">
        <v>71073</v>
      </c>
      <c r="E373" s="19">
        <v>115601</v>
      </c>
      <c r="F373" s="19">
        <v>331876</v>
      </c>
      <c r="G373" s="4"/>
      <c r="I373" s="55"/>
      <c r="J373" s="55"/>
    </row>
    <row r="374" spans="1:10" x14ac:dyDescent="0.25">
      <c r="A374" s="15"/>
      <c r="B374" s="106"/>
      <c r="C374" s="71" t="s">
        <v>7</v>
      </c>
      <c r="D374" s="71" t="s">
        <v>7</v>
      </c>
      <c r="E374" s="71" t="s">
        <v>7</v>
      </c>
      <c r="F374" s="71" t="s">
        <v>7</v>
      </c>
    </row>
    <row r="375" spans="1:10" x14ac:dyDescent="0.25">
      <c r="A375" s="15"/>
      <c r="B375" s="106"/>
      <c r="C375" s="16">
        <v>84</v>
      </c>
      <c r="D375" s="16">
        <v>15</v>
      </c>
      <c r="E375" s="16">
        <v>25</v>
      </c>
      <c r="F375" s="16">
        <v>74</v>
      </c>
    </row>
    <row r="376" spans="1:10" ht="16.5" thickBot="1" x14ac:dyDescent="0.3">
      <c r="A376" s="15"/>
      <c r="B376" s="107"/>
      <c r="C376" s="72" t="s">
        <v>8</v>
      </c>
      <c r="D376" s="72" t="s">
        <v>8</v>
      </c>
      <c r="E376" s="72" t="s">
        <v>8</v>
      </c>
      <c r="F376" s="72" t="s">
        <v>8</v>
      </c>
    </row>
    <row r="377" spans="1:10" ht="16.5" thickBot="1" x14ac:dyDescent="0.3">
      <c r="A377" s="15"/>
      <c r="B377" s="12" t="s">
        <v>9</v>
      </c>
      <c r="C377" s="17" t="s">
        <v>143</v>
      </c>
      <c r="D377" s="17" t="s">
        <v>144</v>
      </c>
      <c r="E377" s="17" t="s">
        <v>145</v>
      </c>
      <c r="F377" s="17" t="s">
        <v>146</v>
      </c>
    </row>
    <row r="378" spans="1:10" ht="26.25" thickBot="1" x14ac:dyDescent="0.3">
      <c r="A378" s="18"/>
      <c r="B378" s="11" t="s">
        <v>10</v>
      </c>
      <c r="C378" s="11">
        <v>50887</v>
      </c>
      <c r="D378" s="11">
        <v>50887</v>
      </c>
      <c r="E378" s="11">
        <v>50887</v>
      </c>
      <c r="F378" s="11">
        <v>50887</v>
      </c>
    </row>
    <row r="379" spans="1:10" ht="25.5" customHeight="1" thickBot="1" x14ac:dyDescent="0.3">
      <c r="A379" s="12"/>
      <c r="B379" s="108" t="s">
        <v>11</v>
      </c>
      <c r="C379" s="109"/>
      <c r="D379" s="110">
        <v>260803</v>
      </c>
      <c r="E379" s="111"/>
      <c r="F379" s="1"/>
    </row>
    <row r="380" spans="1:10" ht="16.5" thickBot="1" x14ac:dyDescent="0.3">
      <c r="A380" s="112"/>
      <c r="B380" s="113"/>
      <c r="C380" s="113"/>
      <c r="D380" s="113"/>
      <c r="E380" s="113"/>
      <c r="F380" s="114"/>
    </row>
    <row r="381" spans="1:10" ht="16.5" thickBot="1" x14ac:dyDescent="0.3">
      <c r="A381" s="2" t="s">
        <v>12</v>
      </c>
      <c r="B381" s="12" t="s">
        <v>5</v>
      </c>
      <c r="C381" s="12">
        <v>3</v>
      </c>
      <c r="D381" s="12">
        <v>0</v>
      </c>
      <c r="E381" s="12">
        <v>114</v>
      </c>
      <c r="F381" s="12">
        <v>1</v>
      </c>
    </row>
    <row r="382" spans="1:10" ht="18.75" x14ac:dyDescent="0.25">
      <c r="A382" s="3">
        <v>21</v>
      </c>
      <c r="B382" s="105" t="s">
        <v>6</v>
      </c>
      <c r="C382" s="19">
        <v>220544</v>
      </c>
      <c r="D382" s="24">
        <v>0</v>
      </c>
      <c r="E382" s="19">
        <v>43611</v>
      </c>
      <c r="F382" s="19">
        <v>176933</v>
      </c>
      <c r="G382" s="4"/>
      <c r="I382" s="55"/>
      <c r="J382" s="55"/>
    </row>
    <row r="383" spans="1:10" x14ac:dyDescent="0.25">
      <c r="A383" s="15"/>
      <c r="B383" s="106"/>
      <c r="C383" s="71" t="s">
        <v>7</v>
      </c>
      <c r="D383" s="71" t="s">
        <v>7</v>
      </c>
      <c r="E383" s="71" t="s">
        <v>7</v>
      </c>
      <c r="F383" s="71" t="s">
        <v>7</v>
      </c>
    </row>
    <row r="384" spans="1:10" x14ac:dyDescent="0.25">
      <c r="A384" s="15"/>
      <c r="B384" s="106"/>
      <c r="C384" s="16">
        <v>100</v>
      </c>
      <c r="D384" s="16">
        <v>0</v>
      </c>
      <c r="E384" s="16">
        <v>19</v>
      </c>
      <c r="F384" s="16">
        <v>80</v>
      </c>
    </row>
    <row r="385" spans="1:10" ht="16.5" thickBot="1" x14ac:dyDescent="0.3">
      <c r="A385" s="15"/>
      <c r="B385" s="107"/>
      <c r="C385" s="72" t="s">
        <v>8</v>
      </c>
      <c r="D385" s="72" t="s">
        <v>8</v>
      </c>
      <c r="E385" s="72" t="s">
        <v>8</v>
      </c>
      <c r="F385" s="72" t="s">
        <v>8</v>
      </c>
    </row>
    <row r="386" spans="1:10" ht="16.5" thickBot="1" x14ac:dyDescent="0.3">
      <c r="A386" s="15"/>
      <c r="B386" s="12" t="s">
        <v>9</v>
      </c>
      <c r="C386" s="17" t="s">
        <v>147</v>
      </c>
      <c r="D386" s="17">
        <v>0</v>
      </c>
      <c r="E386" s="17" t="s">
        <v>148</v>
      </c>
      <c r="F386" s="17" t="s">
        <v>149</v>
      </c>
    </row>
    <row r="387" spans="1:10" ht="26.25" thickBot="1" x14ac:dyDescent="0.3">
      <c r="A387" s="18"/>
      <c r="B387" s="11" t="s">
        <v>10</v>
      </c>
      <c r="C387" s="11">
        <v>48464</v>
      </c>
      <c r="D387" s="11">
        <v>0</v>
      </c>
      <c r="E387" s="11">
        <v>48464</v>
      </c>
      <c r="F387" s="11">
        <v>48464</v>
      </c>
    </row>
    <row r="388" spans="1:10" ht="25.5" customHeight="1" thickBot="1" x14ac:dyDescent="0.3">
      <c r="A388" s="12"/>
      <c r="B388" s="108" t="s">
        <v>11</v>
      </c>
      <c r="C388" s="109"/>
      <c r="D388" s="110">
        <v>176933</v>
      </c>
      <c r="E388" s="111"/>
      <c r="F388" s="1"/>
    </row>
    <row r="389" spans="1:10" ht="16.5" thickBot="1" x14ac:dyDescent="0.3">
      <c r="A389" s="112"/>
      <c r="B389" s="113"/>
      <c r="C389" s="113"/>
      <c r="D389" s="113"/>
      <c r="E389" s="113"/>
      <c r="F389" s="114"/>
    </row>
    <row r="390" spans="1:10" ht="16.5" thickBot="1" x14ac:dyDescent="0.3">
      <c r="A390" s="2" t="s">
        <v>12</v>
      </c>
      <c r="B390" s="12" t="s">
        <v>5</v>
      </c>
      <c r="C390" s="12">
        <v>634</v>
      </c>
      <c r="D390" s="12">
        <v>7</v>
      </c>
      <c r="E390" s="13">
        <v>2516</v>
      </c>
      <c r="F390" s="12">
        <v>7</v>
      </c>
    </row>
    <row r="391" spans="1:10" ht="18.75" x14ac:dyDescent="0.25">
      <c r="A391" s="3">
        <v>18</v>
      </c>
      <c r="B391" s="105" t="s">
        <v>6</v>
      </c>
      <c r="C391" s="14">
        <v>5674000</v>
      </c>
      <c r="D391" s="14">
        <v>3713000</v>
      </c>
      <c r="E391" s="14">
        <v>8149000</v>
      </c>
      <c r="F391" s="14">
        <v>1239000</v>
      </c>
      <c r="G391" s="4"/>
      <c r="I391" s="55"/>
      <c r="J391" s="55"/>
    </row>
    <row r="392" spans="1:10" x14ac:dyDescent="0.25">
      <c r="A392" s="15"/>
      <c r="B392" s="106"/>
      <c r="C392" s="71" t="s">
        <v>7</v>
      </c>
      <c r="D392" s="71" t="s">
        <v>7</v>
      </c>
      <c r="E392" s="71" t="s">
        <v>7</v>
      </c>
      <c r="F392" s="71" t="s">
        <v>7</v>
      </c>
    </row>
    <row r="393" spans="1:10" x14ac:dyDescent="0.25">
      <c r="A393" s="15"/>
      <c r="B393" s="106"/>
      <c r="C393" s="16">
        <v>60</v>
      </c>
      <c r="D393" s="16">
        <v>39</v>
      </c>
      <c r="E393" s="16">
        <v>86</v>
      </c>
      <c r="F393" s="16">
        <v>13</v>
      </c>
    </row>
    <row r="394" spans="1:10" ht="16.5" thickBot="1" x14ac:dyDescent="0.3">
      <c r="A394" s="15"/>
      <c r="B394" s="107"/>
      <c r="C394" s="72" t="s">
        <v>8</v>
      </c>
      <c r="D394" s="72" t="s">
        <v>8</v>
      </c>
      <c r="E394" s="72" t="s">
        <v>8</v>
      </c>
      <c r="F394" s="72" t="s">
        <v>8</v>
      </c>
    </row>
    <row r="395" spans="1:10" ht="16.5" thickBot="1" x14ac:dyDescent="0.3">
      <c r="A395" s="15"/>
      <c r="B395" s="12" t="s">
        <v>9</v>
      </c>
      <c r="C395" s="17" t="s">
        <v>150</v>
      </c>
      <c r="D395" s="17" t="s">
        <v>151</v>
      </c>
      <c r="E395" s="17" t="s">
        <v>152</v>
      </c>
      <c r="F395" s="17" t="s">
        <v>153</v>
      </c>
    </row>
    <row r="396" spans="1:10" ht="26.25" thickBot="1" x14ac:dyDescent="0.3">
      <c r="A396" s="18"/>
      <c r="B396" s="11" t="s">
        <v>10</v>
      </c>
      <c r="C396" s="11">
        <v>47540.42</v>
      </c>
      <c r="D396" s="11">
        <v>47473.31</v>
      </c>
      <c r="E396" s="11">
        <v>47470.02</v>
      </c>
      <c r="F396" s="11">
        <v>47802.34</v>
      </c>
    </row>
    <row r="397" spans="1:10" ht="25.5" customHeight="1" thickBot="1" x14ac:dyDescent="0.3">
      <c r="A397" s="12"/>
      <c r="B397" s="108" t="s">
        <v>11</v>
      </c>
      <c r="C397" s="109"/>
      <c r="D397" s="110">
        <v>-2474578</v>
      </c>
      <c r="E397" s="111"/>
      <c r="F397" s="1"/>
    </row>
    <row r="398" spans="1:10" ht="16.5" thickBot="1" x14ac:dyDescent="0.3">
      <c r="A398" s="112"/>
      <c r="B398" s="113"/>
      <c r="C398" s="113"/>
      <c r="D398" s="113"/>
      <c r="E398" s="113"/>
      <c r="F398" s="114"/>
    </row>
    <row r="399" spans="1:10" ht="16.5" thickBot="1" x14ac:dyDescent="0.3">
      <c r="A399" s="2" t="s">
        <v>12</v>
      </c>
      <c r="B399" s="12" t="s">
        <v>5</v>
      </c>
      <c r="C399" s="13">
        <v>1133</v>
      </c>
      <c r="D399" s="12">
        <v>13</v>
      </c>
      <c r="E399" s="13">
        <v>1819</v>
      </c>
      <c r="F399" s="12">
        <v>12</v>
      </c>
    </row>
    <row r="400" spans="1:10" ht="18.75" x14ac:dyDescent="0.25">
      <c r="A400" s="3">
        <v>17</v>
      </c>
      <c r="B400" s="105" t="s">
        <v>6</v>
      </c>
      <c r="C400" s="14">
        <v>2291000</v>
      </c>
      <c r="D400" s="14">
        <v>5932000</v>
      </c>
      <c r="E400" s="14">
        <v>7355000</v>
      </c>
      <c r="F400" s="19">
        <v>867832</v>
      </c>
      <c r="G400" s="4"/>
      <c r="I400" s="55"/>
      <c r="J400" s="55"/>
    </row>
    <row r="401" spans="1:10" x14ac:dyDescent="0.25">
      <c r="A401" s="15"/>
      <c r="B401" s="106"/>
      <c r="C401" s="71" t="s">
        <v>7</v>
      </c>
      <c r="D401" s="71" t="s">
        <v>7</v>
      </c>
      <c r="E401" s="71" t="s">
        <v>7</v>
      </c>
      <c r="F401" s="71" t="s">
        <v>7</v>
      </c>
    </row>
    <row r="402" spans="1:10" x14ac:dyDescent="0.25">
      <c r="A402" s="15"/>
      <c r="B402" s="106"/>
      <c r="C402" s="16">
        <v>27</v>
      </c>
      <c r="D402" s="16">
        <v>72</v>
      </c>
      <c r="E402" s="16">
        <v>89</v>
      </c>
      <c r="F402" s="16">
        <v>10</v>
      </c>
    </row>
    <row r="403" spans="1:10" ht="16.5" thickBot="1" x14ac:dyDescent="0.3">
      <c r="A403" s="15"/>
      <c r="B403" s="107"/>
      <c r="C403" s="72" t="s">
        <v>8</v>
      </c>
      <c r="D403" s="72" t="s">
        <v>8</v>
      </c>
      <c r="E403" s="72" t="s">
        <v>8</v>
      </c>
      <c r="F403" s="72" t="s">
        <v>8</v>
      </c>
    </row>
    <row r="404" spans="1:10" ht="16.5" thickBot="1" x14ac:dyDescent="0.3">
      <c r="A404" s="15"/>
      <c r="B404" s="12" t="s">
        <v>9</v>
      </c>
      <c r="C404" s="17" t="s">
        <v>154</v>
      </c>
      <c r="D404" s="17" t="s">
        <v>155</v>
      </c>
      <c r="E404" s="17" t="s">
        <v>156</v>
      </c>
      <c r="F404" s="17" t="s">
        <v>157</v>
      </c>
    </row>
    <row r="405" spans="1:10" ht="26.25" thickBot="1" x14ac:dyDescent="0.3">
      <c r="A405" s="18"/>
      <c r="B405" s="11" t="s">
        <v>10</v>
      </c>
      <c r="C405" s="11">
        <v>48440.639999999999</v>
      </c>
      <c r="D405" s="11">
        <v>48367.93</v>
      </c>
      <c r="E405" s="11">
        <v>48395.71</v>
      </c>
      <c r="F405" s="11">
        <v>48324.43</v>
      </c>
    </row>
    <row r="406" spans="1:10" ht="25.5" customHeight="1" thickBot="1" x14ac:dyDescent="0.3">
      <c r="A406" s="12"/>
      <c r="B406" s="108" t="s">
        <v>11</v>
      </c>
      <c r="C406" s="109"/>
      <c r="D406" s="110">
        <v>-5064456</v>
      </c>
      <c r="E406" s="111"/>
      <c r="F406" s="1"/>
    </row>
    <row r="407" spans="1:10" ht="16.5" thickBot="1" x14ac:dyDescent="0.3">
      <c r="A407" s="112"/>
      <c r="B407" s="113"/>
      <c r="C407" s="113"/>
      <c r="D407" s="113"/>
      <c r="E407" s="113"/>
      <c r="F407" s="114"/>
    </row>
    <row r="408" spans="1:10" ht="16.5" thickBot="1" x14ac:dyDescent="0.3">
      <c r="A408" s="2" t="s">
        <v>12</v>
      </c>
      <c r="B408" s="12" t="s">
        <v>5</v>
      </c>
      <c r="C408" s="13">
        <v>1056</v>
      </c>
      <c r="D408" s="12">
        <v>17</v>
      </c>
      <c r="E408" s="13">
        <v>2070</v>
      </c>
      <c r="F408" s="12">
        <v>12</v>
      </c>
    </row>
    <row r="409" spans="1:10" ht="18.75" x14ac:dyDescent="0.25">
      <c r="A409" s="3">
        <v>15</v>
      </c>
      <c r="B409" s="105" t="s">
        <v>6</v>
      </c>
      <c r="C409" s="14">
        <v>2435000</v>
      </c>
      <c r="D409" s="14">
        <v>9081000</v>
      </c>
      <c r="E409" s="14">
        <v>9026000</v>
      </c>
      <c r="F409" s="14">
        <v>2490000</v>
      </c>
      <c r="G409" s="4"/>
      <c r="I409" s="55"/>
      <c r="J409" s="55"/>
    </row>
    <row r="410" spans="1:10" x14ac:dyDescent="0.25">
      <c r="A410" s="15"/>
      <c r="B410" s="106"/>
      <c r="C410" s="71" t="s">
        <v>7</v>
      </c>
      <c r="D410" s="71" t="s">
        <v>7</v>
      </c>
      <c r="E410" s="71" t="s">
        <v>7</v>
      </c>
      <c r="F410" s="71" t="s">
        <v>7</v>
      </c>
    </row>
    <row r="411" spans="1:10" x14ac:dyDescent="0.25">
      <c r="A411" s="15"/>
      <c r="B411" s="106"/>
      <c r="C411" s="16">
        <v>21</v>
      </c>
      <c r="D411" s="16">
        <v>78</v>
      </c>
      <c r="E411" s="16">
        <v>78</v>
      </c>
      <c r="F411" s="16">
        <v>21</v>
      </c>
    </row>
    <row r="412" spans="1:10" ht="16.5" thickBot="1" x14ac:dyDescent="0.3">
      <c r="A412" s="15"/>
      <c r="B412" s="107"/>
      <c r="C412" s="72" t="s">
        <v>8</v>
      </c>
      <c r="D412" s="72" t="s">
        <v>8</v>
      </c>
      <c r="E412" s="72" t="s">
        <v>8</v>
      </c>
      <c r="F412" s="72" t="s">
        <v>8</v>
      </c>
    </row>
    <row r="413" spans="1:10" ht="16.5" thickBot="1" x14ac:dyDescent="0.3">
      <c r="A413" s="15"/>
      <c r="B413" s="12" t="s">
        <v>9</v>
      </c>
      <c r="C413" s="17" t="s">
        <v>158</v>
      </c>
      <c r="D413" s="17" t="s">
        <v>159</v>
      </c>
      <c r="E413" s="17" t="s">
        <v>160</v>
      </c>
      <c r="F413" s="17" t="s">
        <v>161</v>
      </c>
    </row>
    <row r="414" spans="1:10" ht="26.25" thickBot="1" x14ac:dyDescent="0.3">
      <c r="A414" s="18"/>
      <c r="B414" s="11" t="s">
        <v>10</v>
      </c>
      <c r="C414" s="11">
        <v>50432.49</v>
      </c>
      <c r="D414" s="11">
        <v>50330.01</v>
      </c>
      <c r="E414" s="11">
        <v>50361.31</v>
      </c>
      <c r="F414" s="11">
        <v>50316.79</v>
      </c>
    </row>
    <row r="415" spans="1:10" ht="25.5" customHeight="1" thickBot="1" x14ac:dyDescent="0.3">
      <c r="A415" s="12"/>
      <c r="B415" s="108" t="s">
        <v>11</v>
      </c>
      <c r="C415" s="109"/>
      <c r="D415" s="110">
        <v>-6590999</v>
      </c>
      <c r="E415" s="111"/>
      <c r="F415" s="1"/>
    </row>
    <row r="416" spans="1:10" ht="16.5" thickBot="1" x14ac:dyDescent="0.3">
      <c r="A416" s="112"/>
      <c r="B416" s="113"/>
      <c r="C416" s="113"/>
      <c r="D416" s="113"/>
      <c r="E416" s="113"/>
      <c r="F416" s="114"/>
    </row>
    <row r="417" spans="1:10" ht="16.5" thickBot="1" x14ac:dyDescent="0.3">
      <c r="A417" s="2" t="s">
        <v>12</v>
      </c>
      <c r="B417" s="12" t="s">
        <v>5</v>
      </c>
      <c r="C417" s="13">
        <v>1089</v>
      </c>
      <c r="D417" s="12">
        <v>12</v>
      </c>
      <c r="E417" s="13">
        <v>1536</v>
      </c>
      <c r="F417" s="12">
        <v>5</v>
      </c>
    </row>
    <row r="418" spans="1:10" ht="18.75" x14ac:dyDescent="0.25">
      <c r="A418" s="3">
        <v>14</v>
      </c>
      <c r="B418" s="105" t="s">
        <v>6</v>
      </c>
      <c r="C418" s="14">
        <v>1335000</v>
      </c>
      <c r="D418" s="14">
        <v>13078000</v>
      </c>
      <c r="E418" s="14">
        <v>10449000</v>
      </c>
      <c r="F418" s="14">
        <v>3963000</v>
      </c>
      <c r="G418" s="4"/>
      <c r="I418" s="55"/>
      <c r="J418" s="55"/>
    </row>
    <row r="419" spans="1:10" x14ac:dyDescent="0.25">
      <c r="A419" s="15"/>
      <c r="B419" s="106"/>
      <c r="C419" s="71" t="s">
        <v>7</v>
      </c>
      <c r="D419" s="71" t="s">
        <v>7</v>
      </c>
      <c r="E419" s="71" t="s">
        <v>7</v>
      </c>
      <c r="F419" s="71" t="s">
        <v>7</v>
      </c>
    </row>
    <row r="420" spans="1:10" x14ac:dyDescent="0.25">
      <c r="A420" s="15"/>
      <c r="B420" s="106"/>
      <c r="C420" s="16">
        <v>9</v>
      </c>
      <c r="D420" s="16">
        <v>90</v>
      </c>
      <c r="E420" s="16">
        <v>72</v>
      </c>
      <c r="F420" s="16">
        <v>27</v>
      </c>
    </row>
    <row r="421" spans="1:10" ht="16.5" thickBot="1" x14ac:dyDescent="0.3">
      <c r="A421" s="15"/>
      <c r="B421" s="107"/>
      <c r="C421" s="72" t="s">
        <v>8</v>
      </c>
      <c r="D421" s="72" t="s">
        <v>8</v>
      </c>
      <c r="E421" s="72" t="s">
        <v>8</v>
      </c>
      <c r="F421" s="72" t="s">
        <v>8</v>
      </c>
    </row>
    <row r="422" spans="1:10" ht="16.5" thickBot="1" x14ac:dyDescent="0.3">
      <c r="A422" s="15"/>
      <c r="B422" s="12" t="s">
        <v>9</v>
      </c>
      <c r="C422" s="17" t="s">
        <v>162</v>
      </c>
      <c r="D422" s="17" t="s">
        <v>163</v>
      </c>
      <c r="E422" s="17" t="s">
        <v>164</v>
      </c>
      <c r="F422" s="17" t="s">
        <v>165</v>
      </c>
    </row>
    <row r="423" spans="1:10" ht="26.25" thickBot="1" x14ac:dyDescent="0.3">
      <c r="A423" s="18"/>
      <c r="B423" s="11" t="s">
        <v>10</v>
      </c>
      <c r="C423" s="11">
        <v>48542.53</v>
      </c>
      <c r="D423" s="11">
        <v>50600.71</v>
      </c>
      <c r="E423" s="11">
        <v>50295.21</v>
      </c>
      <c r="F423" s="11">
        <v>50713.14</v>
      </c>
    </row>
    <row r="424" spans="1:10" ht="25.5" customHeight="1" thickBot="1" x14ac:dyDescent="0.3">
      <c r="A424" s="12"/>
      <c r="B424" s="108" t="s">
        <v>11</v>
      </c>
      <c r="C424" s="109"/>
      <c r="D424" s="110">
        <v>-9114880</v>
      </c>
      <c r="E424" s="111"/>
      <c r="F424" s="1"/>
    </row>
    <row r="425" spans="1:10" ht="16.5" thickBot="1" x14ac:dyDescent="0.3">
      <c r="A425" s="112"/>
      <c r="B425" s="113"/>
      <c r="C425" s="113"/>
      <c r="D425" s="113"/>
      <c r="E425" s="113"/>
      <c r="F425" s="114"/>
    </row>
    <row r="426" spans="1:10" ht="16.5" thickBot="1" x14ac:dyDescent="0.3">
      <c r="A426" s="2" t="s">
        <v>12</v>
      </c>
      <c r="B426" s="12" t="s">
        <v>5</v>
      </c>
      <c r="C426" s="12">
        <v>947</v>
      </c>
      <c r="D426" s="12">
        <v>9</v>
      </c>
      <c r="E426" s="13">
        <v>1081</v>
      </c>
      <c r="F426" s="12">
        <v>6</v>
      </c>
    </row>
    <row r="427" spans="1:10" ht="18.75" x14ac:dyDescent="0.25">
      <c r="A427" s="3">
        <v>11</v>
      </c>
      <c r="B427" s="105" t="s">
        <v>6</v>
      </c>
      <c r="C427" s="14">
        <v>1485000</v>
      </c>
      <c r="D427" s="14">
        <v>1180000</v>
      </c>
      <c r="E427" s="14">
        <v>2417000</v>
      </c>
      <c r="F427" s="19">
        <v>248434</v>
      </c>
      <c r="G427" s="4"/>
      <c r="I427" s="55"/>
      <c r="J427" s="55"/>
    </row>
    <row r="428" spans="1:10" x14ac:dyDescent="0.25">
      <c r="A428" s="15"/>
      <c r="B428" s="106"/>
      <c r="C428" s="71" t="s">
        <v>7</v>
      </c>
      <c r="D428" s="71" t="s">
        <v>7</v>
      </c>
      <c r="E428" s="71" t="s">
        <v>7</v>
      </c>
      <c r="F428" s="71" t="s">
        <v>7</v>
      </c>
    </row>
    <row r="429" spans="1:10" x14ac:dyDescent="0.25">
      <c r="A429" s="15"/>
      <c r="B429" s="106"/>
      <c r="C429" s="16">
        <v>55</v>
      </c>
      <c r="D429" s="16">
        <v>44</v>
      </c>
      <c r="E429" s="16">
        <v>90</v>
      </c>
      <c r="F429" s="16">
        <v>9</v>
      </c>
    </row>
    <row r="430" spans="1:10" ht="16.5" thickBot="1" x14ac:dyDescent="0.3">
      <c r="A430" s="15"/>
      <c r="B430" s="107"/>
      <c r="C430" s="72" t="s">
        <v>8</v>
      </c>
      <c r="D430" s="72" t="s">
        <v>8</v>
      </c>
      <c r="E430" s="72" t="s">
        <v>8</v>
      </c>
      <c r="F430" s="72" t="s">
        <v>8</v>
      </c>
    </row>
    <row r="431" spans="1:10" ht="16.5" thickBot="1" x14ac:dyDescent="0.3">
      <c r="A431" s="15"/>
      <c r="B431" s="12" t="s">
        <v>9</v>
      </c>
      <c r="C431" s="17" t="s">
        <v>166</v>
      </c>
      <c r="D431" s="17" t="s">
        <v>167</v>
      </c>
      <c r="E431" s="17" t="s">
        <v>168</v>
      </c>
      <c r="F431" s="17" t="s">
        <v>169</v>
      </c>
    </row>
    <row r="432" spans="1:10" ht="26.25" thickBot="1" x14ac:dyDescent="0.3">
      <c r="A432" s="18"/>
      <c r="B432" s="11" t="s">
        <v>10</v>
      </c>
      <c r="C432" s="11">
        <v>50899.4</v>
      </c>
      <c r="D432" s="11">
        <v>51199.22</v>
      </c>
      <c r="E432" s="11">
        <v>51001.53</v>
      </c>
      <c r="F432" s="11">
        <v>51330.53</v>
      </c>
    </row>
    <row r="433" spans="1:10" ht="25.5" customHeight="1" thickBot="1" x14ac:dyDescent="0.3">
      <c r="A433" s="12"/>
      <c r="B433" s="108" t="s">
        <v>11</v>
      </c>
      <c r="C433" s="109"/>
      <c r="D433" s="110">
        <v>-932059</v>
      </c>
      <c r="E433" s="111"/>
      <c r="F433" s="1"/>
    </row>
    <row r="434" spans="1:10" ht="16.5" thickBot="1" x14ac:dyDescent="0.3">
      <c r="A434" s="112"/>
      <c r="B434" s="113"/>
      <c r="C434" s="113"/>
      <c r="D434" s="113"/>
      <c r="E434" s="113"/>
      <c r="F434" s="114"/>
    </row>
    <row r="435" spans="1:10" ht="16.5" thickBot="1" x14ac:dyDescent="0.3">
      <c r="A435" s="2" t="s">
        <v>12</v>
      </c>
      <c r="B435" s="12" t="s">
        <v>5</v>
      </c>
      <c r="C435" s="13">
        <v>1303</v>
      </c>
      <c r="D435" s="12">
        <v>10</v>
      </c>
      <c r="E435" s="13">
        <v>1204</v>
      </c>
      <c r="F435" s="12">
        <v>8</v>
      </c>
    </row>
    <row r="436" spans="1:10" ht="18.75" x14ac:dyDescent="0.25">
      <c r="A436" s="3">
        <v>10</v>
      </c>
      <c r="B436" s="105" t="s">
        <v>6</v>
      </c>
      <c r="C436" s="14">
        <v>1961000</v>
      </c>
      <c r="D436" s="19">
        <v>794810</v>
      </c>
      <c r="E436" s="14">
        <v>2544000</v>
      </c>
      <c r="F436" s="19">
        <v>212010</v>
      </c>
      <c r="G436" s="4"/>
      <c r="I436" s="55"/>
      <c r="J436" s="55"/>
    </row>
    <row r="437" spans="1:10" x14ac:dyDescent="0.25">
      <c r="A437" s="15"/>
      <c r="B437" s="106"/>
      <c r="C437" s="71" t="s">
        <v>7</v>
      </c>
      <c r="D437" s="71" t="s">
        <v>7</v>
      </c>
      <c r="E437" s="71" t="s">
        <v>7</v>
      </c>
      <c r="F437" s="71" t="s">
        <v>7</v>
      </c>
    </row>
    <row r="438" spans="1:10" x14ac:dyDescent="0.25">
      <c r="A438" s="15"/>
      <c r="B438" s="106"/>
      <c r="C438" s="16">
        <v>71</v>
      </c>
      <c r="D438" s="16">
        <v>28</v>
      </c>
      <c r="E438" s="16">
        <v>92</v>
      </c>
      <c r="F438" s="16">
        <v>7</v>
      </c>
    </row>
    <row r="439" spans="1:10" ht="16.5" thickBot="1" x14ac:dyDescent="0.3">
      <c r="A439" s="15"/>
      <c r="B439" s="107"/>
      <c r="C439" s="72" t="s">
        <v>8</v>
      </c>
      <c r="D439" s="72" t="s">
        <v>8</v>
      </c>
      <c r="E439" s="72" t="s">
        <v>8</v>
      </c>
      <c r="F439" s="72" t="s">
        <v>8</v>
      </c>
    </row>
    <row r="440" spans="1:10" ht="16.5" thickBot="1" x14ac:dyDescent="0.3">
      <c r="A440" s="15"/>
      <c r="B440" s="12" t="s">
        <v>9</v>
      </c>
      <c r="C440" s="17" t="s">
        <v>170</v>
      </c>
      <c r="D440" s="17" t="s">
        <v>171</v>
      </c>
      <c r="E440" s="17" t="s">
        <v>172</v>
      </c>
      <c r="F440" s="17" t="s">
        <v>173</v>
      </c>
    </row>
    <row r="441" spans="1:10" ht="26.25" thickBot="1" x14ac:dyDescent="0.3">
      <c r="A441" s="18"/>
      <c r="B441" s="11" t="s">
        <v>10</v>
      </c>
      <c r="C441" s="11">
        <v>50398.74</v>
      </c>
      <c r="D441" s="11">
        <v>50218.5</v>
      </c>
      <c r="E441" s="11">
        <v>50318.45</v>
      </c>
      <c r="F441" s="11">
        <v>50686.34</v>
      </c>
    </row>
    <row r="442" spans="1:10" ht="25.5" customHeight="1" thickBot="1" x14ac:dyDescent="0.3">
      <c r="A442" s="12"/>
      <c r="B442" s="108" t="s">
        <v>11</v>
      </c>
      <c r="C442" s="109"/>
      <c r="D442" s="110">
        <v>-582800</v>
      </c>
      <c r="E442" s="111"/>
      <c r="F442" s="1"/>
    </row>
    <row r="443" spans="1:10" ht="16.5" thickBot="1" x14ac:dyDescent="0.3">
      <c r="A443" s="112"/>
      <c r="B443" s="113"/>
      <c r="C443" s="113"/>
      <c r="D443" s="113"/>
      <c r="E443" s="113"/>
      <c r="F443" s="114"/>
    </row>
    <row r="444" spans="1:10" ht="16.5" thickBot="1" x14ac:dyDescent="0.3">
      <c r="A444" s="2" t="s">
        <v>12</v>
      </c>
      <c r="B444" s="12" t="s">
        <v>5</v>
      </c>
      <c r="C444" s="12">
        <v>888</v>
      </c>
      <c r="D444" s="12">
        <v>14</v>
      </c>
      <c r="E444" s="13">
        <v>2161</v>
      </c>
      <c r="F444" s="12">
        <v>15</v>
      </c>
    </row>
    <row r="445" spans="1:10" ht="18.75" x14ac:dyDescent="0.25">
      <c r="A445" s="3">
        <v>9</v>
      </c>
      <c r="B445" s="105" t="s">
        <v>6</v>
      </c>
      <c r="C445" s="14">
        <v>2628000</v>
      </c>
      <c r="D445" s="14">
        <v>4919000</v>
      </c>
      <c r="E445" s="14">
        <v>3818000</v>
      </c>
      <c r="F445" s="14">
        <v>3729000</v>
      </c>
      <c r="G445" s="4"/>
      <c r="I445" s="55"/>
      <c r="J445" s="55"/>
    </row>
    <row r="446" spans="1:10" x14ac:dyDescent="0.25">
      <c r="A446" s="15"/>
      <c r="B446" s="106"/>
      <c r="C446" s="71" t="s">
        <v>7</v>
      </c>
      <c r="D446" s="71" t="s">
        <v>7</v>
      </c>
      <c r="E446" s="71" t="s">
        <v>7</v>
      </c>
      <c r="F446" s="71" t="s">
        <v>7</v>
      </c>
    </row>
    <row r="447" spans="1:10" x14ac:dyDescent="0.25">
      <c r="A447" s="15"/>
      <c r="B447" s="106"/>
      <c r="C447" s="16">
        <v>34</v>
      </c>
      <c r="D447" s="16">
        <v>65</v>
      </c>
      <c r="E447" s="16">
        <v>50</v>
      </c>
      <c r="F447" s="16">
        <v>49</v>
      </c>
    </row>
    <row r="448" spans="1:10" ht="16.5" thickBot="1" x14ac:dyDescent="0.3">
      <c r="A448" s="15"/>
      <c r="B448" s="107"/>
      <c r="C448" s="72" t="s">
        <v>8</v>
      </c>
      <c r="D448" s="72" t="s">
        <v>8</v>
      </c>
      <c r="E448" s="72" t="s">
        <v>8</v>
      </c>
      <c r="F448" s="72" t="s">
        <v>8</v>
      </c>
    </row>
    <row r="449" spans="1:10" ht="16.5" thickBot="1" x14ac:dyDescent="0.3">
      <c r="A449" s="15"/>
      <c r="B449" s="12" t="s">
        <v>9</v>
      </c>
      <c r="C449" s="17" t="s">
        <v>174</v>
      </c>
      <c r="D449" s="17" t="s">
        <v>175</v>
      </c>
      <c r="E449" s="17" t="s">
        <v>176</v>
      </c>
      <c r="F449" s="17" t="s">
        <v>177</v>
      </c>
    </row>
    <row r="450" spans="1:10" ht="26.25" thickBot="1" x14ac:dyDescent="0.3">
      <c r="A450" s="18"/>
      <c r="B450" s="11" t="s">
        <v>10</v>
      </c>
      <c r="C450" s="11">
        <v>49552.45</v>
      </c>
      <c r="D450" s="11">
        <v>49915.78</v>
      </c>
      <c r="E450" s="11">
        <v>49628.42</v>
      </c>
      <c r="F450" s="11">
        <v>49954</v>
      </c>
    </row>
    <row r="451" spans="1:10" ht="25.5" customHeight="1" thickBot="1" x14ac:dyDescent="0.3">
      <c r="A451" s="12"/>
      <c r="B451" s="108" t="s">
        <v>11</v>
      </c>
      <c r="C451" s="109"/>
      <c r="D451" s="110">
        <v>-1190479</v>
      </c>
      <c r="E451" s="111"/>
      <c r="F451" s="1"/>
    </row>
    <row r="452" spans="1:10" ht="16.5" thickBot="1" x14ac:dyDescent="0.3">
      <c r="A452" s="112"/>
      <c r="B452" s="113"/>
      <c r="C452" s="113"/>
      <c r="D452" s="113"/>
      <c r="E452" s="113"/>
      <c r="F452" s="114"/>
    </row>
    <row r="453" spans="1:10" ht="16.5" thickBot="1" x14ac:dyDescent="0.3">
      <c r="A453" s="2" t="s">
        <v>12</v>
      </c>
      <c r="B453" s="12" t="s">
        <v>5</v>
      </c>
      <c r="C453" s="13">
        <v>1078</v>
      </c>
      <c r="D453" s="12">
        <v>14</v>
      </c>
      <c r="E453" s="13">
        <v>1481</v>
      </c>
      <c r="F453" s="12">
        <v>6</v>
      </c>
    </row>
    <row r="454" spans="1:10" ht="18.75" x14ac:dyDescent="0.25">
      <c r="A454" s="3">
        <v>8</v>
      </c>
      <c r="B454" s="105" t="s">
        <v>6</v>
      </c>
      <c r="C454" s="14">
        <v>2401000</v>
      </c>
      <c r="D454" s="14">
        <v>1041000</v>
      </c>
      <c r="E454" s="14">
        <v>3170000</v>
      </c>
      <c r="F454" s="19">
        <v>271828</v>
      </c>
      <c r="G454" s="4"/>
      <c r="I454" s="55"/>
      <c r="J454" s="55"/>
    </row>
    <row r="455" spans="1:10" x14ac:dyDescent="0.25">
      <c r="A455" s="15"/>
      <c r="B455" s="106"/>
      <c r="C455" s="71" t="s">
        <v>7</v>
      </c>
      <c r="D455" s="71" t="s">
        <v>7</v>
      </c>
      <c r="E455" s="71" t="s">
        <v>7</v>
      </c>
      <c r="F455" s="71" t="s">
        <v>7</v>
      </c>
    </row>
    <row r="456" spans="1:10" x14ac:dyDescent="0.25">
      <c r="A456" s="15"/>
      <c r="B456" s="106"/>
      <c r="C456" s="16">
        <v>69</v>
      </c>
      <c r="D456" s="16">
        <v>30</v>
      </c>
      <c r="E456" s="16">
        <v>92</v>
      </c>
      <c r="F456" s="16">
        <v>7</v>
      </c>
    </row>
    <row r="457" spans="1:10" ht="16.5" thickBot="1" x14ac:dyDescent="0.3">
      <c r="A457" s="15"/>
      <c r="B457" s="107"/>
      <c r="C457" s="72" t="s">
        <v>8</v>
      </c>
      <c r="D457" s="72" t="s">
        <v>8</v>
      </c>
      <c r="E457" s="72" t="s">
        <v>8</v>
      </c>
      <c r="F457" s="72" t="s">
        <v>8</v>
      </c>
    </row>
    <row r="458" spans="1:10" ht="16.5" thickBot="1" x14ac:dyDescent="0.3">
      <c r="A458" s="15"/>
      <c r="B458" s="12" t="s">
        <v>9</v>
      </c>
      <c r="C458" s="17" t="s">
        <v>178</v>
      </c>
      <c r="D458" s="17" t="s">
        <v>179</v>
      </c>
      <c r="E458" s="17" t="s">
        <v>180</v>
      </c>
      <c r="F458" s="17" t="s">
        <v>181</v>
      </c>
    </row>
    <row r="459" spans="1:10" ht="26.25" thickBot="1" x14ac:dyDescent="0.3">
      <c r="A459" s="18"/>
      <c r="B459" s="11" t="s">
        <v>10</v>
      </c>
      <c r="C459" s="11">
        <v>47521</v>
      </c>
      <c r="D459" s="11">
        <v>47874.59</v>
      </c>
      <c r="E459" s="11">
        <v>47638.87</v>
      </c>
      <c r="F459" s="11">
        <v>47500.41</v>
      </c>
    </row>
    <row r="460" spans="1:10" ht="25.5" customHeight="1" thickBot="1" x14ac:dyDescent="0.3">
      <c r="A460" s="12"/>
      <c r="B460" s="108" t="s">
        <v>11</v>
      </c>
      <c r="C460" s="109"/>
      <c r="D460" s="110">
        <v>-768948</v>
      </c>
      <c r="E460" s="111"/>
      <c r="F460" s="1"/>
    </row>
    <row r="461" spans="1:10" ht="16.5" thickBot="1" x14ac:dyDescent="0.3">
      <c r="A461" s="112"/>
      <c r="B461" s="113"/>
      <c r="C461" s="113"/>
      <c r="D461" s="113"/>
      <c r="E461" s="113"/>
      <c r="F461" s="114"/>
    </row>
    <row r="462" spans="1:10" ht="16.5" thickBot="1" x14ac:dyDescent="0.3">
      <c r="A462" s="2" t="s">
        <v>12</v>
      </c>
      <c r="B462" s="12" t="s">
        <v>5</v>
      </c>
      <c r="C462" s="13">
        <v>1055</v>
      </c>
      <c r="D462" s="12">
        <v>4</v>
      </c>
      <c r="E462" s="13">
        <v>1072</v>
      </c>
      <c r="F462" s="12">
        <v>8</v>
      </c>
    </row>
    <row r="463" spans="1:10" ht="18.75" x14ac:dyDescent="0.25">
      <c r="A463" s="3">
        <v>7</v>
      </c>
      <c r="B463" s="105" t="s">
        <v>6</v>
      </c>
      <c r="C463" s="14">
        <v>2102000</v>
      </c>
      <c r="D463" s="19">
        <v>227062</v>
      </c>
      <c r="E463" s="14">
        <v>1837000</v>
      </c>
      <c r="F463" s="19">
        <v>491716</v>
      </c>
      <c r="G463" s="4"/>
      <c r="I463" s="55"/>
      <c r="J463" s="55"/>
    </row>
    <row r="464" spans="1:10" x14ac:dyDescent="0.25">
      <c r="A464" s="15"/>
      <c r="B464" s="106"/>
      <c r="C464" s="71" t="s">
        <v>7</v>
      </c>
      <c r="D464" s="71" t="s">
        <v>7</v>
      </c>
      <c r="E464" s="71" t="s">
        <v>7</v>
      </c>
      <c r="F464" s="71" t="s">
        <v>7</v>
      </c>
    </row>
    <row r="465" spans="1:10" x14ac:dyDescent="0.25">
      <c r="A465" s="15"/>
      <c r="B465" s="106"/>
      <c r="C465" s="16">
        <v>90</v>
      </c>
      <c r="D465" s="16">
        <v>9</v>
      </c>
      <c r="E465" s="16">
        <v>78</v>
      </c>
      <c r="F465" s="16">
        <v>21</v>
      </c>
    </row>
    <row r="466" spans="1:10" ht="16.5" thickBot="1" x14ac:dyDescent="0.3">
      <c r="A466" s="15"/>
      <c r="B466" s="107"/>
      <c r="C466" s="72" t="s">
        <v>8</v>
      </c>
      <c r="D466" s="72" t="s">
        <v>8</v>
      </c>
      <c r="E466" s="72" t="s">
        <v>8</v>
      </c>
      <c r="F466" s="72" t="s">
        <v>8</v>
      </c>
    </row>
    <row r="467" spans="1:10" ht="16.5" thickBot="1" x14ac:dyDescent="0.3">
      <c r="A467" s="15"/>
      <c r="B467" s="12" t="s">
        <v>9</v>
      </c>
      <c r="C467" s="17" t="s">
        <v>182</v>
      </c>
      <c r="D467" s="17" t="s">
        <v>183</v>
      </c>
      <c r="E467" s="17" t="s">
        <v>184</v>
      </c>
      <c r="F467" s="17" t="s">
        <v>185</v>
      </c>
    </row>
    <row r="468" spans="1:10" ht="26.25" thickBot="1" x14ac:dyDescent="0.3">
      <c r="A468" s="18"/>
      <c r="B468" s="11" t="s">
        <v>10</v>
      </c>
      <c r="C468" s="11">
        <v>48137.63</v>
      </c>
      <c r="D468" s="11">
        <v>48090.04</v>
      </c>
      <c r="E468" s="11">
        <v>48151.81</v>
      </c>
      <c r="F468" s="11">
        <v>48062.68</v>
      </c>
    </row>
    <row r="469" spans="1:10" ht="25.5" customHeight="1" thickBot="1" x14ac:dyDescent="0.3">
      <c r="A469" s="12"/>
      <c r="B469" s="108" t="s">
        <v>11</v>
      </c>
      <c r="C469" s="109"/>
      <c r="D469" s="110">
        <v>264654</v>
      </c>
      <c r="E469" s="111"/>
      <c r="F469" s="1"/>
    </row>
    <row r="470" spans="1:10" ht="16.5" thickBot="1" x14ac:dyDescent="0.3">
      <c r="A470" s="112"/>
      <c r="B470" s="113"/>
      <c r="C470" s="113"/>
      <c r="D470" s="113"/>
      <c r="E470" s="113"/>
      <c r="F470" s="114"/>
    </row>
    <row r="471" spans="1:10" ht="16.5" thickBot="1" x14ac:dyDescent="0.3">
      <c r="A471" s="2" t="s">
        <v>12</v>
      </c>
      <c r="B471" s="12" t="s">
        <v>5</v>
      </c>
      <c r="C471" s="13">
        <v>1112</v>
      </c>
      <c r="D471" s="12">
        <v>6</v>
      </c>
      <c r="E471" s="13">
        <v>1477</v>
      </c>
      <c r="F471" s="12">
        <v>7</v>
      </c>
    </row>
    <row r="472" spans="1:10" ht="18.75" x14ac:dyDescent="0.25">
      <c r="A472" s="3">
        <v>4</v>
      </c>
      <c r="B472" s="105" t="s">
        <v>6</v>
      </c>
      <c r="C472" s="14">
        <v>1876000</v>
      </c>
      <c r="D472" s="19">
        <v>342822</v>
      </c>
      <c r="E472" s="14">
        <v>2154000</v>
      </c>
      <c r="F472" s="19">
        <v>64814</v>
      </c>
      <c r="G472" s="4"/>
      <c r="I472" s="55"/>
      <c r="J472" s="55"/>
    </row>
    <row r="473" spans="1:10" x14ac:dyDescent="0.25">
      <c r="A473" s="15"/>
      <c r="B473" s="106"/>
      <c r="C473" s="71" t="s">
        <v>7</v>
      </c>
      <c r="D473" s="71" t="s">
        <v>7</v>
      </c>
      <c r="E473" s="71" t="s">
        <v>7</v>
      </c>
      <c r="F473" s="71" t="s">
        <v>7</v>
      </c>
    </row>
    <row r="474" spans="1:10" x14ac:dyDescent="0.25">
      <c r="A474" s="15"/>
      <c r="B474" s="106"/>
      <c r="C474" s="16">
        <v>84</v>
      </c>
      <c r="D474" s="16">
        <v>15</v>
      </c>
      <c r="E474" s="16">
        <v>97</v>
      </c>
      <c r="F474" s="16">
        <v>2</v>
      </c>
    </row>
    <row r="475" spans="1:10" ht="16.5" thickBot="1" x14ac:dyDescent="0.3">
      <c r="A475" s="15"/>
      <c r="B475" s="107"/>
      <c r="C475" s="72" t="s">
        <v>8</v>
      </c>
      <c r="D475" s="72" t="s">
        <v>8</v>
      </c>
      <c r="E475" s="72" t="s">
        <v>8</v>
      </c>
      <c r="F475" s="72" t="s">
        <v>8</v>
      </c>
    </row>
    <row r="476" spans="1:10" ht="16.5" thickBot="1" x14ac:dyDescent="0.3">
      <c r="A476" s="15"/>
      <c r="B476" s="12" t="s">
        <v>9</v>
      </c>
      <c r="C476" s="17" t="s">
        <v>186</v>
      </c>
      <c r="D476" s="17" t="s">
        <v>187</v>
      </c>
      <c r="E476" s="17" t="s">
        <v>188</v>
      </c>
      <c r="F476" s="17" t="s">
        <v>189</v>
      </c>
    </row>
    <row r="477" spans="1:10" ht="26.25" thickBot="1" x14ac:dyDescent="0.3">
      <c r="A477" s="18"/>
      <c r="B477" s="11" t="s">
        <v>10</v>
      </c>
      <c r="C477" s="11">
        <v>47202.91</v>
      </c>
      <c r="D477" s="11">
        <v>47136.82</v>
      </c>
      <c r="E477" s="11">
        <v>47167.96</v>
      </c>
      <c r="F477" s="11">
        <v>48014.85</v>
      </c>
    </row>
    <row r="478" spans="1:10" ht="25.5" customHeight="1" thickBot="1" x14ac:dyDescent="0.3">
      <c r="A478" s="12"/>
      <c r="B478" s="108" t="s">
        <v>11</v>
      </c>
      <c r="C478" s="109"/>
      <c r="D478" s="110">
        <v>-278008</v>
      </c>
      <c r="E478" s="111"/>
      <c r="F478" s="1"/>
    </row>
    <row r="479" spans="1:10" ht="16.5" thickBot="1" x14ac:dyDescent="0.3">
      <c r="A479" s="112"/>
      <c r="B479" s="113"/>
      <c r="C479" s="113"/>
      <c r="D479" s="113"/>
      <c r="E479" s="113"/>
      <c r="F479" s="114"/>
    </row>
    <row r="480" spans="1:10" ht="16.5" thickBot="1" x14ac:dyDescent="0.3">
      <c r="A480" s="2" t="s">
        <v>12</v>
      </c>
      <c r="B480" s="12" t="s">
        <v>5</v>
      </c>
      <c r="C480" s="12">
        <v>910</v>
      </c>
      <c r="D480" s="12">
        <v>7</v>
      </c>
      <c r="E480" s="13">
        <v>1115</v>
      </c>
      <c r="F480" s="12">
        <v>8</v>
      </c>
    </row>
    <row r="481" spans="1:10" ht="18.75" x14ac:dyDescent="0.25">
      <c r="A481" s="3">
        <v>3</v>
      </c>
      <c r="B481" s="105" t="s">
        <v>6</v>
      </c>
      <c r="C481" s="14">
        <v>1627000</v>
      </c>
      <c r="D481" s="19">
        <v>780607</v>
      </c>
      <c r="E481" s="14">
        <v>1781000</v>
      </c>
      <c r="F481" s="19">
        <v>626106</v>
      </c>
      <c r="G481" s="4"/>
      <c r="I481" s="55"/>
      <c r="J481" s="55"/>
    </row>
    <row r="482" spans="1:10" x14ac:dyDescent="0.25">
      <c r="A482" s="15"/>
      <c r="B482" s="106"/>
      <c r="C482" s="71" t="s">
        <v>7</v>
      </c>
      <c r="D482" s="71" t="s">
        <v>7</v>
      </c>
      <c r="E482" s="71" t="s">
        <v>7</v>
      </c>
      <c r="F482" s="71" t="s">
        <v>7</v>
      </c>
    </row>
    <row r="483" spans="1:10" x14ac:dyDescent="0.25">
      <c r="A483" s="15"/>
      <c r="B483" s="106"/>
      <c r="C483" s="16">
        <v>67</v>
      </c>
      <c r="D483" s="16">
        <v>32</v>
      </c>
      <c r="E483" s="16">
        <v>73</v>
      </c>
      <c r="F483" s="16">
        <v>26</v>
      </c>
    </row>
    <row r="484" spans="1:10" ht="16.5" thickBot="1" x14ac:dyDescent="0.3">
      <c r="A484" s="15"/>
      <c r="B484" s="107"/>
      <c r="C484" s="72" t="s">
        <v>8</v>
      </c>
      <c r="D484" s="72" t="s">
        <v>8</v>
      </c>
      <c r="E484" s="72" t="s">
        <v>8</v>
      </c>
      <c r="F484" s="72" t="s">
        <v>8</v>
      </c>
    </row>
    <row r="485" spans="1:10" ht="16.5" thickBot="1" x14ac:dyDescent="0.3">
      <c r="A485" s="15"/>
      <c r="B485" s="12" t="s">
        <v>9</v>
      </c>
      <c r="C485" s="17" t="s">
        <v>190</v>
      </c>
      <c r="D485" s="17" t="s">
        <v>191</v>
      </c>
      <c r="E485" s="17" t="s">
        <v>192</v>
      </c>
      <c r="F485" s="17" t="s">
        <v>193</v>
      </c>
    </row>
    <row r="486" spans="1:10" ht="26.25" thickBot="1" x14ac:dyDescent="0.3">
      <c r="A486" s="18"/>
      <c r="B486" s="11" t="s">
        <v>10</v>
      </c>
      <c r="C486" s="11">
        <v>48138.31</v>
      </c>
      <c r="D486" s="11">
        <v>47989.96</v>
      </c>
      <c r="E486" s="11">
        <v>48093.1</v>
      </c>
      <c r="F486" s="11">
        <v>48081.99</v>
      </c>
    </row>
    <row r="487" spans="1:10" ht="25.5" customHeight="1" thickBot="1" x14ac:dyDescent="0.3">
      <c r="A487" s="12"/>
      <c r="B487" s="108" t="s">
        <v>11</v>
      </c>
      <c r="C487" s="109"/>
      <c r="D487" s="110">
        <v>-154501</v>
      </c>
      <c r="E487" s="111"/>
      <c r="F487" s="1"/>
    </row>
    <row r="488" spans="1:10" ht="16.5" thickBot="1" x14ac:dyDescent="0.3">
      <c r="A488" s="112"/>
      <c r="B488" s="113"/>
      <c r="C488" s="113"/>
      <c r="D488" s="113"/>
      <c r="E488" s="113"/>
      <c r="F488" s="114"/>
    </row>
    <row r="489" spans="1:10" ht="16.5" thickBot="1" x14ac:dyDescent="0.3">
      <c r="A489" s="2" t="s">
        <v>12</v>
      </c>
      <c r="B489" s="12" t="s">
        <v>5</v>
      </c>
      <c r="C489" s="13">
        <v>1524</v>
      </c>
      <c r="D489" s="12">
        <v>12</v>
      </c>
      <c r="E489" s="13">
        <v>1716</v>
      </c>
      <c r="F489" s="12">
        <v>12</v>
      </c>
    </row>
    <row r="490" spans="1:10" ht="18.75" x14ac:dyDescent="0.25">
      <c r="A490" s="3">
        <v>2</v>
      </c>
      <c r="B490" s="105" t="s">
        <v>6</v>
      </c>
      <c r="C490" s="14">
        <v>2235000</v>
      </c>
      <c r="D490" s="14">
        <v>1795000</v>
      </c>
      <c r="E490" s="14">
        <v>3456000</v>
      </c>
      <c r="F490" s="19">
        <v>574077</v>
      </c>
      <c r="G490" s="4"/>
      <c r="I490" s="55"/>
      <c r="J490" s="55"/>
    </row>
    <row r="491" spans="1:10" x14ac:dyDescent="0.25">
      <c r="A491" s="15"/>
      <c r="B491" s="106"/>
      <c r="C491" s="71" t="s">
        <v>7</v>
      </c>
      <c r="D491" s="71" t="s">
        <v>7</v>
      </c>
      <c r="E491" s="71" t="s">
        <v>7</v>
      </c>
      <c r="F491" s="71" t="s">
        <v>7</v>
      </c>
    </row>
    <row r="492" spans="1:10" x14ac:dyDescent="0.25">
      <c r="A492" s="15"/>
      <c r="B492" s="106"/>
      <c r="C492" s="16">
        <v>55</v>
      </c>
      <c r="D492" s="16">
        <v>44</v>
      </c>
      <c r="E492" s="16">
        <v>85</v>
      </c>
      <c r="F492" s="16">
        <v>14</v>
      </c>
    </row>
    <row r="493" spans="1:10" ht="16.5" thickBot="1" x14ac:dyDescent="0.3">
      <c r="A493" s="15"/>
      <c r="B493" s="107"/>
      <c r="C493" s="72" t="s">
        <v>8</v>
      </c>
      <c r="D493" s="72" t="s">
        <v>8</v>
      </c>
      <c r="E493" s="72" t="s">
        <v>8</v>
      </c>
      <c r="F493" s="72" t="s">
        <v>8</v>
      </c>
    </row>
    <row r="494" spans="1:10" ht="16.5" thickBot="1" x14ac:dyDescent="0.3">
      <c r="A494" s="15"/>
      <c r="B494" s="12" t="s">
        <v>9</v>
      </c>
      <c r="C494" s="17" t="s">
        <v>194</v>
      </c>
      <c r="D494" s="17" t="s">
        <v>195</v>
      </c>
      <c r="E494" s="17" t="s">
        <v>196</v>
      </c>
      <c r="F494" s="17" t="s">
        <v>197</v>
      </c>
    </row>
    <row r="495" spans="1:10" ht="26.25" thickBot="1" x14ac:dyDescent="0.3">
      <c r="A495" s="18"/>
      <c r="B495" s="11" t="s">
        <v>10</v>
      </c>
      <c r="C495" s="11">
        <v>48235.12</v>
      </c>
      <c r="D495" s="11">
        <v>47762.03</v>
      </c>
      <c r="E495" s="11">
        <v>47985.83</v>
      </c>
      <c r="F495" s="11">
        <v>48256.46</v>
      </c>
    </row>
    <row r="496" spans="1:10" ht="25.5" customHeight="1" thickBot="1" x14ac:dyDescent="0.3">
      <c r="A496" s="12"/>
      <c r="B496" s="108" t="s">
        <v>11</v>
      </c>
      <c r="C496" s="109"/>
      <c r="D496" s="110">
        <v>-1221401</v>
      </c>
      <c r="E496" s="111"/>
      <c r="F496" s="1"/>
    </row>
    <row r="497" spans="1:10" ht="16.5" thickBot="1" x14ac:dyDescent="0.3">
      <c r="A497" s="112"/>
      <c r="B497" s="113"/>
      <c r="C497" s="113"/>
      <c r="D497" s="113"/>
      <c r="E497" s="113"/>
      <c r="F497" s="114"/>
    </row>
    <row r="498" spans="1:10" ht="16.5" thickBot="1" x14ac:dyDescent="0.3">
      <c r="A498" s="2" t="s">
        <v>12</v>
      </c>
      <c r="B498" s="12" t="s">
        <v>5</v>
      </c>
      <c r="C498" s="12">
        <v>852</v>
      </c>
      <c r="D498" s="12">
        <v>7</v>
      </c>
      <c r="E498" s="13">
        <v>1151</v>
      </c>
      <c r="F498" s="12">
        <v>6</v>
      </c>
    </row>
    <row r="499" spans="1:10" ht="18.75" x14ac:dyDescent="0.25">
      <c r="A499" s="3">
        <v>1</v>
      </c>
      <c r="B499" s="105" t="s">
        <v>6</v>
      </c>
      <c r="C499" s="14">
        <v>1930000</v>
      </c>
      <c r="D499" s="19">
        <v>659428</v>
      </c>
      <c r="E499" s="14">
        <v>1796000</v>
      </c>
      <c r="F499" s="19">
        <v>793617</v>
      </c>
      <c r="G499" s="4"/>
      <c r="I499" s="55"/>
      <c r="J499" s="55"/>
    </row>
    <row r="500" spans="1:10" x14ac:dyDescent="0.25">
      <c r="A500" s="15"/>
      <c r="B500" s="106"/>
      <c r="C500" s="71" t="s">
        <v>7</v>
      </c>
      <c r="D500" s="71" t="s">
        <v>7</v>
      </c>
      <c r="E500" s="71" t="s">
        <v>7</v>
      </c>
      <c r="F500" s="71" t="s">
        <v>7</v>
      </c>
    </row>
    <row r="501" spans="1:10" x14ac:dyDescent="0.25">
      <c r="A501" s="15"/>
      <c r="B501" s="106"/>
      <c r="C501" s="16">
        <v>74</v>
      </c>
      <c r="D501" s="16">
        <v>25</v>
      </c>
      <c r="E501" s="16">
        <v>69</v>
      </c>
      <c r="F501" s="16">
        <v>30</v>
      </c>
    </row>
    <row r="502" spans="1:10" ht="16.5" thickBot="1" x14ac:dyDescent="0.3">
      <c r="A502" s="15"/>
      <c r="B502" s="107"/>
      <c r="C502" s="72" t="s">
        <v>8</v>
      </c>
      <c r="D502" s="72" t="s">
        <v>8</v>
      </c>
      <c r="E502" s="72" t="s">
        <v>8</v>
      </c>
      <c r="F502" s="72" t="s">
        <v>8</v>
      </c>
    </row>
    <row r="503" spans="1:10" ht="16.5" thickBot="1" x14ac:dyDescent="0.3">
      <c r="A503" s="15"/>
      <c r="B503" s="12" t="s">
        <v>9</v>
      </c>
      <c r="C503" s="17" t="s">
        <v>198</v>
      </c>
      <c r="D503" s="17" t="s">
        <v>199</v>
      </c>
      <c r="E503" s="17" t="s">
        <v>200</v>
      </c>
      <c r="F503" s="17" t="s">
        <v>201</v>
      </c>
    </row>
    <row r="504" spans="1:10" ht="26.25" thickBot="1" x14ac:dyDescent="0.3">
      <c r="A504" s="18"/>
      <c r="B504" s="11" t="s">
        <v>10</v>
      </c>
      <c r="C504" s="11">
        <v>47859.42</v>
      </c>
      <c r="D504" s="11">
        <v>47266.879999999997</v>
      </c>
      <c r="E504" s="11">
        <v>47640.83</v>
      </c>
      <c r="F504" s="11">
        <v>47861.77</v>
      </c>
    </row>
    <row r="505" spans="1:10" ht="25.5" customHeight="1" thickBot="1" x14ac:dyDescent="0.3">
      <c r="A505" s="12"/>
      <c r="B505" s="108" t="s">
        <v>11</v>
      </c>
      <c r="C505" s="109"/>
      <c r="D505" s="110">
        <v>134189</v>
      </c>
      <c r="E505" s="111"/>
      <c r="F505" s="1"/>
    </row>
    <row r="506" spans="1:10" ht="16.5" thickBot="1" x14ac:dyDescent="0.3">
      <c r="A506" s="112"/>
      <c r="B506" s="113"/>
      <c r="C506" s="113"/>
      <c r="D506" s="113"/>
      <c r="E506" s="113"/>
      <c r="F506" s="114"/>
    </row>
    <row r="507" spans="1:10" ht="16.5" thickBot="1" x14ac:dyDescent="0.3">
      <c r="A507" s="2" t="s">
        <v>13</v>
      </c>
      <c r="B507" s="12" t="s">
        <v>5</v>
      </c>
      <c r="C507" s="13">
        <v>1207</v>
      </c>
      <c r="D507" s="12">
        <v>9</v>
      </c>
      <c r="E507" s="13">
        <v>2523</v>
      </c>
      <c r="F507" s="12">
        <v>11</v>
      </c>
    </row>
    <row r="508" spans="1:10" ht="18.75" x14ac:dyDescent="0.25">
      <c r="A508" s="3">
        <v>26</v>
      </c>
      <c r="B508" s="105" t="s">
        <v>6</v>
      </c>
      <c r="C508" s="14">
        <v>3599000</v>
      </c>
      <c r="D508" s="14">
        <v>1227000</v>
      </c>
      <c r="E508" s="14">
        <v>4381000</v>
      </c>
      <c r="F508" s="19">
        <v>444262</v>
      </c>
      <c r="G508" s="4"/>
      <c r="I508" s="55"/>
      <c r="J508" s="55"/>
    </row>
    <row r="509" spans="1:10" x14ac:dyDescent="0.25">
      <c r="A509" s="15"/>
      <c r="B509" s="106"/>
      <c r="C509" s="71" t="s">
        <v>7</v>
      </c>
      <c r="D509" s="71" t="s">
        <v>7</v>
      </c>
      <c r="E509" s="71" t="s">
        <v>7</v>
      </c>
      <c r="F509" s="71" t="s">
        <v>7</v>
      </c>
    </row>
    <row r="510" spans="1:10" x14ac:dyDescent="0.25">
      <c r="A510" s="15"/>
      <c r="B510" s="106"/>
      <c r="C510" s="16">
        <v>74</v>
      </c>
      <c r="D510" s="16">
        <v>25</v>
      </c>
      <c r="E510" s="16">
        <v>90</v>
      </c>
      <c r="F510" s="16">
        <v>9</v>
      </c>
    </row>
    <row r="511" spans="1:10" ht="16.5" thickBot="1" x14ac:dyDescent="0.3">
      <c r="A511" s="15"/>
      <c r="B511" s="107"/>
      <c r="C511" s="72" t="s">
        <v>8</v>
      </c>
      <c r="D511" s="72" t="s">
        <v>8</v>
      </c>
      <c r="E511" s="72" t="s">
        <v>8</v>
      </c>
      <c r="F511" s="72" t="s">
        <v>8</v>
      </c>
    </row>
    <row r="512" spans="1:10" ht="16.5" thickBot="1" x14ac:dyDescent="0.3">
      <c r="A512" s="15"/>
      <c r="B512" s="12" t="s">
        <v>9</v>
      </c>
      <c r="C512" s="17" t="s">
        <v>202</v>
      </c>
      <c r="D512" s="17" t="s">
        <v>203</v>
      </c>
      <c r="E512" s="17" t="s">
        <v>204</v>
      </c>
      <c r="F512" s="17" t="s">
        <v>205</v>
      </c>
    </row>
    <row r="513" spans="1:10" ht="26.25" thickBot="1" x14ac:dyDescent="0.3">
      <c r="A513" s="18"/>
      <c r="B513" s="11" t="s">
        <v>10</v>
      </c>
      <c r="C513" s="11">
        <v>46111.24</v>
      </c>
      <c r="D513" s="11">
        <v>46405.69</v>
      </c>
      <c r="E513" s="11">
        <v>46181.66</v>
      </c>
      <c r="F513" s="11">
        <v>46229.82</v>
      </c>
    </row>
    <row r="514" spans="1:10" ht="25.5" customHeight="1" thickBot="1" x14ac:dyDescent="0.3">
      <c r="A514" s="12"/>
      <c r="B514" s="108" t="s">
        <v>11</v>
      </c>
      <c r="C514" s="109"/>
      <c r="D514" s="110">
        <v>-782283</v>
      </c>
      <c r="E514" s="111"/>
      <c r="F514" s="1"/>
    </row>
    <row r="515" spans="1:10" ht="16.5" thickBot="1" x14ac:dyDescent="0.3">
      <c r="A515" s="112"/>
      <c r="B515" s="113"/>
      <c r="C515" s="113"/>
      <c r="D515" s="113"/>
      <c r="E515" s="113"/>
      <c r="F515" s="114"/>
    </row>
    <row r="516" spans="1:10" ht="16.5" thickBot="1" x14ac:dyDescent="0.3">
      <c r="A516" s="2" t="s">
        <v>13</v>
      </c>
      <c r="B516" s="12" t="s">
        <v>5</v>
      </c>
      <c r="C516" s="13">
        <v>1335</v>
      </c>
      <c r="D516" s="12">
        <v>14</v>
      </c>
      <c r="E516" s="13">
        <v>2685</v>
      </c>
      <c r="F516" s="12">
        <v>7</v>
      </c>
    </row>
    <row r="517" spans="1:10" ht="18.75" x14ac:dyDescent="0.25">
      <c r="A517" s="3">
        <v>25</v>
      </c>
      <c r="B517" s="105" t="s">
        <v>6</v>
      </c>
      <c r="C517" s="14">
        <v>2145000</v>
      </c>
      <c r="D517" s="14">
        <v>2161000</v>
      </c>
      <c r="E517" s="14">
        <v>4259000</v>
      </c>
      <c r="F517" s="19">
        <v>48152</v>
      </c>
      <c r="G517" s="4"/>
      <c r="I517" s="55"/>
      <c r="J517" s="55"/>
    </row>
    <row r="518" spans="1:10" x14ac:dyDescent="0.25">
      <c r="A518" s="15"/>
      <c r="B518" s="106"/>
      <c r="C518" s="71" t="s">
        <v>7</v>
      </c>
      <c r="D518" s="71" t="s">
        <v>7</v>
      </c>
      <c r="E518" s="71" t="s">
        <v>7</v>
      </c>
      <c r="F518" s="71" t="s">
        <v>7</v>
      </c>
    </row>
    <row r="519" spans="1:10" x14ac:dyDescent="0.25">
      <c r="A519" s="15"/>
      <c r="B519" s="106"/>
      <c r="C519" s="16">
        <v>49</v>
      </c>
      <c r="D519" s="16">
        <v>50</v>
      </c>
      <c r="E519" s="16">
        <v>98</v>
      </c>
      <c r="F519" s="16">
        <v>1</v>
      </c>
    </row>
    <row r="520" spans="1:10" ht="16.5" thickBot="1" x14ac:dyDescent="0.3">
      <c r="A520" s="15"/>
      <c r="B520" s="107"/>
      <c r="C520" s="72" t="s">
        <v>8</v>
      </c>
      <c r="D520" s="72" t="s">
        <v>8</v>
      </c>
      <c r="E520" s="72" t="s">
        <v>8</v>
      </c>
      <c r="F520" s="72" t="s">
        <v>8</v>
      </c>
    </row>
    <row r="521" spans="1:10" ht="16.5" thickBot="1" x14ac:dyDescent="0.3">
      <c r="A521" s="15"/>
      <c r="B521" s="12" t="s">
        <v>9</v>
      </c>
      <c r="C521" s="17" t="s">
        <v>206</v>
      </c>
      <c r="D521" s="17" t="s">
        <v>207</v>
      </c>
      <c r="E521" s="17" t="s">
        <v>208</v>
      </c>
      <c r="F521" s="17" t="s">
        <v>209</v>
      </c>
    </row>
    <row r="522" spans="1:10" ht="26.25" thickBot="1" x14ac:dyDescent="0.3">
      <c r="A522" s="18"/>
      <c r="B522" s="11" t="s">
        <v>10</v>
      </c>
      <c r="C522" s="11">
        <v>44351.7</v>
      </c>
      <c r="D522" s="11">
        <v>44674.74</v>
      </c>
      <c r="E522" s="11">
        <v>44507.49</v>
      </c>
      <c r="F522" s="11">
        <v>45072.38</v>
      </c>
    </row>
    <row r="523" spans="1:10" ht="25.5" customHeight="1" thickBot="1" x14ac:dyDescent="0.3">
      <c r="A523" s="12"/>
      <c r="B523" s="108" t="s">
        <v>11</v>
      </c>
      <c r="C523" s="109"/>
      <c r="D523" s="110">
        <v>-2113076</v>
      </c>
      <c r="E523" s="111"/>
      <c r="F523" s="1"/>
    </row>
    <row r="524" spans="1:10" ht="16.5" thickBot="1" x14ac:dyDescent="0.3">
      <c r="A524" s="112"/>
      <c r="B524" s="113"/>
      <c r="C524" s="113"/>
      <c r="D524" s="113"/>
      <c r="E524" s="113"/>
      <c r="F524" s="114"/>
    </row>
    <row r="525" spans="1:10" ht="16.5" thickBot="1" x14ac:dyDescent="0.3">
      <c r="A525" s="2" t="s">
        <v>13</v>
      </c>
      <c r="B525" s="12" t="s">
        <v>5</v>
      </c>
      <c r="C525" s="13">
        <v>2022</v>
      </c>
      <c r="D525" s="12">
        <v>17</v>
      </c>
      <c r="E525" s="13">
        <v>2207</v>
      </c>
      <c r="F525" s="12">
        <v>7</v>
      </c>
    </row>
    <row r="526" spans="1:10" ht="18.75" x14ac:dyDescent="0.25">
      <c r="A526" s="3">
        <v>24</v>
      </c>
      <c r="B526" s="105" t="s">
        <v>6</v>
      </c>
      <c r="C526" s="14">
        <v>3356000</v>
      </c>
      <c r="D526" s="19">
        <v>928116</v>
      </c>
      <c r="E526" s="14">
        <v>3956000</v>
      </c>
      <c r="F526" s="19">
        <v>328000</v>
      </c>
      <c r="G526" s="4"/>
      <c r="I526" s="55"/>
      <c r="J526" s="55"/>
    </row>
    <row r="527" spans="1:10" x14ac:dyDescent="0.25">
      <c r="A527" s="15"/>
      <c r="B527" s="106"/>
      <c r="C527" s="71" t="s">
        <v>7</v>
      </c>
      <c r="D527" s="71" t="s">
        <v>7</v>
      </c>
      <c r="E527" s="71" t="s">
        <v>7</v>
      </c>
      <c r="F527" s="71" t="s">
        <v>7</v>
      </c>
    </row>
    <row r="528" spans="1:10" x14ac:dyDescent="0.25">
      <c r="A528" s="15"/>
      <c r="B528" s="106"/>
      <c r="C528" s="16">
        <v>78</v>
      </c>
      <c r="D528" s="16">
        <v>21</v>
      </c>
      <c r="E528" s="16">
        <v>92</v>
      </c>
      <c r="F528" s="16">
        <v>7</v>
      </c>
    </row>
    <row r="529" spans="1:10" ht="16.5" thickBot="1" x14ac:dyDescent="0.3">
      <c r="A529" s="15"/>
      <c r="B529" s="107"/>
      <c r="C529" s="72" t="s">
        <v>8</v>
      </c>
      <c r="D529" s="72" t="s">
        <v>8</v>
      </c>
      <c r="E529" s="72" t="s">
        <v>8</v>
      </c>
      <c r="F529" s="72" t="s">
        <v>8</v>
      </c>
    </row>
    <row r="530" spans="1:10" ht="16.5" thickBot="1" x14ac:dyDescent="0.3">
      <c r="A530" s="15"/>
      <c r="B530" s="12" t="s">
        <v>9</v>
      </c>
      <c r="C530" s="17" t="s">
        <v>210</v>
      </c>
      <c r="D530" s="17" t="s">
        <v>211</v>
      </c>
      <c r="E530" s="17" t="s">
        <v>212</v>
      </c>
      <c r="F530" s="17" t="s">
        <v>213</v>
      </c>
    </row>
    <row r="531" spans="1:10" ht="26.25" thickBot="1" x14ac:dyDescent="0.3">
      <c r="A531" s="18"/>
      <c r="B531" s="11" t="s">
        <v>10</v>
      </c>
      <c r="C531" s="11">
        <v>45500.57</v>
      </c>
      <c r="D531" s="11">
        <v>45379.66</v>
      </c>
      <c r="E531" s="11">
        <v>45424.37</v>
      </c>
      <c r="F531" s="11">
        <v>46077.47</v>
      </c>
    </row>
    <row r="532" spans="1:10" ht="25.5" customHeight="1" thickBot="1" x14ac:dyDescent="0.3">
      <c r="A532" s="12"/>
      <c r="B532" s="108" t="s">
        <v>11</v>
      </c>
      <c r="C532" s="109"/>
      <c r="D532" s="110">
        <v>-600116</v>
      </c>
      <c r="E532" s="111"/>
      <c r="F532" s="1"/>
    </row>
    <row r="533" spans="1:10" ht="16.5" thickBot="1" x14ac:dyDescent="0.3">
      <c r="A533" s="112"/>
      <c r="B533" s="113"/>
      <c r="C533" s="113"/>
      <c r="D533" s="113"/>
      <c r="E533" s="113"/>
      <c r="F533" s="114"/>
    </row>
    <row r="534" spans="1:10" ht="16.5" thickBot="1" x14ac:dyDescent="0.3">
      <c r="A534" s="2" t="s">
        <v>13</v>
      </c>
      <c r="B534" s="12" t="s">
        <v>5</v>
      </c>
      <c r="C534" s="13">
        <v>1257</v>
      </c>
      <c r="D534" s="12">
        <v>7</v>
      </c>
      <c r="E534" s="13">
        <v>2748</v>
      </c>
      <c r="F534" s="12">
        <v>9</v>
      </c>
    </row>
    <row r="535" spans="1:10" ht="18.75" x14ac:dyDescent="0.25">
      <c r="A535" s="3">
        <v>23</v>
      </c>
      <c r="B535" s="105" t="s">
        <v>6</v>
      </c>
      <c r="C535" s="14">
        <v>3120000</v>
      </c>
      <c r="D535" s="14">
        <v>1599000</v>
      </c>
      <c r="E535" s="14">
        <v>4454000</v>
      </c>
      <c r="F535" s="19">
        <v>265498</v>
      </c>
      <c r="G535" s="4"/>
      <c r="I535" s="55"/>
      <c r="J535" s="55"/>
    </row>
    <row r="536" spans="1:10" x14ac:dyDescent="0.25">
      <c r="A536" s="15"/>
      <c r="B536" s="106"/>
      <c r="C536" s="71" t="s">
        <v>7</v>
      </c>
      <c r="D536" s="71" t="s">
        <v>7</v>
      </c>
      <c r="E536" s="71" t="s">
        <v>7</v>
      </c>
      <c r="F536" s="71" t="s">
        <v>7</v>
      </c>
    </row>
    <row r="537" spans="1:10" x14ac:dyDescent="0.25">
      <c r="A537" s="15"/>
      <c r="B537" s="106"/>
      <c r="C537" s="16">
        <v>66</v>
      </c>
      <c r="D537" s="16">
        <v>33</v>
      </c>
      <c r="E537" s="16">
        <v>94</v>
      </c>
      <c r="F537" s="16">
        <v>5</v>
      </c>
    </row>
    <row r="538" spans="1:10" ht="16.5" thickBot="1" x14ac:dyDescent="0.3">
      <c r="A538" s="15"/>
      <c r="B538" s="107"/>
      <c r="C538" s="72" t="s">
        <v>8</v>
      </c>
      <c r="D538" s="72" t="s">
        <v>8</v>
      </c>
      <c r="E538" s="72" t="s">
        <v>8</v>
      </c>
      <c r="F538" s="72" t="s">
        <v>8</v>
      </c>
    </row>
    <row r="539" spans="1:10" ht="16.5" thickBot="1" x14ac:dyDescent="0.3">
      <c r="A539" s="15"/>
      <c r="B539" s="12" t="s">
        <v>9</v>
      </c>
      <c r="C539" s="17" t="s">
        <v>214</v>
      </c>
      <c r="D539" s="17" t="s">
        <v>215</v>
      </c>
      <c r="E539" s="17" t="s">
        <v>216</v>
      </c>
      <c r="F539" s="17" t="s">
        <v>217</v>
      </c>
    </row>
    <row r="540" spans="1:10" ht="26.25" thickBot="1" x14ac:dyDescent="0.3">
      <c r="A540" s="18"/>
      <c r="B540" s="11" t="s">
        <v>10</v>
      </c>
      <c r="C540" s="11">
        <v>44858.53</v>
      </c>
      <c r="D540" s="11">
        <v>45255.53</v>
      </c>
      <c r="E540" s="11">
        <v>44974.59</v>
      </c>
      <c r="F540" s="11">
        <v>45303.199999999997</v>
      </c>
    </row>
    <row r="541" spans="1:10" ht="25.5" customHeight="1" thickBot="1" x14ac:dyDescent="0.3">
      <c r="A541" s="12"/>
      <c r="B541" s="108" t="s">
        <v>11</v>
      </c>
      <c r="C541" s="109"/>
      <c r="D541" s="110">
        <v>-1333995</v>
      </c>
      <c r="E541" s="111"/>
      <c r="F541" s="1"/>
    </row>
    <row r="542" spans="1:10" ht="16.5" thickBot="1" x14ac:dyDescent="0.3">
      <c r="A542" s="112"/>
      <c r="B542" s="113"/>
      <c r="C542" s="113"/>
      <c r="D542" s="113"/>
      <c r="E542" s="113"/>
      <c r="F542" s="114"/>
    </row>
    <row r="543" spans="1:10" ht="16.5" thickBot="1" x14ac:dyDescent="0.3">
      <c r="A543" s="2" t="s">
        <v>13</v>
      </c>
      <c r="B543" s="12" t="s">
        <v>5</v>
      </c>
      <c r="C543" s="13">
        <v>1502</v>
      </c>
      <c r="D543" s="12">
        <v>9</v>
      </c>
      <c r="E543" s="13">
        <v>1671</v>
      </c>
      <c r="F543" s="12">
        <v>7</v>
      </c>
    </row>
    <row r="544" spans="1:10" ht="18.75" x14ac:dyDescent="0.25">
      <c r="A544" s="3">
        <v>20</v>
      </c>
      <c r="B544" s="105" t="s">
        <v>6</v>
      </c>
      <c r="C544" s="14">
        <v>4034000</v>
      </c>
      <c r="D544" s="19">
        <v>496904</v>
      </c>
      <c r="E544" s="14">
        <v>3879000</v>
      </c>
      <c r="F544" s="19">
        <v>651176</v>
      </c>
      <c r="G544" s="4"/>
      <c r="I544" s="55"/>
      <c r="J544" s="55"/>
    </row>
    <row r="545" spans="1:10" x14ac:dyDescent="0.25">
      <c r="A545" s="15"/>
      <c r="B545" s="106"/>
      <c r="C545" s="71" t="s">
        <v>7</v>
      </c>
      <c r="D545" s="71" t="s">
        <v>7</v>
      </c>
      <c r="E545" s="71" t="s">
        <v>7</v>
      </c>
      <c r="F545" s="71" t="s">
        <v>7</v>
      </c>
    </row>
    <row r="546" spans="1:10" x14ac:dyDescent="0.25">
      <c r="A546" s="15"/>
      <c r="B546" s="106"/>
      <c r="C546" s="16">
        <v>89</v>
      </c>
      <c r="D546" s="16">
        <v>10</v>
      </c>
      <c r="E546" s="16">
        <v>85</v>
      </c>
      <c r="F546" s="16">
        <v>14</v>
      </c>
    </row>
    <row r="547" spans="1:10" ht="16.5" thickBot="1" x14ac:dyDescent="0.3">
      <c r="A547" s="15"/>
      <c r="B547" s="107"/>
      <c r="C547" s="72" t="s">
        <v>8</v>
      </c>
      <c r="D547" s="72" t="s">
        <v>8</v>
      </c>
      <c r="E547" s="72" t="s">
        <v>8</v>
      </c>
      <c r="F547" s="72" t="s">
        <v>8</v>
      </c>
    </row>
    <row r="548" spans="1:10" ht="16.5" thickBot="1" x14ac:dyDescent="0.3">
      <c r="A548" s="15"/>
      <c r="B548" s="12" t="s">
        <v>9</v>
      </c>
      <c r="C548" s="17" t="s">
        <v>218</v>
      </c>
      <c r="D548" s="17" t="s">
        <v>219</v>
      </c>
      <c r="E548" s="17" t="s">
        <v>220</v>
      </c>
      <c r="F548" s="17" t="s">
        <v>221</v>
      </c>
    </row>
    <row r="549" spans="1:10" ht="26.25" thickBot="1" x14ac:dyDescent="0.3">
      <c r="A549" s="18"/>
      <c r="B549" s="11" t="s">
        <v>10</v>
      </c>
      <c r="C549" s="11">
        <v>43184.160000000003</v>
      </c>
      <c r="D549" s="11">
        <v>43081.8</v>
      </c>
      <c r="E549" s="11">
        <v>43169.93</v>
      </c>
      <c r="F549" s="11">
        <v>43190.82</v>
      </c>
    </row>
    <row r="550" spans="1:10" ht="25.5" customHeight="1" thickBot="1" x14ac:dyDescent="0.3">
      <c r="A550" s="12"/>
      <c r="B550" s="108" t="s">
        <v>11</v>
      </c>
      <c r="C550" s="109"/>
      <c r="D550" s="110">
        <v>154272</v>
      </c>
      <c r="E550" s="111"/>
      <c r="F550" s="1"/>
    </row>
    <row r="551" spans="1:10" ht="16.5" thickBot="1" x14ac:dyDescent="0.3">
      <c r="A551" s="112"/>
      <c r="B551" s="113"/>
      <c r="C551" s="113"/>
      <c r="D551" s="113"/>
      <c r="E551" s="113"/>
      <c r="F551" s="114"/>
    </row>
    <row r="552" spans="1:10" ht="16.5" thickBot="1" x14ac:dyDescent="0.3">
      <c r="A552" s="2" t="s">
        <v>13</v>
      </c>
      <c r="B552" s="12" t="s">
        <v>5</v>
      </c>
      <c r="C552" s="13">
        <v>1475</v>
      </c>
      <c r="D552" s="12">
        <v>15</v>
      </c>
      <c r="E552" s="13">
        <v>2225</v>
      </c>
      <c r="F552" s="12">
        <v>16</v>
      </c>
    </row>
    <row r="553" spans="1:10" ht="18.75" x14ac:dyDescent="0.25">
      <c r="A553" s="3">
        <v>19</v>
      </c>
      <c r="B553" s="105" t="s">
        <v>6</v>
      </c>
      <c r="C553" s="14">
        <v>4820000</v>
      </c>
      <c r="D553" s="14">
        <v>2954000</v>
      </c>
      <c r="E553" s="14">
        <v>5016000</v>
      </c>
      <c r="F553" s="14">
        <v>2757000</v>
      </c>
      <c r="G553" s="4"/>
      <c r="I553" s="55"/>
      <c r="J553" s="55"/>
    </row>
    <row r="554" spans="1:10" x14ac:dyDescent="0.25">
      <c r="A554" s="15"/>
      <c r="B554" s="106"/>
      <c r="C554" s="71" t="s">
        <v>7</v>
      </c>
      <c r="D554" s="71" t="s">
        <v>7</v>
      </c>
      <c r="E554" s="71" t="s">
        <v>7</v>
      </c>
      <c r="F554" s="71" t="s">
        <v>7</v>
      </c>
    </row>
    <row r="555" spans="1:10" x14ac:dyDescent="0.25">
      <c r="A555" s="15"/>
      <c r="B555" s="106"/>
      <c r="C555" s="16">
        <v>62</v>
      </c>
      <c r="D555" s="16">
        <v>37</v>
      </c>
      <c r="E555" s="16">
        <v>64</v>
      </c>
      <c r="F555" s="16">
        <v>35</v>
      </c>
    </row>
    <row r="556" spans="1:10" ht="16.5" thickBot="1" x14ac:dyDescent="0.3">
      <c r="A556" s="15"/>
      <c r="B556" s="107"/>
      <c r="C556" s="72" t="s">
        <v>8</v>
      </c>
      <c r="D556" s="72" t="s">
        <v>8</v>
      </c>
      <c r="E556" s="72" t="s">
        <v>8</v>
      </c>
      <c r="F556" s="72" t="s">
        <v>8</v>
      </c>
    </row>
    <row r="557" spans="1:10" ht="16.5" thickBot="1" x14ac:dyDescent="0.3">
      <c r="A557" s="15"/>
      <c r="B557" s="12" t="s">
        <v>9</v>
      </c>
      <c r="C557" s="17" t="s">
        <v>222</v>
      </c>
      <c r="D557" s="17" t="s">
        <v>223</v>
      </c>
      <c r="E557" s="17" t="s">
        <v>224</v>
      </c>
      <c r="F557" s="17" t="s">
        <v>225</v>
      </c>
    </row>
    <row r="558" spans="1:10" ht="26.25" thickBot="1" x14ac:dyDescent="0.3">
      <c r="A558" s="18"/>
      <c r="B558" s="11" t="s">
        <v>10</v>
      </c>
      <c r="C558" s="11">
        <v>42873.73</v>
      </c>
      <c r="D558" s="11">
        <v>43002.46</v>
      </c>
      <c r="E558" s="11">
        <v>42926.94</v>
      </c>
      <c r="F558" s="11">
        <v>42914.81</v>
      </c>
    </row>
    <row r="559" spans="1:10" ht="25.5" customHeight="1" thickBot="1" x14ac:dyDescent="0.3">
      <c r="A559" s="12"/>
      <c r="B559" s="108" t="s">
        <v>11</v>
      </c>
      <c r="C559" s="109"/>
      <c r="D559" s="110">
        <v>-196489</v>
      </c>
      <c r="E559" s="111"/>
      <c r="F559" s="1"/>
    </row>
    <row r="560" spans="1:10" ht="16.5" thickBot="1" x14ac:dyDescent="0.3">
      <c r="A560" s="112"/>
      <c r="B560" s="113"/>
      <c r="C560" s="113"/>
      <c r="D560" s="113"/>
      <c r="E560" s="113"/>
      <c r="F560" s="114"/>
    </row>
    <row r="561" spans="1:10" ht="16.5" thickBot="1" x14ac:dyDescent="0.3">
      <c r="A561" s="2" t="s">
        <v>13</v>
      </c>
      <c r="B561" s="12" t="s">
        <v>5</v>
      </c>
      <c r="C561" s="12">
        <v>930</v>
      </c>
      <c r="D561" s="12">
        <v>6</v>
      </c>
      <c r="E561" s="13">
        <v>1625</v>
      </c>
      <c r="F561" s="12">
        <v>11</v>
      </c>
    </row>
    <row r="562" spans="1:10" ht="18.75" x14ac:dyDescent="0.25">
      <c r="A562" s="3">
        <v>18</v>
      </c>
      <c r="B562" s="105" t="s">
        <v>6</v>
      </c>
      <c r="C562" s="14">
        <v>2320000</v>
      </c>
      <c r="D562" s="14">
        <v>1161000</v>
      </c>
      <c r="E562" s="14">
        <v>2640000</v>
      </c>
      <c r="F562" s="19">
        <v>841494</v>
      </c>
      <c r="G562" s="4"/>
      <c r="I562" s="55"/>
      <c r="J562" s="55"/>
    </row>
    <row r="563" spans="1:10" x14ac:dyDescent="0.25">
      <c r="A563" s="15"/>
      <c r="B563" s="106"/>
      <c r="C563" s="71" t="s">
        <v>7</v>
      </c>
      <c r="D563" s="71" t="s">
        <v>7</v>
      </c>
      <c r="E563" s="71" t="s">
        <v>7</v>
      </c>
      <c r="F563" s="71" t="s">
        <v>7</v>
      </c>
    </row>
    <row r="564" spans="1:10" x14ac:dyDescent="0.25">
      <c r="A564" s="15"/>
      <c r="B564" s="106"/>
      <c r="C564" s="16">
        <v>66</v>
      </c>
      <c r="D564" s="16">
        <v>33</v>
      </c>
      <c r="E564" s="16">
        <v>75</v>
      </c>
      <c r="F564" s="16">
        <v>24</v>
      </c>
    </row>
    <row r="565" spans="1:10" ht="16.5" thickBot="1" x14ac:dyDescent="0.3">
      <c r="A565" s="15"/>
      <c r="B565" s="107"/>
      <c r="C565" s="72" t="s">
        <v>8</v>
      </c>
      <c r="D565" s="72" t="s">
        <v>8</v>
      </c>
      <c r="E565" s="72" t="s">
        <v>8</v>
      </c>
      <c r="F565" s="72" t="s">
        <v>8</v>
      </c>
    </row>
    <row r="566" spans="1:10" ht="16.5" thickBot="1" x14ac:dyDescent="0.3">
      <c r="A566" s="15"/>
      <c r="B566" s="12" t="s">
        <v>9</v>
      </c>
      <c r="C566" s="17" t="s">
        <v>226</v>
      </c>
      <c r="D566" s="17" t="s">
        <v>227</v>
      </c>
      <c r="E566" s="17" t="s">
        <v>228</v>
      </c>
      <c r="F566" s="17" t="s">
        <v>229</v>
      </c>
    </row>
    <row r="567" spans="1:10" ht="26.25" thickBot="1" x14ac:dyDescent="0.3">
      <c r="A567" s="18"/>
      <c r="B567" s="11" t="s">
        <v>10</v>
      </c>
      <c r="C567" s="11">
        <v>41031.760000000002</v>
      </c>
      <c r="D567" s="11">
        <v>41152.69</v>
      </c>
      <c r="E567" s="11">
        <v>41021.99</v>
      </c>
      <c r="F567" s="11">
        <v>41229.26</v>
      </c>
    </row>
    <row r="568" spans="1:10" ht="25.5" customHeight="1" thickBot="1" x14ac:dyDescent="0.3">
      <c r="A568" s="12"/>
      <c r="B568" s="108" t="s">
        <v>11</v>
      </c>
      <c r="C568" s="109"/>
      <c r="D568" s="110">
        <v>-319524</v>
      </c>
      <c r="E568" s="111"/>
      <c r="F568" s="1"/>
    </row>
    <row r="569" spans="1:10" ht="16.5" thickBot="1" x14ac:dyDescent="0.3">
      <c r="A569" s="112"/>
      <c r="B569" s="113"/>
      <c r="C569" s="113"/>
      <c r="D569" s="113"/>
      <c r="E569" s="113"/>
      <c r="F569" s="114"/>
    </row>
    <row r="570" spans="1:10" ht="16.5" thickBot="1" x14ac:dyDescent="0.3">
      <c r="A570" s="2" t="s">
        <v>13</v>
      </c>
      <c r="B570" s="12" t="s">
        <v>5</v>
      </c>
      <c r="C570" s="12">
        <v>782</v>
      </c>
      <c r="D570" s="12">
        <v>15</v>
      </c>
      <c r="E570" s="13">
        <v>1949</v>
      </c>
      <c r="F570" s="12">
        <v>8</v>
      </c>
    </row>
    <row r="571" spans="1:10" ht="18.75" x14ac:dyDescent="0.25">
      <c r="A571" s="3">
        <v>17</v>
      </c>
      <c r="B571" s="105" t="s">
        <v>6</v>
      </c>
      <c r="C571" s="14">
        <v>2688000</v>
      </c>
      <c r="D571" s="14">
        <v>1241000</v>
      </c>
      <c r="E571" s="14">
        <v>3150000</v>
      </c>
      <c r="F571" s="19">
        <v>779721</v>
      </c>
      <c r="G571" s="4"/>
      <c r="I571" s="55"/>
      <c r="J571" s="55"/>
    </row>
    <row r="572" spans="1:10" x14ac:dyDescent="0.25">
      <c r="A572" s="15"/>
      <c r="B572" s="106"/>
      <c r="C572" s="71" t="s">
        <v>7</v>
      </c>
      <c r="D572" s="71" t="s">
        <v>7</v>
      </c>
      <c r="E572" s="71" t="s">
        <v>7</v>
      </c>
      <c r="F572" s="71" t="s">
        <v>7</v>
      </c>
    </row>
    <row r="573" spans="1:10" x14ac:dyDescent="0.25">
      <c r="A573" s="15"/>
      <c r="B573" s="106"/>
      <c r="C573" s="16">
        <v>68</v>
      </c>
      <c r="D573" s="16">
        <v>31</v>
      </c>
      <c r="E573" s="16">
        <v>80</v>
      </c>
      <c r="F573" s="16">
        <v>19</v>
      </c>
    </row>
    <row r="574" spans="1:10" ht="16.5" thickBot="1" x14ac:dyDescent="0.3">
      <c r="A574" s="15"/>
      <c r="B574" s="107"/>
      <c r="C574" s="72" t="s">
        <v>8</v>
      </c>
      <c r="D574" s="72" t="s">
        <v>8</v>
      </c>
      <c r="E574" s="72" t="s">
        <v>8</v>
      </c>
      <c r="F574" s="72" t="s">
        <v>8</v>
      </c>
    </row>
    <row r="575" spans="1:10" ht="16.5" thickBot="1" x14ac:dyDescent="0.3">
      <c r="A575" s="15"/>
      <c r="B575" s="12" t="s">
        <v>9</v>
      </c>
      <c r="C575" s="17" t="s">
        <v>230</v>
      </c>
      <c r="D575" s="17" t="s">
        <v>231</v>
      </c>
      <c r="E575" s="17" t="s">
        <v>232</v>
      </c>
      <c r="F575" s="17" t="s">
        <v>233</v>
      </c>
    </row>
    <row r="576" spans="1:10" ht="26.25" thickBot="1" x14ac:dyDescent="0.3">
      <c r="A576" s="18"/>
      <c r="B576" s="11" t="s">
        <v>10</v>
      </c>
      <c r="C576" s="11">
        <v>39871.79</v>
      </c>
      <c r="D576" s="11">
        <v>39942.17</v>
      </c>
      <c r="E576" s="11">
        <v>39851.49</v>
      </c>
      <c r="F576" s="11">
        <v>40065.800000000003</v>
      </c>
    </row>
    <row r="577" spans="1:10" ht="25.5" customHeight="1" thickBot="1" x14ac:dyDescent="0.3">
      <c r="A577" s="12"/>
      <c r="B577" s="108" t="s">
        <v>11</v>
      </c>
      <c r="C577" s="109"/>
      <c r="D577" s="110">
        <v>-461322</v>
      </c>
      <c r="E577" s="111"/>
      <c r="F577" s="1"/>
    </row>
    <row r="578" spans="1:10" ht="16.5" thickBot="1" x14ac:dyDescent="0.3">
      <c r="A578" s="112"/>
      <c r="B578" s="113"/>
      <c r="C578" s="113"/>
      <c r="D578" s="113"/>
      <c r="E578" s="113"/>
      <c r="F578" s="114"/>
    </row>
    <row r="579" spans="1:10" ht="16.5" thickBot="1" x14ac:dyDescent="0.3">
      <c r="A579" s="2" t="s">
        <v>13</v>
      </c>
      <c r="B579" s="12" t="s">
        <v>5</v>
      </c>
      <c r="C579" s="12">
        <v>916</v>
      </c>
      <c r="D579" s="12">
        <v>14</v>
      </c>
      <c r="E579" s="13">
        <v>2702</v>
      </c>
      <c r="F579" s="12">
        <v>9</v>
      </c>
    </row>
    <row r="580" spans="1:10" ht="18.75" x14ac:dyDescent="0.25">
      <c r="A580" s="3">
        <v>16</v>
      </c>
      <c r="B580" s="105" t="s">
        <v>6</v>
      </c>
      <c r="C580" s="14">
        <v>2346000</v>
      </c>
      <c r="D580" s="14">
        <v>2292000</v>
      </c>
      <c r="E580" s="14">
        <v>4500000</v>
      </c>
      <c r="F580" s="19">
        <v>138008</v>
      </c>
      <c r="G580" s="4"/>
      <c r="I580" s="55"/>
      <c r="J580" s="55"/>
    </row>
    <row r="581" spans="1:10" x14ac:dyDescent="0.25">
      <c r="A581" s="15"/>
      <c r="B581" s="106"/>
      <c r="C581" s="71" t="s">
        <v>7</v>
      </c>
      <c r="D581" s="71" t="s">
        <v>7</v>
      </c>
      <c r="E581" s="71" t="s">
        <v>7</v>
      </c>
      <c r="F581" s="71" t="s">
        <v>7</v>
      </c>
    </row>
    <row r="582" spans="1:10" x14ac:dyDescent="0.25">
      <c r="A582" s="15"/>
      <c r="B582" s="106"/>
      <c r="C582" s="16">
        <v>50</v>
      </c>
      <c r="D582" s="16">
        <v>49</v>
      </c>
      <c r="E582" s="16">
        <v>97</v>
      </c>
      <c r="F582" s="16">
        <v>2</v>
      </c>
    </row>
    <row r="583" spans="1:10" ht="16.5" thickBot="1" x14ac:dyDescent="0.3">
      <c r="A583" s="15"/>
      <c r="B583" s="107"/>
      <c r="C583" s="72" t="s">
        <v>8</v>
      </c>
      <c r="D583" s="72" t="s">
        <v>8</v>
      </c>
      <c r="E583" s="72" t="s">
        <v>8</v>
      </c>
      <c r="F583" s="72" t="s">
        <v>8</v>
      </c>
    </row>
    <row r="584" spans="1:10" ht="16.5" thickBot="1" x14ac:dyDescent="0.3">
      <c r="A584" s="15"/>
      <c r="B584" s="12" t="s">
        <v>9</v>
      </c>
      <c r="C584" s="17" t="s">
        <v>234</v>
      </c>
      <c r="D584" s="17" t="s">
        <v>235</v>
      </c>
      <c r="E584" s="17" t="s">
        <v>236</v>
      </c>
      <c r="F584" s="17" t="s">
        <v>237</v>
      </c>
    </row>
    <row r="585" spans="1:10" ht="26.25" thickBot="1" x14ac:dyDescent="0.3">
      <c r="A585" s="18"/>
      <c r="B585" s="11" t="s">
        <v>10</v>
      </c>
      <c r="C585" s="11">
        <v>39187.339999999997</v>
      </c>
      <c r="D585" s="11">
        <v>39073.46</v>
      </c>
      <c r="E585" s="11">
        <v>39131.4</v>
      </c>
      <c r="F585" s="11">
        <v>39120.339999999997</v>
      </c>
    </row>
    <row r="586" spans="1:10" ht="25.5" customHeight="1" thickBot="1" x14ac:dyDescent="0.3">
      <c r="A586" s="12"/>
      <c r="B586" s="108" t="s">
        <v>11</v>
      </c>
      <c r="C586" s="109"/>
      <c r="D586" s="110">
        <v>-2153590</v>
      </c>
      <c r="E586" s="111"/>
      <c r="F586" s="1"/>
    </row>
    <row r="587" spans="1:10" ht="16.5" thickBot="1" x14ac:dyDescent="0.3">
      <c r="A587" s="112"/>
      <c r="B587" s="113"/>
      <c r="C587" s="113"/>
      <c r="D587" s="113"/>
      <c r="E587" s="113"/>
      <c r="F587" s="114"/>
    </row>
    <row r="588" spans="1:10" ht="16.5" thickBot="1" x14ac:dyDescent="0.3">
      <c r="A588" s="2" t="s">
        <v>13</v>
      </c>
      <c r="B588" s="12" t="s">
        <v>5</v>
      </c>
      <c r="C588" s="12">
        <v>900</v>
      </c>
      <c r="D588" s="12">
        <v>9</v>
      </c>
      <c r="E588" s="13">
        <v>1589</v>
      </c>
      <c r="F588" s="12">
        <v>6</v>
      </c>
    </row>
    <row r="589" spans="1:10" ht="18.75" x14ac:dyDescent="0.25">
      <c r="A589" s="3">
        <v>13</v>
      </c>
      <c r="B589" s="105" t="s">
        <v>6</v>
      </c>
      <c r="C589" s="14">
        <v>1879000</v>
      </c>
      <c r="D589" s="19">
        <v>970303</v>
      </c>
      <c r="E589" s="14">
        <v>2649000</v>
      </c>
      <c r="F589" s="19">
        <v>201201</v>
      </c>
      <c r="G589" s="4"/>
      <c r="I589" s="55"/>
      <c r="J589" s="55"/>
    </row>
    <row r="590" spans="1:10" x14ac:dyDescent="0.25">
      <c r="A590" s="15"/>
      <c r="B590" s="106"/>
      <c r="C590" s="71" t="s">
        <v>7</v>
      </c>
      <c r="D590" s="71" t="s">
        <v>7</v>
      </c>
      <c r="E590" s="71" t="s">
        <v>7</v>
      </c>
      <c r="F590" s="71" t="s">
        <v>7</v>
      </c>
    </row>
    <row r="591" spans="1:10" x14ac:dyDescent="0.25">
      <c r="A591" s="15"/>
      <c r="B591" s="106"/>
      <c r="C591" s="16">
        <v>65</v>
      </c>
      <c r="D591" s="16">
        <v>34</v>
      </c>
      <c r="E591" s="16">
        <v>92</v>
      </c>
      <c r="F591" s="16">
        <v>7</v>
      </c>
    </row>
    <row r="592" spans="1:10" ht="16.5" thickBot="1" x14ac:dyDescent="0.3">
      <c r="A592" s="15"/>
      <c r="B592" s="107"/>
      <c r="C592" s="72" t="s">
        <v>8</v>
      </c>
      <c r="D592" s="72" t="s">
        <v>8</v>
      </c>
      <c r="E592" s="72" t="s">
        <v>8</v>
      </c>
      <c r="F592" s="72" t="s">
        <v>8</v>
      </c>
    </row>
    <row r="593" spans="1:10" ht="16.5" thickBot="1" x14ac:dyDescent="0.3">
      <c r="A593" s="15"/>
      <c r="B593" s="12" t="s">
        <v>9</v>
      </c>
      <c r="C593" s="17" t="s">
        <v>238</v>
      </c>
      <c r="D593" s="17" t="s">
        <v>239</v>
      </c>
      <c r="E593" s="17" t="s">
        <v>240</v>
      </c>
      <c r="F593" s="17" t="s">
        <v>241</v>
      </c>
    </row>
    <row r="594" spans="1:10" ht="26.25" thickBot="1" x14ac:dyDescent="0.3">
      <c r="A594" s="18"/>
      <c r="B594" s="11" t="s">
        <v>10</v>
      </c>
      <c r="C594" s="11">
        <v>39236.410000000003</v>
      </c>
      <c r="D594" s="11">
        <v>39245.660000000003</v>
      </c>
      <c r="E594" s="11">
        <v>39236.06</v>
      </c>
      <c r="F594" s="11">
        <v>39285.64</v>
      </c>
    </row>
    <row r="595" spans="1:10" ht="25.5" customHeight="1" thickBot="1" x14ac:dyDescent="0.3">
      <c r="A595" s="12"/>
      <c r="B595" s="108" t="s">
        <v>11</v>
      </c>
      <c r="C595" s="109"/>
      <c r="D595" s="110">
        <v>-769102</v>
      </c>
      <c r="E595" s="111"/>
      <c r="F595" s="1"/>
    </row>
    <row r="596" spans="1:10" ht="16.5" thickBot="1" x14ac:dyDescent="0.3">
      <c r="A596" s="112"/>
      <c r="B596" s="113"/>
      <c r="C596" s="113"/>
      <c r="D596" s="113"/>
      <c r="E596" s="113"/>
      <c r="F596" s="114"/>
    </row>
    <row r="597" spans="1:10" ht="16.5" thickBot="1" x14ac:dyDescent="0.3">
      <c r="A597" s="2" t="s">
        <v>13</v>
      </c>
      <c r="B597" s="12" t="s">
        <v>5</v>
      </c>
      <c r="C597" s="13">
        <v>1148</v>
      </c>
      <c r="D597" s="12">
        <v>12</v>
      </c>
      <c r="E597" s="13">
        <v>2346</v>
      </c>
      <c r="F597" s="12">
        <v>12</v>
      </c>
    </row>
    <row r="598" spans="1:10" ht="18.75" x14ac:dyDescent="0.25">
      <c r="A598" s="3">
        <v>12</v>
      </c>
      <c r="B598" s="105" t="s">
        <v>6</v>
      </c>
      <c r="C598" s="14">
        <v>4822000</v>
      </c>
      <c r="D598" s="14">
        <v>1743000</v>
      </c>
      <c r="E598" s="14">
        <v>5702000</v>
      </c>
      <c r="F598" s="19">
        <v>863789</v>
      </c>
      <c r="G598" s="4"/>
      <c r="I598" s="55"/>
      <c r="J598" s="55"/>
    </row>
    <row r="599" spans="1:10" x14ac:dyDescent="0.25">
      <c r="A599" s="15"/>
      <c r="B599" s="106"/>
      <c r="C599" s="71" t="s">
        <v>7</v>
      </c>
      <c r="D599" s="71" t="s">
        <v>7</v>
      </c>
      <c r="E599" s="71" t="s">
        <v>7</v>
      </c>
      <c r="F599" s="71" t="s">
        <v>7</v>
      </c>
    </row>
    <row r="600" spans="1:10" x14ac:dyDescent="0.25">
      <c r="A600" s="15"/>
      <c r="B600" s="106"/>
      <c r="C600" s="16">
        <v>73</v>
      </c>
      <c r="D600" s="16">
        <v>26</v>
      </c>
      <c r="E600" s="16">
        <v>86</v>
      </c>
      <c r="F600" s="16">
        <v>13</v>
      </c>
    </row>
    <row r="601" spans="1:10" ht="16.5" thickBot="1" x14ac:dyDescent="0.3">
      <c r="A601" s="15"/>
      <c r="B601" s="107"/>
      <c r="C601" s="72" t="s">
        <v>8</v>
      </c>
      <c r="D601" s="72" t="s">
        <v>8</v>
      </c>
      <c r="E601" s="72" t="s">
        <v>8</v>
      </c>
      <c r="F601" s="72" t="s">
        <v>8</v>
      </c>
    </row>
    <row r="602" spans="1:10" ht="16.5" thickBot="1" x14ac:dyDescent="0.3">
      <c r="A602" s="15"/>
      <c r="B602" s="12" t="s">
        <v>9</v>
      </c>
      <c r="C602" s="17" t="s">
        <v>242</v>
      </c>
      <c r="D602" s="17" t="s">
        <v>243</v>
      </c>
      <c r="E602" s="17" t="s">
        <v>244</v>
      </c>
      <c r="F602" s="17" t="s">
        <v>245</v>
      </c>
    </row>
    <row r="603" spans="1:10" ht="26.25" thickBot="1" x14ac:dyDescent="0.3">
      <c r="A603" s="18"/>
      <c r="B603" s="11" t="s">
        <v>10</v>
      </c>
      <c r="C603" s="11">
        <v>38783.47</v>
      </c>
      <c r="D603" s="11">
        <v>38776.019999999997</v>
      </c>
      <c r="E603" s="11">
        <v>38758.47</v>
      </c>
      <c r="F603" s="11">
        <v>38933.43</v>
      </c>
    </row>
    <row r="604" spans="1:10" ht="25.5" customHeight="1" thickBot="1" x14ac:dyDescent="0.3">
      <c r="A604" s="12"/>
      <c r="B604" s="108" t="s">
        <v>11</v>
      </c>
      <c r="C604" s="109"/>
      <c r="D604" s="110">
        <v>-879557</v>
      </c>
      <c r="E604" s="111"/>
      <c r="F604" s="1"/>
    </row>
    <row r="605" spans="1:10" ht="16.5" thickBot="1" x14ac:dyDescent="0.3">
      <c r="A605" s="112"/>
      <c r="B605" s="113"/>
      <c r="C605" s="113"/>
      <c r="D605" s="113"/>
      <c r="E605" s="113"/>
      <c r="F605" s="114"/>
    </row>
    <row r="606" spans="1:10" ht="16.5" thickBot="1" x14ac:dyDescent="0.3">
      <c r="A606" s="2" t="s">
        <v>13</v>
      </c>
      <c r="B606" s="12" t="s">
        <v>5</v>
      </c>
      <c r="C606" s="13">
        <v>1019</v>
      </c>
      <c r="D606" s="12">
        <v>8</v>
      </c>
      <c r="E606" s="13">
        <v>2524</v>
      </c>
      <c r="F606" s="12">
        <v>13</v>
      </c>
    </row>
    <row r="607" spans="1:10" ht="18.75" x14ac:dyDescent="0.25">
      <c r="A607" s="3">
        <v>11</v>
      </c>
      <c r="B607" s="105" t="s">
        <v>6</v>
      </c>
      <c r="C607" s="14">
        <v>4960000</v>
      </c>
      <c r="D607" s="14">
        <v>2085000</v>
      </c>
      <c r="E607" s="14">
        <v>4725000</v>
      </c>
      <c r="F607" s="14">
        <v>2320000</v>
      </c>
      <c r="G607" s="4"/>
      <c r="I607" s="55"/>
      <c r="J607" s="55"/>
    </row>
    <row r="608" spans="1:10" x14ac:dyDescent="0.25">
      <c r="A608" s="15"/>
      <c r="B608" s="106"/>
      <c r="C608" s="71" t="s">
        <v>7</v>
      </c>
      <c r="D608" s="71" t="s">
        <v>7</v>
      </c>
      <c r="E608" s="71" t="s">
        <v>7</v>
      </c>
      <c r="F608" s="71" t="s">
        <v>7</v>
      </c>
    </row>
    <row r="609" spans="1:10" x14ac:dyDescent="0.25">
      <c r="A609" s="15"/>
      <c r="B609" s="106"/>
      <c r="C609" s="16">
        <v>70</v>
      </c>
      <c r="D609" s="16">
        <v>29</v>
      </c>
      <c r="E609" s="16">
        <v>67</v>
      </c>
      <c r="F609" s="16">
        <v>32</v>
      </c>
    </row>
    <row r="610" spans="1:10" ht="16.5" thickBot="1" x14ac:dyDescent="0.3">
      <c r="A610" s="15"/>
      <c r="B610" s="107"/>
      <c r="C610" s="72" t="s">
        <v>8</v>
      </c>
      <c r="D610" s="72" t="s">
        <v>8</v>
      </c>
      <c r="E610" s="72" t="s">
        <v>8</v>
      </c>
      <c r="F610" s="72" t="s">
        <v>8</v>
      </c>
    </row>
    <row r="611" spans="1:10" ht="16.5" thickBot="1" x14ac:dyDescent="0.3">
      <c r="A611" s="15"/>
      <c r="B611" s="12" t="s">
        <v>9</v>
      </c>
      <c r="C611" s="17" t="s">
        <v>246</v>
      </c>
      <c r="D611" s="17" t="s">
        <v>247</v>
      </c>
      <c r="E611" s="17" t="s">
        <v>248</v>
      </c>
      <c r="F611" s="17" t="s">
        <v>249</v>
      </c>
    </row>
    <row r="612" spans="1:10" ht="26.25" thickBot="1" x14ac:dyDescent="0.3">
      <c r="A612" s="18"/>
      <c r="B612" s="11" t="s">
        <v>10</v>
      </c>
      <c r="C612" s="11">
        <v>37787.65</v>
      </c>
      <c r="D612" s="11">
        <v>37703.599999999999</v>
      </c>
      <c r="E612" s="11">
        <v>37734.639999999999</v>
      </c>
      <c r="F612" s="11">
        <v>37820.06</v>
      </c>
    </row>
    <row r="613" spans="1:10" ht="25.5" customHeight="1" thickBot="1" x14ac:dyDescent="0.3">
      <c r="A613" s="12"/>
      <c r="B613" s="108" t="s">
        <v>11</v>
      </c>
      <c r="C613" s="109"/>
      <c r="D613" s="110">
        <v>234782</v>
      </c>
      <c r="E613" s="111"/>
      <c r="F613" s="1"/>
    </row>
    <row r="614" spans="1:10" ht="16.5" thickBot="1" x14ac:dyDescent="0.3">
      <c r="A614" s="112"/>
      <c r="B614" s="113"/>
      <c r="C614" s="113"/>
      <c r="D614" s="113"/>
      <c r="E614" s="113"/>
      <c r="F614" s="114"/>
    </row>
    <row r="615" spans="1:10" ht="16.5" thickBot="1" x14ac:dyDescent="0.3">
      <c r="A615" s="2" t="s">
        <v>13</v>
      </c>
      <c r="B615" s="12" t="s">
        <v>5</v>
      </c>
      <c r="C615" s="13">
        <v>1208</v>
      </c>
      <c r="D615" s="12">
        <v>13</v>
      </c>
      <c r="E615" s="13">
        <v>2543</v>
      </c>
      <c r="F615" s="12">
        <v>6</v>
      </c>
    </row>
    <row r="616" spans="1:10" ht="18.75" x14ac:dyDescent="0.25">
      <c r="A616" s="3">
        <v>10</v>
      </c>
      <c r="B616" s="105" t="s">
        <v>6</v>
      </c>
      <c r="C616" s="14">
        <v>2863000</v>
      </c>
      <c r="D616" s="14">
        <v>1417000</v>
      </c>
      <c r="E616" s="14">
        <v>4180000</v>
      </c>
      <c r="F616" s="19">
        <v>100001</v>
      </c>
      <c r="G616" s="4"/>
      <c r="I616" s="55"/>
      <c r="J616" s="55"/>
    </row>
    <row r="617" spans="1:10" x14ac:dyDescent="0.25">
      <c r="A617" s="15"/>
      <c r="B617" s="106"/>
      <c r="C617" s="71" t="s">
        <v>7</v>
      </c>
      <c r="D617" s="71" t="s">
        <v>7</v>
      </c>
      <c r="E617" s="71" t="s">
        <v>7</v>
      </c>
      <c r="F617" s="71" t="s">
        <v>7</v>
      </c>
    </row>
    <row r="618" spans="1:10" x14ac:dyDescent="0.25">
      <c r="A618" s="15"/>
      <c r="B618" s="106"/>
      <c r="C618" s="16">
        <v>66</v>
      </c>
      <c r="D618" s="16">
        <v>33</v>
      </c>
      <c r="E618" s="16">
        <v>97</v>
      </c>
      <c r="F618" s="16">
        <v>2</v>
      </c>
    </row>
    <row r="619" spans="1:10" ht="16.5" thickBot="1" x14ac:dyDescent="0.3">
      <c r="A619" s="15"/>
      <c r="B619" s="107"/>
      <c r="C619" s="72" t="s">
        <v>8</v>
      </c>
      <c r="D619" s="72" t="s">
        <v>8</v>
      </c>
      <c r="E619" s="72" t="s">
        <v>8</v>
      </c>
      <c r="F619" s="72" t="s">
        <v>8</v>
      </c>
    </row>
    <row r="620" spans="1:10" ht="16.5" thickBot="1" x14ac:dyDescent="0.3">
      <c r="A620" s="15"/>
      <c r="B620" s="12" t="s">
        <v>9</v>
      </c>
      <c r="C620" s="17" t="s">
        <v>250</v>
      </c>
      <c r="D620" s="17" t="s">
        <v>251</v>
      </c>
      <c r="E620" s="17" t="s">
        <v>252</v>
      </c>
      <c r="F620" s="17" t="s">
        <v>253</v>
      </c>
    </row>
    <row r="621" spans="1:10" ht="26.25" thickBot="1" x14ac:dyDescent="0.3">
      <c r="A621" s="18"/>
      <c r="B621" s="11" t="s">
        <v>10</v>
      </c>
      <c r="C621" s="11">
        <v>36667.01</v>
      </c>
      <c r="D621" s="11">
        <v>36747.129999999997</v>
      </c>
      <c r="E621" s="11">
        <v>36688.54</v>
      </c>
      <c r="F621" s="11">
        <v>36902.410000000003</v>
      </c>
    </row>
    <row r="622" spans="1:10" ht="25.5" customHeight="1" thickBot="1" x14ac:dyDescent="0.3">
      <c r="A622" s="12"/>
      <c r="B622" s="108" t="s">
        <v>11</v>
      </c>
      <c r="C622" s="109"/>
      <c r="D622" s="110">
        <v>-1317125</v>
      </c>
      <c r="E622" s="111"/>
      <c r="F622" s="1"/>
    </row>
    <row r="623" spans="1:10" ht="16.5" thickBot="1" x14ac:dyDescent="0.3">
      <c r="A623" s="112"/>
      <c r="B623" s="113"/>
      <c r="C623" s="113"/>
      <c r="D623" s="113"/>
      <c r="E623" s="113"/>
      <c r="F623" s="114"/>
    </row>
    <row r="624" spans="1:10" ht="16.5" thickBot="1" x14ac:dyDescent="0.3">
      <c r="A624" s="2" t="s">
        <v>13</v>
      </c>
      <c r="B624" s="12" t="s">
        <v>5</v>
      </c>
      <c r="C624" s="13">
        <v>2024</v>
      </c>
      <c r="D624" s="12">
        <v>11</v>
      </c>
      <c r="E624" s="13">
        <v>4473</v>
      </c>
      <c r="F624" s="12">
        <v>28</v>
      </c>
    </row>
    <row r="625" spans="1:10" ht="18.75" x14ac:dyDescent="0.25">
      <c r="A625" s="3">
        <v>9</v>
      </c>
      <c r="B625" s="105" t="s">
        <v>6</v>
      </c>
      <c r="C625" s="14">
        <v>8480000</v>
      </c>
      <c r="D625" s="14">
        <v>6872000</v>
      </c>
      <c r="E625" s="14">
        <v>9796000</v>
      </c>
      <c r="F625" s="14">
        <v>5556000</v>
      </c>
      <c r="G625" s="4"/>
      <c r="I625" s="55"/>
      <c r="J625" s="55"/>
    </row>
    <row r="626" spans="1:10" x14ac:dyDescent="0.25">
      <c r="A626" s="15"/>
      <c r="B626" s="106"/>
      <c r="C626" s="71" t="s">
        <v>7</v>
      </c>
      <c r="D626" s="71" t="s">
        <v>7</v>
      </c>
      <c r="E626" s="71" t="s">
        <v>7</v>
      </c>
      <c r="F626" s="71" t="s">
        <v>7</v>
      </c>
    </row>
    <row r="627" spans="1:10" x14ac:dyDescent="0.25">
      <c r="A627" s="15"/>
      <c r="B627" s="106"/>
      <c r="C627" s="16">
        <v>55</v>
      </c>
      <c r="D627" s="16">
        <v>44</v>
      </c>
      <c r="E627" s="16">
        <v>63</v>
      </c>
      <c r="F627" s="16">
        <v>36</v>
      </c>
    </row>
    <row r="628" spans="1:10" ht="16.5" thickBot="1" x14ac:dyDescent="0.3">
      <c r="A628" s="15"/>
      <c r="B628" s="107"/>
      <c r="C628" s="72" t="s">
        <v>8</v>
      </c>
      <c r="D628" s="72" t="s">
        <v>8</v>
      </c>
      <c r="E628" s="72" t="s">
        <v>8</v>
      </c>
      <c r="F628" s="72" t="s">
        <v>8</v>
      </c>
    </row>
    <row r="629" spans="1:10" ht="16.5" thickBot="1" x14ac:dyDescent="0.3">
      <c r="A629" s="15"/>
      <c r="B629" s="12" t="s">
        <v>9</v>
      </c>
      <c r="C629" s="17" t="s">
        <v>254</v>
      </c>
      <c r="D629" s="17" t="s">
        <v>255</v>
      </c>
      <c r="E629" s="17" t="s">
        <v>256</v>
      </c>
      <c r="F629" s="17" t="s">
        <v>257</v>
      </c>
    </row>
    <row r="630" spans="1:10" ht="26.25" thickBot="1" x14ac:dyDescent="0.3">
      <c r="A630" s="18"/>
      <c r="B630" s="11" t="s">
        <v>10</v>
      </c>
      <c r="C630" s="11">
        <v>37008.5</v>
      </c>
      <c r="D630" s="11">
        <v>37059.67</v>
      </c>
      <c r="E630" s="11">
        <v>37009.25</v>
      </c>
      <c r="F630" s="11">
        <v>37070.480000000003</v>
      </c>
    </row>
    <row r="631" spans="1:10" ht="25.5" customHeight="1" thickBot="1" x14ac:dyDescent="0.3">
      <c r="A631" s="12"/>
      <c r="B631" s="108" t="s">
        <v>11</v>
      </c>
      <c r="C631" s="109"/>
      <c r="D631" s="110">
        <v>-1315989</v>
      </c>
      <c r="E631" s="111"/>
      <c r="F631" s="1"/>
    </row>
    <row r="632" spans="1:10" ht="16.5" thickBot="1" x14ac:dyDescent="0.3">
      <c r="A632" s="112"/>
      <c r="B632" s="113"/>
      <c r="C632" s="113"/>
      <c r="D632" s="113"/>
      <c r="E632" s="113"/>
      <c r="F632" s="114"/>
    </row>
    <row r="633" spans="1:10" ht="16.5" thickBot="1" x14ac:dyDescent="0.3">
      <c r="A633" s="2" t="s">
        <v>13</v>
      </c>
      <c r="B633" s="12" t="s">
        <v>5</v>
      </c>
      <c r="C633" s="12">
        <v>364</v>
      </c>
      <c r="D633" s="12">
        <v>5</v>
      </c>
      <c r="E633" s="13">
        <v>2324</v>
      </c>
      <c r="F633" s="12">
        <v>8</v>
      </c>
    </row>
    <row r="634" spans="1:10" ht="18.75" x14ac:dyDescent="0.25">
      <c r="A634" s="3">
        <v>6</v>
      </c>
      <c r="B634" s="105" t="s">
        <v>6</v>
      </c>
      <c r="C634" s="14">
        <v>2097000</v>
      </c>
      <c r="D634" s="14">
        <v>2625000</v>
      </c>
      <c r="E634" s="14">
        <v>3986000</v>
      </c>
      <c r="F634" s="19">
        <v>736730</v>
      </c>
      <c r="G634" s="4"/>
      <c r="I634" s="55"/>
      <c r="J634" s="55"/>
    </row>
    <row r="635" spans="1:10" x14ac:dyDescent="0.25">
      <c r="A635" s="15"/>
      <c r="B635" s="106"/>
      <c r="C635" s="71" t="s">
        <v>7</v>
      </c>
      <c r="D635" s="71" t="s">
        <v>7</v>
      </c>
      <c r="E635" s="71" t="s">
        <v>7</v>
      </c>
      <c r="F635" s="71" t="s">
        <v>7</v>
      </c>
    </row>
    <row r="636" spans="1:10" x14ac:dyDescent="0.25">
      <c r="A636" s="15"/>
      <c r="B636" s="106"/>
      <c r="C636" s="16">
        <v>44</v>
      </c>
      <c r="D636" s="16">
        <v>55</v>
      </c>
      <c r="E636" s="16">
        <v>84</v>
      </c>
      <c r="F636" s="16">
        <v>15</v>
      </c>
    </row>
    <row r="637" spans="1:10" ht="16.5" thickBot="1" x14ac:dyDescent="0.3">
      <c r="A637" s="15"/>
      <c r="B637" s="107"/>
      <c r="C637" s="72" t="s">
        <v>8</v>
      </c>
      <c r="D637" s="72" t="s">
        <v>8</v>
      </c>
      <c r="E637" s="72" t="s">
        <v>8</v>
      </c>
      <c r="F637" s="72" t="s">
        <v>8</v>
      </c>
    </row>
    <row r="638" spans="1:10" ht="16.5" thickBot="1" x14ac:dyDescent="0.3">
      <c r="A638" s="15"/>
      <c r="B638" s="12" t="s">
        <v>9</v>
      </c>
      <c r="C638" s="17" t="s">
        <v>258</v>
      </c>
      <c r="D638" s="17" t="s">
        <v>259</v>
      </c>
      <c r="E638" s="17" t="s">
        <v>260</v>
      </c>
      <c r="F638" s="17" t="s">
        <v>261</v>
      </c>
    </row>
    <row r="639" spans="1:10" ht="26.25" thickBot="1" x14ac:dyDescent="0.3">
      <c r="A639" s="18"/>
      <c r="B639" s="11" t="s">
        <v>10</v>
      </c>
      <c r="C639" s="11">
        <v>35185.49</v>
      </c>
      <c r="D639" s="11">
        <v>35487.300000000003</v>
      </c>
      <c r="E639" s="11">
        <v>35324.65</v>
      </c>
      <c r="F639" s="11">
        <v>35508.050000000003</v>
      </c>
    </row>
    <row r="640" spans="1:10" ht="25.5" customHeight="1" thickBot="1" x14ac:dyDescent="0.3">
      <c r="A640" s="12"/>
      <c r="B640" s="108" t="s">
        <v>11</v>
      </c>
      <c r="C640" s="109"/>
      <c r="D640" s="110">
        <v>-1888454</v>
      </c>
      <c r="E640" s="111"/>
      <c r="F640" s="1"/>
    </row>
    <row r="641" spans="1:10" ht="16.5" thickBot="1" x14ac:dyDescent="0.3">
      <c r="A641" s="112"/>
      <c r="B641" s="113"/>
      <c r="C641" s="113"/>
      <c r="D641" s="113"/>
      <c r="E641" s="113"/>
      <c r="F641" s="114"/>
    </row>
    <row r="642" spans="1:10" ht="16.5" thickBot="1" x14ac:dyDescent="0.3">
      <c r="A642" s="2" t="s">
        <v>13</v>
      </c>
      <c r="B642" s="12" t="s">
        <v>5</v>
      </c>
      <c r="C642" s="13">
        <v>1121</v>
      </c>
      <c r="D642" s="12">
        <v>6</v>
      </c>
      <c r="E642" s="12">
        <v>909</v>
      </c>
      <c r="F642" s="12">
        <v>0</v>
      </c>
    </row>
    <row r="643" spans="1:10" ht="18.75" x14ac:dyDescent="0.25">
      <c r="A643" s="3">
        <v>5</v>
      </c>
      <c r="B643" s="105" t="s">
        <v>6</v>
      </c>
      <c r="C643" s="14">
        <v>1477000</v>
      </c>
      <c r="D643" s="19">
        <v>205190</v>
      </c>
      <c r="E643" s="14">
        <v>1683000</v>
      </c>
      <c r="F643" s="24">
        <v>0</v>
      </c>
      <c r="G643" s="4"/>
      <c r="I643" s="55"/>
      <c r="J643" s="55"/>
    </row>
    <row r="644" spans="1:10" x14ac:dyDescent="0.25">
      <c r="A644" s="15"/>
      <c r="B644" s="106"/>
      <c r="C644" s="71" t="s">
        <v>7</v>
      </c>
      <c r="D644" s="71" t="s">
        <v>7</v>
      </c>
      <c r="E644" s="71" t="s">
        <v>7</v>
      </c>
      <c r="F644" s="71" t="s">
        <v>7</v>
      </c>
    </row>
    <row r="645" spans="1:10" x14ac:dyDescent="0.25">
      <c r="A645" s="15"/>
      <c r="B645" s="106"/>
      <c r="C645" s="16">
        <v>87</v>
      </c>
      <c r="D645" s="16">
        <v>12</v>
      </c>
      <c r="E645" s="16">
        <v>100</v>
      </c>
      <c r="F645" s="16">
        <v>0</v>
      </c>
    </row>
    <row r="646" spans="1:10" ht="16.5" thickBot="1" x14ac:dyDescent="0.3">
      <c r="A646" s="15"/>
      <c r="B646" s="107"/>
      <c r="C646" s="72" t="s">
        <v>8</v>
      </c>
      <c r="D646" s="72" t="s">
        <v>8</v>
      </c>
      <c r="E646" s="72" t="s">
        <v>8</v>
      </c>
      <c r="F646" s="72" t="s">
        <v>8</v>
      </c>
    </row>
    <row r="647" spans="1:10" ht="16.5" thickBot="1" x14ac:dyDescent="0.3">
      <c r="A647" s="15"/>
      <c r="B647" s="12" t="s">
        <v>9</v>
      </c>
      <c r="C647" s="17" t="s">
        <v>262</v>
      </c>
      <c r="D647" s="17" t="s">
        <v>263</v>
      </c>
      <c r="E647" s="17" t="s">
        <v>264</v>
      </c>
      <c r="F647" s="17">
        <v>0</v>
      </c>
    </row>
    <row r="648" spans="1:10" ht="26.25" thickBot="1" x14ac:dyDescent="0.3">
      <c r="A648" s="18"/>
      <c r="B648" s="11" t="s">
        <v>10</v>
      </c>
      <c r="C648" s="11">
        <v>33866.81</v>
      </c>
      <c r="D648" s="11">
        <v>33972.480000000003</v>
      </c>
      <c r="E648" s="11">
        <v>33879.699999999997</v>
      </c>
      <c r="F648" s="11">
        <v>0</v>
      </c>
    </row>
    <row r="649" spans="1:10" ht="25.5" customHeight="1" thickBot="1" x14ac:dyDescent="0.3">
      <c r="A649" s="12"/>
      <c r="B649" s="108" t="s">
        <v>11</v>
      </c>
      <c r="C649" s="109"/>
      <c r="D649" s="110">
        <v>-205190</v>
      </c>
      <c r="E649" s="111"/>
      <c r="F649" s="1"/>
    </row>
    <row r="650" spans="1:10" ht="16.5" thickBot="1" x14ac:dyDescent="0.3">
      <c r="A650" s="112"/>
      <c r="B650" s="113"/>
      <c r="C650" s="113"/>
      <c r="D650" s="113"/>
      <c r="E650" s="113"/>
      <c r="F650" s="114"/>
    </row>
    <row r="651" spans="1:10" ht="16.5" thickBot="1" x14ac:dyDescent="0.3">
      <c r="A651" s="2" t="s">
        <v>13</v>
      </c>
      <c r="B651" s="12" t="s">
        <v>5</v>
      </c>
      <c r="C651" s="12">
        <v>697</v>
      </c>
      <c r="D651" s="12">
        <v>10</v>
      </c>
      <c r="E651" s="12">
        <v>945</v>
      </c>
      <c r="F651" s="12">
        <v>4</v>
      </c>
    </row>
    <row r="652" spans="1:10" ht="18.75" x14ac:dyDescent="0.25">
      <c r="A652" s="3">
        <v>4</v>
      </c>
      <c r="B652" s="105" t="s">
        <v>6</v>
      </c>
      <c r="C652" s="14">
        <v>1178000</v>
      </c>
      <c r="D652" s="19">
        <v>580484</v>
      </c>
      <c r="E652" s="14">
        <v>1536000</v>
      </c>
      <c r="F652" s="19">
        <v>222533</v>
      </c>
      <c r="G652" s="4"/>
      <c r="I652" s="55"/>
      <c r="J652" s="55"/>
    </row>
    <row r="653" spans="1:10" x14ac:dyDescent="0.25">
      <c r="A653" s="15"/>
      <c r="B653" s="106"/>
      <c r="C653" s="71" t="s">
        <v>7</v>
      </c>
      <c r="D653" s="71" t="s">
        <v>7</v>
      </c>
      <c r="E653" s="71" t="s">
        <v>7</v>
      </c>
      <c r="F653" s="71" t="s">
        <v>7</v>
      </c>
    </row>
    <row r="654" spans="1:10" x14ac:dyDescent="0.25">
      <c r="A654" s="15"/>
      <c r="B654" s="106"/>
      <c r="C654" s="16">
        <v>66</v>
      </c>
      <c r="D654" s="16">
        <v>33</v>
      </c>
      <c r="E654" s="16">
        <v>87</v>
      </c>
      <c r="F654" s="16">
        <v>12</v>
      </c>
    </row>
    <row r="655" spans="1:10" ht="16.5" thickBot="1" x14ac:dyDescent="0.3">
      <c r="A655" s="15"/>
      <c r="B655" s="107"/>
      <c r="C655" s="72" t="s">
        <v>8</v>
      </c>
      <c r="D655" s="72" t="s">
        <v>8</v>
      </c>
      <c r="E655" s="72" t="s">
        <v>8</v>
      </c>
      <c r="F655" s="72" t="s">
        <v>8</v>
      </c>
    </row>
    <row r="656" spans="1:10" ht="16.5" thickBot="1" x14ac:dyDescent="0.3">
      <c r="A656" s="15"/>
      <c r="B656" s="12" t="s">
        <v>9</v>
      </c>
      <c r="C656" s="17" t="s">
        <v>265</v>
      </c>
      <c r="D656" s="17" t="s">
        <v>266</v>
      </c>
      <c r="E656" s="17" t="s">
        <v>267</v>
      </c>
      <c r="F656" s="17" t="s">
        <v>268</v>
      </c>
    </row>
    <row r="657" spans="1:10" ht="26.25" thickBot="1" x14ac:dyDescent="0.3">
      <c r="A657" s="18"/>
      <c r="B657" s="11" t="s">
        <v>10</v>
      </c>
      <c r="C657" s="11">
        <v>34063.79</v>
      </c>
      <c r="D657" s="11">
        <v>34054.14</v>
      </c>
      <c r="E657" s="11">
        <v>34060.74</v>
      </c>
      <c r="F657" s="11">
        <v>34059.67</v>
      </c>
    </row>
    <row r="658" spans="1:10" ht="25.5" customHeight="1" thickBot="1" x14ac:dyDescent="0.3">
      <c r="A658" s="12"/>
      <c r="B658" s="108" t="s">
        <v>11</v>
      </c>
      <c r="C658" s="109"/>
      <c r="D658" s="110">
        <v>-357951</v>
      </c>
      <c r="E658" s="111"/>
      <c r="F658" s="1"/>
    </row>
    <row r="659" spans="1:10" ht="16.5" thickBot="1" x14ac:dyDescent="0.3">
      <c r="A659" s="112"/>
      <c r="B659" s="113"/>
      <c r="C659" s="113"/>
      <c r="D659" s="113"/>
      <c r="E659" s="113"/>
      <c r="F659" s="114"/>
    </row>
    <row r="660" spans="1:10" ht="16.5" thickBot="1" x14ac:dyDescent="0.3">
      <c r="A660" s="2" t="s">
        <v>13</v>
      </c>
      <c r="B660" s="12" t="s">
        <v>5</v>
      </c>
      <c r="C660" s="12">
        <v>793</v>
      </c>
      <c r="D660" s="12">
        <v>3</v>
      </c>
      <c r="E660" s="12">
        <v>852</v>
      </c>
      <c r="F660" s="12">
        <v>2</v>
      </c>
    </row>
    <row r="661" spans="1:10" ht="18.75" x14ac:dyDescent="0.25">
      <c r="A661" s="3">
        <v>3</v>
      </c>
      <c r="B661" s="105" t="s">
        <v>6</v>
      </c>
      <c r="C661" s="14">
        <v>1390000</v>
      </c>
      <c r="D661" s="19">
        <v>270000</v>
      </c>
      <c r="E661" s="14">
        <v>1510000</v>
      </c>
      <c r="F661" s="19">
        <v>150533</v>
      </c>
      <c r="G661" s="4"/>
      <c r="I661" s="55"/>
      <c r="J661" s="55"/>
    </row>
    <row r="662" spans="1:10" x14ac:dyDescent="0.25">
      <c r="A662" s="15"/>
      <c r="B662" s="106"/>
      <c r="C662" s="71" t="s">
        <v>7</v>
      </c>
      <c r="D662" s="71" t="s">
        <v>7</v>
      </c>
      <c r="E662" s="71" t="s">
        <v>7</v>
      </c>
      <c r="F662" s="71" t="s">
        <v>7</v>
      </c>
    </row>
    <row r="663" spans="1:10" x14ac:dyDescent="0.25">
      <c r="A663" s="15"/>
      <c r="B663" s="106"/>
      <c r="C663" s="16">
        <v>83</v>
      </c>
      <c r="D663" s="16">
        <v>16</v>
      </c>
      <c r="E663" s="16">
        <v>90</v>
      </c>
      <c r="F663" s="16">
        <v>9</v>
      </c>
    </row>
    <row r="664" spans="1:10" ht="16.5" thickBot="1" x14ac:dyDescent="0.3">
      <c r="A664" s="15"/>
      <c r="B664" s="107"/>
      <c r="C664" s="72" t="s">
        <v>8</v>
      </c>
      <c r="D664" s="72" t="s">
        <v>8</v>
      </c>
      <c r="E664" s="72" t="s">
        <v>8</v>
      </c>
      <c r="F664" s="72" t="s">
        <v>8</v>
      </c>
    </row>
    <row r="665" spans="1:10" ht="16.5" thickBot="1" x14ac:dyDescent="0.3">
      <c r="A665" s="15"/>
      <c r="B665" s="12" t="s">
        <v>9</v>
      </c>
      <c r="C665" s="17" t="s">
        <v>269</v>
      </c>
      <c r="D665" s="17" t="s">
        <v>270</v>
      </c>
      <c r="E665" s="17" t="s">
        <v>271</v>
      </c>
      <c r="F665" s="17" t="s">
        <v>272</v>
      </c>
    </row>
    <row r="666" spans="1:10" ht="26.25" thickBot="1" x14ac:dyDescent="0.3">
      <c r="A666" s="18"/>
      <c r="B666" s="11" t="s">
        <v>10</v>
      </c>
      <c r="C666" s="11">
        <v>34023.82</v>
      </c>
      <c r="D666" s="11">
        <v>34002.61</v>
      </c>
      <c r="E666" s="11">
        <v>34015.83</v>
      </c>
      <c r="F666" s="11">
        <v>34065.94</v>
      </c>
    </row>
    <row r="667" spans="1:10" ht="25.5" customHeight="1" thickBot="1" x14ac:dyDescent="0.3">
      <c r="A667" s="12"/>
      <c r="B667" s="108" t="s">
        <v>11</v>
      </c>
      <c r="C667" s="109"/>
      <c r="D667" s="110">
        <v>-119467</v>
      </c>
      <c r="E667" s="111"/>
      <c r="F667" s="1"/>
    </row>
    <row r="668" spans="1:10" ht="16.5" thickBot="1" x14ac:dyDescent="0.3">
      <c r="A668" s="112"/>
      <c r="B668" s="113"/>
      <c r="C668" s="113"/>
      <c r="D668" s="113"/>
      <c r="E668" s="113"/>
      <c r="F668" s="114"/>
    </row>
    <row r="669" spans="1:10" ht="16.5" thickBot="1" x14ac:dyDescent="0.3">
      <c r="A669" s="2" t="s">
        <v>13</v>
      </c>
      <c r="B669" s="12" t="s">
        <v>5</v>
      </c>
      <c r="C669" s="12">
        <v>483</v>
      </c>
      <c r="D669" s="12">
        <v>6</v>
      </c>
      <c r="E669" s="12">
        <v>891</v>
      </c>
      <c r="F669" s="12">
        <v>3</v>
      </c>
    </row>
    <row r="670" spans="1:10" ht="18.75" x14ac:dyDescent="0.25">
      <c r="A670" s="3">
        <v>2</v>
      </c>
      <c r="B670" s="105" t="s">
        <v>6</v>
      </c>
      <c r="C670" s="19">
        <v>640651</v>
      </c>
      <c r="D670" s="19">
        <v>886757</v>
      </c>
      <c r="E670" s="14">
        <v>1355000</v>
      </c>
      <c r="F670" s="19">
        <v>172533</v>
      </c>
      <c r="G670" s="4"/>
      <c r="I670" s="55"/>
      <c r="J670" s="55"/>
    </row>
    <row r="671" spans="1:10" x14ac:dyDescent="0.25">
      <c r="A671" s="15"/>
      <c r="B671" s="106"/>
      <c r="C671" s="71" t="s">
        <v>7</v>
      </c>
      <c r="D671" s="71" t="s">
        <v>7</v>
      </c>
      <c r="E671" s="71" t="s">
        <v>7</v>
      </c>
      <c r="F671" s="71" t="s">
        <v>7</v>
      </c>
    </row>
    <row r="672" spans="1:10" x14ac:dyDescent="0.25">
      <c r="A672" s="15"/>
      <c r="B672" s="106"/>
      <c r="C672" s="16">
        <v>41</v>
      </c>
      <c r="D672" s="16">
        <v>58</v>
      </c>
      <c r="E672" s="16">
        <v>88</v>
      </c>
      <c r="F672" s="16">
        <v>11</v>
      </c>
    </row>
    <row r="673" spans="1:10" ht="16.5" thickBot="1" x14ac:dyDescent="0.3">
      <c r="A673" s="15"/>
      <c r="B673" s="107"/>
      <c r="C673" s="72" t="s">
        <v>8</v>
      </c>
      <c r="D673" s="72" t="s">
        <v>8</v>
      </c>
      <c r="E673" s="72" t="s">
        <v>8</v>
      </c>
      <c r="F673" s="72" t="s">
        <v>8</v>
      </c>
    </row>
    <row r="674" spans="1:10" ht="16.5" thickBot="1" x14ac:dyDescent="0.3">
      <c r="A674" s="15"/>
      <c r="B674" s="12" t="s">
        <v>9</v>
      </c>
      <c r="C674" s="17" t="s">
        <v>273</v>
      </c>
      <c r="D674" s="17" t="s">
        <v>274</v>
      </c>
      <c r="E674" s="17" t="s">
        <v>275</v>
      </c>
      <c r="F674" s="17" t="s">
        <v>276</v>
      </c>
    </row>
    <row r="675" spans="1:10" ht="26.25" thickBot="1" x14ac:dyDescent="0.3">
      <c r="A675" s="18"/>
      <c r="B675" s="11" t="s">
        <v>10</v>
      </c>
      <c r="C675" s="11">
        <v>34351.46</v>
      </c>
      <c r="D675" s="11">
        <v>34352.97</v>
      </c>
      <c r="E675" s="11">
        <v>34351.96</v>
      </c>
      <c r="F675" s="11">
        <v>34355.31</v>
      </c>
    </row>
    <row r="676" spans="1:10" ht="25.5" customHeight="1" thickBot="1" x14ac:dyDescent="0.3">
      <c r="A676" s="12"/>
      <c r="B676" s="108" t="s">
        <v>11</v>
      </c>
      <c r="C676" s="109"/>
      <c r="D676" s="110">
        <v>-714224</v>
      </c>
      <c r="E676" s="111"/>
      <c r="F676" s="1"/>
    </row>
    <row r="677" spans="1:10" ht="16.5" thickBot="1" x14ac:dyDescent="0.3">
      <c r="A677" s="112"/>
      <c r="B677" s="113"/>
      <c r="C677" s="113"/>
      <c r="D677" s="113"/>
      <c r="E677" s="113"/>
      <c r="F677" s="114"/>
    </row>
    <row r="678" spans="1:10" ht="16.5" thickBot="1" x14ac:dyDescent="0.3">
      <c r="A678" s="2" t="s">
        <v>277</v>
      </c>
      <c r="B678" s="12" t="s">
        <v>5</v>
      </c>
      <c r="C678" s="12">
        <v>485</v>
      </c>
      <c r="D678" s="12">
        <v>3</v>
      </c>
      <c r="E678" s="12">
        <v>802</v>
      </c>
      <c r="F678" s="12">
        <v>4</v>
      </c>
    </row>
    <row r="679" spans="1:10" ht="18.75" x14ac:dyDescent="0.25">
      <c r="A679" s="3">
        <v>29</v>
      </c>
      <c r="B679" s="105" t="s">
        <v>6</v>
      </c>
      <c r="C679" s="19">
        <v>872608</v>
      </c>
      <c r="D679" s="19">
        <v>203028</v>
      </c>
      <c r="E679" s="19">
        <v>865570</v>
      </c>
      <c r="F679" s="19">
        <v>210066</v>
      </c>
      <c r="G679" s="4"/>
      <c r="I679" s="55"/>
      <c r="J679" s="55"/>
    </row>
    <row r="680" spans="1:10" x14ac:dyDescent="0.25">
      <c r="A680" s="15"/>
      <c r="B680" s="106"/>
      <c r="C680" s="71" t="s">
        <v>7</v>
      </c>
      <c r="D680" s="71" t="s">
        <v>7</v>
      </c>
      <c r="E680" s="71" t="s">
        <v>7</v>
      </c>
      <c r="F680" s="71" t="s">
        <v>7</v>
      </c>
    </row>
    <row r="681" spans="1:10" x14ac:dyDescent="0.25">
      <c r="A681" s="15"/>
      <c r="B681" s="106"/>
      <c r="C681" s="16">
        <v>81</v>
      </c>
      <c r="D681" s="16">
        <v>18</v>
      </c>
      <c r="E681" s="16">
        <v>80</v>
      </c>
      <c r="F681" s="16">
        <v>19</v>
      </c>
    </row>
    <row r="682" spans="1:10" ht="16.5" thickBot="1" x14ac:dyDescent="0.3">
      <c r="A682" s="15"/>
      <c r="B682" s="107"/>
      <c r="C682" s="72" t="s">
        <v>8</v>
      </c>
      <c r="D682" s="72" t="s">
        <v>8</v>
      </c>
      <c r="E682" s="72" t="s">
        <v>8</v>
      </c>
      <c r="F682" s="72" t="s">
        <v>8</v>
      </c>
    </row>
    <row r="683" spans="1:10" ht="16.5" thickBot="1" x14ac:dyDescent="0.3">
      <c r="A683" s="15"/>
      <c r="B683" s="12" t="s">
        <v>9</v>
      </c>
      <c r="C683" s="17" t="s">
        <v>278</v>
      </c>
      <c r="D683" s="17" t="s">
        <v>279</v>
      </c>
      <c r="E683" s="17" t="s">
        <v>280</v>
      </c>
      <c r="F683" s="17" t="s">
        <v>281</v>
      </c>
    </row>
    <row r="684" spans="1:10" ht="26.25" thickBot="1" x14ac:dyDescent="0.3">
      <c r="A684" s="18"/>
      <c r="B684" s="11" t="s">
        <v>10</v>
      </c>
      <c r="C684" s="11">
        <v>34606.07</v>
      </c>
      <c r="D684" s="11">
        <v>34554.160000000003</v>
      </c>
      <c r="E684" s="11">
        <v>34602.86</v>
      </c>
      <c r="F684" s="11">
        <v>34569.15</v>
      </c>
    </row>
    <row r="685" spans="1:10" ht="25.5" customHeight="1" thickBot="1" x14ac:dyDescent="0.3">
      <c r="A685" s="12"/>
      <c r="B685" s="108" t="s">
        <v>11</v>
      </c>
      <c r="C685" s="109"/>
      <c r="D685" s="110">
        <v>7038</v>
      </c>
      <c r="E685" s="111"/>
      <c r="F685" s="1"/>
    </row>
    <row r="686" spans="1:10" ht="16.5" thickBot="1" x14ac:dyDescent="0.3">
      <c r="A686" s="112"/>
      <c r="B686" s="113"/>
      <c r="C686" s="113"/>
      <c r="D686" s="113"/>
      <c r="E686" s="113"/>
      <c r="F686" s="114"/>
    </row>
    <row r="687" spans="1:10" ht="16.5" thickBot="1" x14ac:dyDescent="0.3">
      <c r="A687" s="2" t="s">
        <v>277</v>
      </c>
      <c r="B687" s="12" t="s">
        <v>5</v>
      </c>
      <c r="C687" s="12">
        <v>397</v>
      </c>
      <c r="D687" s="12">
        <v>7</v>
      </c>
      <c r="E687" s="12">
        <v>774</v>
      </c>
      <c r="F687" s="12">
        <v>4</v>
      </c>
    </row>
    <row r="688" spans="1:10" ht="18.75" x14ac:dyDescent="0.25">
      <c r="A688" s="3">
        <v>28</v>
      </c>
      <c r="B688" s="105" t="s">
        <v>6</v>
      </c>
      <c r="C688" s="19">
        <v>500525</v>
      </c>
      <c r="D688" s="19">
        <v>599119</v>
      </c>
      <c r="E688" s="14">
        <v>1096000</v>
      </c>
      <c r="F688" s="19">
        <v>3752</v>
      </c>
      <c r="G688" s="4"/>
      <c r="I688" s="55"/>
      <c r="J688" s="55"/>
    </row>
    <row r="689" spans="1:10" x14ac:dyDescent="0.25">
      <c r="A689" s="15"/>
      <c r="B689" s="106"/>
      <c r="C689" s="71" t="s">
        <v>7</v>
      </c>
      <c r="D689" s="71" t="s">
        <v>7</v>
      </c>
      <c r="E689" s="71" t="s">
        <v>7</v>
      </c>
      <c r="F689" s="71" t="s">
        <v>7</v>
      </c>
    </row>
    <row r="690" spans="1:10" x14ac:dyDescent="0.25">
      <c r="A690" s="15"/>
      <c r="B690" s="106"/>
      <c r="C690" s="16">
        <v>45</v>
      </c>
      <c r="D690" s="16">
        <v>54</v>
      </c>
      <c r="E690" s="16">
        <v>99</v>
      </c>
      <c r="F690" s="16">
        <v>0</v>
      </c>
    </row>
    <row r="691" spans="1:10" ht="16.5" thickBot="1" x14ac:dyDescent="0.3">
      <c r="A691" s="15"/>
      <c r="B691" s="107"/>
      <c r="C691" s="72" t="s">
        <v>8</v>
      </c>
      <c r="D691" s="72" t="s">
        <v>8</v>
      </c>
      <c r="E691" s="72" t="s">
        <v>8</v>
      </c>
      <c r="F691" s="72" t="s">
        <v>8</v>
      </c>
    </row>
    <row r="692" spans="1:10" ht="16.5" thickBot="1" x14ac:dyDescent="0.3">
      <c r="A692" s="15"/>
      <c r="B692" s="12" t="s">
        <v>9</v>
      </c>
      <c r="C692" s="17" t="s">
        <v>282</v>
      </c>
      <c r="D692" s="17" t="s">
        <v>283</v>
      </c>
      <c r="E692" s="17" t="s">
        <v>284</v>
      </c>
      <c r="F692" s="20">
        <v>130574000</v>
      </c>
    </row>
    <row r="693" spans="1:10" ht="26.25" thickBot="1" x14ac:dyDescent="0.3">
      <c r="A693" s="18"/>
      <c r="B693" s="11" t="s">
        <v>10</v>
      </c>
      <c r="C693" s="11">
        <v>34762.01</v>
      </c>
      <c r="D693" s="11">
        <v>34806.32</v>
      </c>
      <c r="E693" s="11">
        <v>34786.1</v>
      </c>
      <c r="F693" s="11">
        <v>34801.25</v>
      </c>
    </row>
    <row r="694" spans="1:10" ht="25.5" customHeight="1" thickBot="1" x14ac:dyDescent="0.3">
      <c r="A694" s="12"/>
      <c r="B694" s="108" t="s">
        <v>11</v>
      </c>
      <c r="C694" s="109"/>
      <c r="D694" s="110">
        <v>-595367</v>
      </c>
      <c r="E694" s="111"/>
      <c r="F694" s="1"/>
    </row>
    <row r="695" spans="1:10" ht="16.5" thickBot="1" x14ac:dyDescent="0.3">
      <c r="A695" s="112"/>
      <c r="B695" s="113"/>
      <c r="C695" s="113"/>
      <c r="D695" s="113"/>
      <c r="E695" s="113"/>
      <c r="F695" s="114"/>
    </row>
    <row r="696" spans="1:10" ht="16.5" thickBot="1" x14ac:dyDescent="0.3">
      <c r="A696" s="2" t="s">
        <v>277</v>
      </c>
      <c r="B696" s="12" t="s">
        <v>5</v>
      </c>
      <c r="C696" s="12">
        <v>372</v>
      </c>
      <c r="D696" s="12">
        <v>6</v>
      </c>
      <c r="E696" s="12">
        <v>908</v>
      </c>
      <c r="F696" s="12">
        <v>6</v>
      </c>
    </row>
    <row r="697" spans="1:10" ht="18.75" x14ac:dyDescent="0.25">
      <c r="A697" s="3">
        <v>27</v>
      </c>
      <c r="B697" s="105" t="s">
        <v>6</v>
      </c>
      <c r="C697" s="19">
        <v>464713</v>
      </c>
      <c r="D697" s="14">
        <v>1171000</v>
      </c>
      <c r="E697" s="14">
        <v>1432000</v>
      </c>
      <c r="F697" s="19">
        <v>203945</v>
      </c>
      <c r="G697" s="4"/>
      <c r="I697" s="55"/>
      <c r="J697" s="55"/>
    </row>
    <row r="698" spans="1:10" x14ac:dyDescent="0.25">
      <c r="A698" s="15"/>
      <c r="B698" s="106"/>
      <c r="C698" s="71" t="s">
        <v>7</v>
      </c>
      <c r="D698" s="71" t="s">
        <v>7</v>
      </c>
      <c r="E698" s="71" t="s">
        <v>7</v>
      </c>
      <c r="F698" s="71" t="s">
        <v>7</v>
      </c>
    </row>
    <row r="699" spans="1:10" x14ac:dyDescent="0.25">
      <c r="A699" s="15"/>
      <c r="B699" s="106"/>
      <c r="C699" s="16">
        <v>28</v>
      </c>
      <c r="D699" s="16">
        <v>71</v>
      </c>
      <c r="E699" s="16">
        <v>87</v>
      </c>
      <c r="F699" s="16">
        <v>12</v>
      </c>
    </row>
    <row r="700" spans="1:10" ht="16.5" thickBot="1" x14ac:dyDescent="0.3">
      <c r="A700" s="15"/>
      <c r="B700" s="107"/>
      <c r="C700" s="72" t="s">
        <v>8</v>
      </c>
      <c r="D700" s="72" t="s">
        <v>8</v>
      </c>
      <c r="E700" s="72" t="s">
        <v>8</v>
      </c>
      <c r="F700" s="72" t="s">
        <v>8</v>
      </c>
    </row>
    <row r="701" spans="1:10" ht="16.5" thickBot="1" x14ac:dyDescent="0.3">
      <c r="A701" s="15"/>
      <c r="B701" s="12" t="s">
        <v>9</v>
      </c>
      <c r="C701" s="17" t="s">
        <v>285</v>
      </c>
      <c r="D701" s="17" t="s">
        <v>286</v>
      </c>
      <c r="E701" s="17" t="s">
        <v>287</v>
      </c>
      <c r="F701" s="17" t="s">
        <v>288</v>
      </c>
    </row>
    <row r="702" spans="1:10" ht="26.25" thickBot="1" x14ac:dyDescent="0.3">
      <c r="A702" s="18"/>
      <c r="B702" s="11" t="s">
        <v>10</v>
      </c>
      <c r="C702" s="11">
        <v>34603.870000000003</v>
      </c>
      <c r="D702" s="11">
        <v>34883.11</v>
      </c>
      <c r="E702" s="11">
        <v>34795.65</v>
      </c>
      <c r="F702" s="11">
        <v>34860.81</v>
      </c>
    </row>
    <row r="703" spans="1:10" ht="25.5" customHeight="1" thickBot="1" x14ac:dyDescent="0.3">
      <c r="A703" s="12"/>
      <c r="B703" s="108" t="s">
        <v>11</v>
      </c>
      <c r="C703" s="109"/>
      <c r="D703" s="110">
        <v>-967144</v>
      </c>
      <c r="E703" s="111"/>
      <c r="F703" s="1"/>
    </row>
    <row r="704" spans="1:10" ht="16.5" thickBot="1" x14ac:dyDescent="0.3">
      <c r="A704" s="112"/>
      <c r="B704" s="113"/>
      <c r="C704" s="113"/>
      <c r="D704" s="113"/>
      <c r="E704" s="113"/>
      <c r="F704" s="114"/>
    </row>
    <row r="705" spans="1:10" ht="16.5" thickBot="1" x14ac:dyDescent="0.3">
      <c r="A705" s="2" t="s">
        <v>277</v>
      </c>
      <c r="B705" s="12" t="s">
        <v>5</v>
      </c>
      <c r="C705" s="12">
        <v>601</v>
      </c>
      <c r="D705" s="12">
        <v>8</v>
      </c>
      <c r="E705" s="12">
        <v>721</v>
      </c>
      <c r="F705" s="12">
        <v>0</v>
      </c>
    </row>
    <row r="706" spans="1:10" ht="18.75" x14ac:dyDescent="0.25">
      <c r="A706" s="3">
        <v>26</v>
      </c>
      <c r="B706" s="105" t="s">
        <v>6</v>
      </c>
      <c r="C706" s="14">
        <v>1003000</v>
      </c>
      <c r="D706" s="19">
        <v>353762</v>
      </c>
      <c r="E706" s="14">
        <v>1356000</v>
      </c>
      <c r="F706" s="24">
        <v>0</v>
      </c>
      <c r="G706" s="4"/>
      <c r="I706" s="55"/>
      <c r="J706" s="55"/>
    </row>
    <row r="707" spans="1:10" x14ac:dyDescent="0.25">
      <c r="A707" s="15"/>
      <c r="B707" s="106"/>
      <c r="C707" s="71" t="s">
        <v>7</v>
      </c>
      <c r="D707" s="71" t="s">
        <v>7</v>
      </c>
      <c r="E707" s="71" t="s">
        <v>7</v>
      </c>
      <c r="F707" s="71" t="s">
        <v>7</v>
      </c>
    </row>
    <row r="708" spans="1:10" x14ac:dyDescent="0.25">
      <c r="A708" s="15"/>
      <c r="B708" s="106"/>
      <c r="C708" s="16">
        <v>73</v>
      </c>
      <c r="D708" s="16">
        <v>26</v>
      </c>
      <c r="E708" s="16">
        <v>100</v>
      </c>
      <c r="F708" s="16">
        <v>0</v>
      </c>
    </row>
    <row r="709" spans="1:10" ht="16.5" thickBot="1" x14ac:dyDescent="0.3">
      <c r="A709" s="15"/>
      <c r="B709" s="107"/>
      <c r="C709" s="72" t="s">
        <v>8</v>
      </c>
      <c r="D709" s="72" t="s">
        <v>8</v>
      </c>
      <c r="E709" s="72" t="s">
        <v>8</v>
      </c>
      <c r="F709" s="72" t="s">
        <v>8</v>
      </c>
    </row>
    <row r="710" spans="1:10" ht="16.5" thickBot="1" x14ac:dyDescent="0.3">
      <c r="A710" s="15"/>
      <c r="B710" s="12" t="s">
        <v>9</v>
      </c>
      <c r="C710" s="17" t="s">
        <v>289</v>
      </c>
      <c r="D710" s="17" t="s">
        <v>290</v>
      </c>
      <c r="E710" s="17" t="s">
        <v>291</v>
      </c>
      <c r="F710" s="17">
        <v>0</v>
      </c>
    </row>
    <row r="711" spans="1:10" ht="26.25" thickBot="1" x14ac:dyDescent="0.3">
      <c r="A711" s="18"/>
      <c r="B711" s="11" t="s">
        <v>10</v>
      </c>
      <c r="C711" s="11">
        <v>33934.15</v>
      </c>
      <c r="D711" s="11">
        <v>34099.910000000003</v>
      </c>
      <c r="E711" s="11">
        <v>33977.379999999997</v>
      </c>
      <c r="F711" s="11">
        <v>0</v>
      </c>
    </row>
    <row r="712" spans="1:10" ht="25.5" customHeight="1" thickBot="1" x14ac:dyDescent="0.3">
      <c r="A712" s="12"/>
      <c r="B712" s="108" t="s">
        <v>11</v>
      </c>
      <c r="C712" s="109"/>
      <c r="D712" s="110">
        <v>-353762</v>
      </c>
      <c r="E712" s="111"/>
      <c r="F712" s="1"/>
    </row>
    <row r="713" spans="1:10" ht="16.5" thickBot="1" x14ac:dyDescent="0.3">
      <c r="A713" s="112"/>
      <c r="B713" s="113"/>
      <c r="C713" s="113"/>
      <c r="D713" s="113"/>
      <c r="E713" s="113"/>
      <c r="F713" s="114"/>
    </row>
    <row r="714" spans="1:10" ht="16.5" thickBot="1" x14ac:dyDescent="0.3">
      <c r="A714" s="2" t="s">
        <v>277</v>
      </c>
      <c r="B714" s="12" t="s">
        <v>5</v>
      </c>
      <c r="C714" s="12">
        <v>509</v>
      </c>
      <c r="D714" s="12">
        <v>6</v>
      </c>
      <c r="E714" s="13">
        <v>1016</v>
      </c>
      <c r="F714" s="12">
        <v>5</v>
      </c>
    </row>
    <row r="715" spans="1:10" ht="18.75" x14ac:dyDescent="0.25">
      <c r="A715" s="3">
        <v>25</v>
      </c>
      <c r="B715" s="105" t="s">
        <v>6</v>
      </c>
      <c r="C715" s="14">
        <v>1055000</v>
      </c>
      <c r="D715" s="19">
        <v>560591</v>
      </c>
      <c r="E715" s="14">
        <v>1489000</v>
      </c>
      <c r="F715" s="19">
        <v>125948</v>
      </c>
      <c r="G715" s="4"/>
      <c r="I715" s="55"/>
      <c r="J715" s="55"/>
    </row>
    <row r="716" spans="1:10" x14ac:dyDescent="0.25">
      <c r="A716" s="15"/>
      <c r="B716" s="106"/>
      <c r="C716" s="71" t="s">
        <v>7</v>
      </c>
      <c r="D716" s="71" t="s">
        <v>7</v>
      </c>
      <c r="E716" s="71" t="s">
        <v>7</v>
      </c>
      <c r="F716" s="71" t="s">
        <v>7</v>
      </c>
    </row>
    <row r="717" spans="1:10" x14ac:dyDescent="0.25">
      <c r="A717" s="15"/>
      <c r="B717" s="106"/>
      <c r="C717" s="16">
        <v>65</v>
      </c>
      <c r="D717" s="16">
        <v>34</v>
      </c>
      <c r="E717" s="16">
        <v>92</v>
      </c>
      <c r="F717" s="16">
        <v>7</v>
      </c>
    </row>
    <row r="718" spans="1:10" ht="16.5" thickBot="1" x14ac:dyDescent="0.3">
      <c r="A718" s="15"/>
      <c r="B718" s="107"/>
      <c r="C718" s="72" t="s">
        <v>8</v>
      </c>
      <c r="D718" s="72" t="s">
        <v>8</v>
      </c>
      <c r="E718" s="72" t="s">
        <v>8</v>
      </c>
      <c r="F718" s="72" t="s">
        <v>8</v>
      </c>
    </row>
    <row r="719" spans="1:10" ht="16.5" thickBot="1" x14ac:dyDescent="0.3">
      <c r="A719" s="15"/>
      <c r="B719" s="12" t="s">
        <v>9</v>
      </c>
      <c r="C719" s="17" t="s">
        <v>292</v>
      </c>
      <c r="D719" s="17" t="s">
        <v>293</v>
      </c>
      <c r="E719" s="17" t="s">
        <v>294</v>
      </c>
      <c r="F719" s="17" t="s">
        <v>295</v>
      </c>
    </row>
    <row r="720" spans="1:10" ht="26.25" thickBot="1" x14ac:dyDescent="0.3">
      <c r="A720" s="18"/>
      <c r="B720" s="11" t="s">
        <v>10</v>
      </c>
      <c r="C720" s="11">
        <v>35039.75</v>
      </c>
      <c r="D720" s="11">
        <v>34975.86</v>
      </c>
      <c r="E720" s="11">
        <v>35019.379999999997</v>
      </c>
      <c r="F720" s="11">
        <v>34996.21</v>
      </c>
    </row>
    <row r="721" spans="1:6" ht="25.5" customHeight="1" thickBot="1" x14ac:dyDescent="0.3">
      <c r="A721" s="12"/>
      <c r="B721" s="108" t="s">
        <v>11</v>
      </c>
      <c r="C721" s="109"/>
      <c r="D721" s="110">
        <v>-434643</v>
      </c>
      <c r="E721" s="111"/>
      <c r="F721" s="1"/>
    </row>
    <row r="722" spans="1:6" ht="16.5" thickBot="1" x14ac:dyDescent="0.3">
      <c r="A722" s="112"/>
      <c r="B722" s="113"/>
      <c r="C722" s="113"/>
      <c r="D722" s="113"/>
      <c r="E722" s="113"/>
      <c r="F722" s="114"/>
    </row>
    <row r="723" spans="1:6" ht="16.5" thickBot="1" x14ac:dyDescent="0.3">
      <c r="A723" s="2" t="s">
        <v>277</v>
      </c>
      <c r="B723" s="12" t="s">
        <v>5</v>
      </c>
      <c r="C723" s="12">
        <v>431</v>
      </c>
      <c r="D723" s="12">
        <v>9</v>
      </c>
      <c r="E723" s="13">
        <v>1319</v>
      </c>
      <c r="F723" s="12">
        <v>2</v>
      </c>
    </row>
    <row r="724" spans="1:6" ht="18.75" x14ac:dyDescent="0.25">
      <c r="A724" s="3">
        <v>22</v>
      </c>
      <c r="B724" s="105" t="s">
        <v>6</v>
      </c>
      <c r="C724" s="14">
        <v>1006000</v>
      </c>
      <c r="D724" s="19">
        <v>564492</v>
      </c>
      <c r="E724" s="14">
        <v>1555000</v>
      </c>
      <c r="F724" s="19">
        <v>15400</v>
      </c>
    </row>
    <row r="725" spans="1:6" x14ac:dyDescent="0.25">
      <c r="A725" s="15"/>
      <c r="B725" s="106"/>
      <c r="C725" s="71" t="s">
        <v>7</v>
      </c>
      <c r="D725" s="71" t="s">
        <v>7</v>
      </c>
      <c r="E725" s="71" t="s">
        <v>7</v>
      </c>
      <c r="F725" s="71" t="s">
        <v>7</v>
      </c>
    </row>
    <row r="726" spans="1:6" x14ac:dyDescent="0.25">
      <c r="A726" s="15"/>
      <c r="B726" s="106"/>
      <c r="C726" s="16">
        <v>64</v>
      </c>
      <c r="D726" s="16">
        <v>35</v>
      </c>
      <c r="E726" s="16">
        <v>99</v>
      </c>
      <c r="F726" s="16">
        <v>0</v>
      </c>
    </row>
    <row r="727" spans="1:6" ht="16.5" thickBot="1" x14ac:dyDescent="0.3">
      <c r="A727" s="15"/>
      <c r="B727" s="107"/>
      <c r="C727" s="72" t="s">
        <v>8</v>
      </c>
      <c r="D727" s="72" t="s">
        <v>8</v>
      </c>
      <c r="E727" s="72" t="s">
        <v>8</v>
      </c>
      <c r="F727" s="72" t="s">
        <v>8</v>
      </c>
    </row>
    <row r="728" spans="1:6" ht="16.5" thickBot="1" x14ac:dyDescent="0.3">
      <c r="A728" s="15"/>
      <c r="B728" s="12" t="s">
        <v>9</v>
      </c>
      <c r="C728" s="17" t="s">
        <v>296</v>
      </c>
      <c r="D728" s="17" t="s">
        <v>297</v>
      </c>
      <c r="E728" s="17" t="s">
        <v>298</v>
      </c>
      <c r="F728" s="20">
        <v>544010000</v>
      </c>
    </row>
    <row r="729" spans="1:6" ht="26.25" thickBot="1" x14ac:dyDescent="0.3">
      <c r="A729" s="18"/>
      <c r="B729" s="11" t="s">
        <v>10</v>
      </c>
      <c r="C729" s="11">
        <v>35301.03</v>
      </c>
      <c r="D729" s="11">
        <v>35281.89</v>
      </c>
      <c r="E729" s="11">
        <v>35293.85</v>
      </c>
      <c r="F729" s="11">
        <v>35325.32</v>
      </c>
    </row>
    <row r="730" spans="1:6" ht="25.5" customHeight="1" thickBot="1" x14ac:dyDescent="0.3">
      <c r="A730" s="12"/>
      <c r="B730" s="108" t="s">
        <v>11</v>
      </c>
      <c r="C730" s="109"/>
      <c r="D730" s="110">
        <v>-549092</v>
      </c>
      <c r="E730" s="111"/>
      <c r="F730" s="1"/>
    </row>
    <row r="731" spans="1:6" ht="16.5" thickBot="1" x14ac:dyDescent="0.3">
      <c r="A731" s="112"/>
      <c r="B731" s="113"/>
      <c r="C731" s="113"/>
      <c r="D731" s="113"/>
      <c r="E731" s="113"/>
      <c r="F731" s="114"/>
    </row>
    <row r="732" spans="1:6" ht="16.5" thickBot="1" x14ac:dyDescent="0.3">
      <c r="A732" s="2" t="s">
        <v>277</v>
      </c>
      <c r="B732" s="12" t="s">
        <v>5</v>
      </c>
      <c r="C732" s="12">
        <v>484</v>
      </c>
      <c r="D732" s="12">
        <v>11</v>
      </c>
      <c r="E732" s="13">
        <v>1444</v>
      </c>
      <c r="F732" s="12">
        <v>8</v>
      </c>
    </row>
    <row r="733" spans="1:6" ht="18.75" x14ac:dyDescent="0.25">
      <c r="A733" s="3">
        <v>21</v>
      </c>
      <c r="B733" s="105" t="s">
        <v>6</v>
      </c>
      <c r="C733" s="14">
        <v>1052000</v>
      </c>
      <c r="D733" s="14">
        <v>2638000</v>
      </c>
      <c r="E733" s="14">
        <v>1935000</v>
      </c>
      <c r="F733" s="14">
        <v>1755000</v>
      </c>
    </row>
    <row r="734" spans="1:6" x14ac:dyDescent="0.25">
      <c r="A734" s="15"/>
      <c r="B734" s="106"/>
      <c r="C734" s="71" t="s">
        <v>7</v>
      </c>
      <c r="D734" s="71" t="s">
        <v>7</v>
      </c>
      <c r="E734" s="71" t="s">
        <v>7</v>
      </c>
      <c r="F734" s="71" t="s">
        <v>7</v>
      </c>
    </row>
    <row r="735" spans="1:6" x14ac:dyDescent="0.25">
      <c r="A735" s="15"/>
      <c r="B735" s="106"/>
      <c r="C735" s="16">
        <v>28</v>
      </c>
      <c r="D735" s="16">
        <v>71</v>
      </c>
      <c r="E735" s="16">
        <v>52</v>
      </c>
      <c r="F735" s="16">
        <v>47</v>
      </c>
    </row>
    <row r="736" spans="1:6" ht="16.5" thickBot="1" x14ac:dyDescent="0.3">
      <c r="A736" s="15"/>
      <c r="B736" s="107"/>
      <c r="C736" s="72" t="s">
        <v>8</v>
      </c>
      <c r="D736" s="72" t="s">
        <v>8</v>
      </c>
      <c r="E736" s="72" t="s">
        <v>8</v>
      </c>
      <c r="F736" s="72" t="s">
        <v>8</v>
      </c>
    </row>
    <row r="737" spans="1:6" ht="16.5" thickBot="1" x14ac:dyDescent="0.3">
      <c r="A737" s="15"/>
      <c r="B737" s="12" t="s">
        <v>9</v>
      </c>
      <c r="C737" s="17" t="s">
        <v>299</v>
      </c>
      <c r="D737" s="17" t="s">
        <v>300</v>
      </c>
      <c r="E737" s="17" t="s">
        <v>301</v>
      </c>
      <c r="F737" s="17" t="s">
        <v>302</v>
      </c>
    </row>
    <row r="738" spans="1:6" ht="26.25" thickBot="1" x14ac:dyDescent="0.3">
      <c r="A738" s="18"/>
      <c r="B738" s="11" t="s">
        <v>10</v>
      </c>
      <c r="C738" s="11">
        <v>35243.33</v>
      </c>
      <c r="D738" s="11">
        <v>35206.870000000003</v>
      </c>
      <c r="E738" s="11">
        <v>35227.39</v>
      </c>
      <c r="F738" s="11">
        <v>35206.1</v>
      </c>
    </row>
    <row r="739" spans="1:6" ht="25.5" customHeight="1" thickBot="1" x14ac:dyDescent="0.3">
      <c r="A739" s="12"/>
      <c r="B739" s="108" t="s">
        <v>11</v>
      </c>
      <c r="C739" s="109"/>
      <c r="D739" s="110">
        <v>-883216</v>
      </c>
      <c r="E739" s="111"/>
      <c r="F739" s="1"/>
    </row>
    <row r="740" spans="1:6" ht="16.5" thickBot="1" x14ac:dyDescent="0.3">
      <c r="A740" s="112"/>
      <c r="B740" s="113"/>
      <c r="C740" s="113"/>
      <c r="D740" s="113"/>
      <c r="E740" s="113"/>
      <c r="F740" s="114"/>
    </row>
    <row r="741" spans="1:6" ht="16.5" thickBot="1" x14ac:dyDescent="0.3">
      <c r="A741" s="2" t="s">
        <v>277</v>
      </c>
      <c r="B741" s="12" t="s">
        <v>5</v>
      </c>
      <c r="C741" s="12">
        <v>454</v>
      </c>
      <c r="D741" s="12">
        <v>11</v>
      </c>
      <c r="E741" s="13">
        <v>1176</v>
      </c>
      <c r="F741" s="12">
        <v>7</v>
      </c>
    </row>
    <row r="742" spans="1:6" ht="18.75" x14ac:dyDescent="0.25">
      <c r="A742" s="3">
        <v>20</v>
      </c>
      <c r="B742" s="105" t="s">
        <v>6</v>
      </c>
      <c r="C742" s="19">
        <v>883585</v>
      </c>
      <c r="D742" s="19">
        <v>997770</v>
      </c>
      <c r="E742" s="14">
        <v>1602000</v>
      </c>
      <c r="F742" s="19">
        <v>279649</v>
      </c>
    </row>
    <row r="743" spans="1:6" x14ac:dyDescent="0.25">
      <c r="A743" s="15"/>
      <c r="B743" s="106"/>
      <c r="C743" s="71" t="s">
        <v>7</v>
      </c>
      <c r="D743" s="71" t="s">
        <v>7</v>
      </c>
      <c r="E743" s="71" t="s">
        <v>7</v>
      </c>
      <c r="F743" s="71" t="s">
        <v>7</v>
      </c>
    </row>
    <row r="744" spans="1:6" x14ac:dyDescent="0.25">
      <c r="A744" s="15"/>
      <c r="B744" s="106"/>
      <c r="C744" s="16">
        <v>46</v>
      </c>
      <c r="D744" s="16">
        <v>53</v>
      </c>
      <c r="E744" s="16">
        <v>85</v>
      </c>
      <c r="F744" s="16">
        <v>14</v>
      </c>
    </row>
    <row r="745" spans="1:6" ht="16.5" thickBot="1" x14ac:dyDescent="0.3">
      <c r="A745" s="15"/>
      <c r="B745" s="107"/>
      <c r="C745" s="72" t="s">
        <v>8</v>
      </c>
      <c r="D745" s="72" t="s">
        <v>8</v>
      </c>
      <c r="E745" s="72" t="s">
        <v>8</v>
      </c>
      <c r="F745" s="72" t="s">
        <v>8</v>
      </c>
    </row>
    <row r="746" spans="1:6" ht="16.5" thickBot="1" x14ac:dyDescent="0.3">
      <c r="A746" s="15"/>
      <c r="B746" s="12" t="s">
        <v>9</v>
      </c>
      <c r="C746" s="17" t="s">
        <v>303</v>
      </c>
      <c r="D746" s="17" t="s">
        <v>304</v>
      </c>
      <c r="E746" s="17" t="s">
        <v>305</v>
      </c>
      <c r="F746" s="17" t="s">
        <v>306</v>
      </c>
    </row>
    <row r="747" spans="1:6" ht="26.25" thickBot="1" x14ac:dyDescent="0.3">
      <c r="A747" s="18"/>
      <c r="B747" s="11" t="s">
        <v>10</v>
      </c>
      <c r="C747" s="11">
        <v>34450.44</v>
      </c>
      <c r="D747" s="11">
        <v>34713.99</v>
      </c>
      <c r="E747" s="11">
        <v>34593.83</v>
      </c>
      <c r="F747" s="11">
        <v>34569.519999999997</v>
      </c>
    </row>
    <row r="748" spans="1:6" ht="25.5" customHeight="1" thickBot="1" x14ac:dyDescent="0.3">
      <c r="A748" s="12"/>
      <c r="B748" s="108" t="s">
        <v>11</v>
      </c>
      <c r="C748" s="109"/>
      <c r="D748" s="110">
        <v>-718121</v>
      </c>
      <c r="E748" s="111"/>
      <c r="F748" s="1"/>
    </row>
    <row r="749" spans="1:6" ht="16.5" thickBot="1" x14ac:dyDescent="0.3">
      <c r="A749" s="112"/>
      <c r="B749" s="113"/>
      <c r="C749" s="113"/>
      <c r="D749" s="113"/>
      <c r="E749" s="113"/>
      <c r="F749" s="114"/>
    </row>
    <row r="750" spans="1:6" ht="16.5" thickBot="1" x14ac:dyDescent="0.3">
      <c r="A750" s="2" t="s">
        <v>277</v>
      </c>
      <c r="B750" s="12" t="s">
        <v>5</v>
      </c>
      <c r="C750" s="12">
        <v>554</v>
      </c>
      <c r="D750" s="12">
        <v>14</v>
      </c>
      <c r="E750" s="12">
        <v>948</v>
      </c>
      <c r="F750" s="12">
        <v>1</v>
      </c>
    </row>
    <row r="751" spans="1:6" ht="18.75" x14ac:dyDescent="0.25">
      <c r="A751" s="3">
        <v>19</v>
      </c>
      <c r="B751" s="105" t="s">
        <v>6</v>
      </c>
      <c r="C751" s="19">
        <v>842706</v>
      </c>
      <c r="D751" s="19">
        <v>613524</v>
      </c>
      <c r="E751" s="14">
        <v>1452000</v>
      </c>
      <c r="F751" s="19">
        <v>4500</v>
      </c>
    </row>
    <row r="752" spans="1:6" x14ac:dyDescent="0.25">
      <c r="A752" s="15"/>
      <c r="B752" s="106"/>
      <c r="C752" s="71" t="s">
        <v>7</v>
      </c>
      <c r="D752" s="71" t="s">
        <v>7</v>
      </c>
      <c r="E752" s="71" t="s">
        <v>7</v>
      </c>
      <c r="F752" s="71" t="s">
        <v>7</v>
      </c>
    </row>
    <row r="753" spans="1:6" x14ac:dyDescent="0.25">
      <c r="A753" s="15"/>
      <c r="B753" s="106"/>
      <c r="C753" s="16">
        <v>57</v>
      </c>
      <c r="D753" s="16">
        <v>42</v>
      </c>
      <c r="E753" s="16">
        <v>99</v>
      </c>
      <c r="F753" s="16">
        <v>0</v>
      </c>
    </row>
    <row r="754" spans="1:6" ht="16.5" thickBot="1" x14ac:dyDescent="0.3">
      <c r="A754" s="15"/>
      <c r="B754" s="107"/>
      <c r="C754" s="72" t="s">
        <v>8</v>
      </c>
      <c r="D754" s="72" t="s">
        <v>8</v>
      </c>
      <c r="E754" s="72" t="s">
        <v>8</v>
      </c>
      <c r="F754" s="72" t="s">
        <v>8</v>
      </c>
    </row>
    <row r="755" spans="1:6" ht="16.5" thickBot="1" x14ac:dyDescent="0.3">
      <c r="A755" s="15"/>
      <c r="B755" s="12" t="s">
        <v>9</v>
      </c>
      <c r="C755" s="17" t="s">
        <v>307</v>
      </c>
      <c r="D755" s="17" t="s">
        <v>308</v>
      </c>
      <c r="E755" s="17" t="s">
        <v>309</v>
      </c>
      <c r="F755" s="20">
        <v>154358000</v>
      </c>
    </row>
    <row r="756" spans="1:6" ht="26.25" thickBot="1" x14ac:dyDescent="0.3">
      <c r="A756" s="18"/>
      <c r="B756" s="11" t="s">
        <v>10</v>
      </c>
      <c r="C756" s="11">
        <v>34461.360000000001</v>
      </c>
      <c r="D756" s="11">
        <v>34547.339999999997</v>
      </c>
      <c r="E756" s="11">
        <v>34498.19</v>
      </c>
      <c r="F756" s="11">
        <v>34301.879999999997</v>
      </c>
    </row>
    <row r="757" spans="1:6" ht="25.5" customHeight="1" thickBot="1" x14ac:dyDescent="0.3">
      <c r="A757" s="21"/>
      <c r="B757" s="117" t="s">
        <v>11</v>
      </c>
      <c r="C757" s="118"/>
      <c r="D757" s="119">
        <v>-609024</v>
      </c>
      <c r="E757" s="120"/>
      <c r="F757" s="1"/>
    </row>
    <row r="758" spans="1:6" ht="16.5" thickBot="1" x14ac:dyDescent="0.3">
      <c r="A758" s="112"/>
      <c r="B758" s="113"/>
      <c r="C758" s="113"/>
      <c r="D758" s="113"/>
      <c r="E758" s="113"/>
      <c r="F758" s="114"/>
    </row>
    <row r="759" spans="1:6" ht="16.5" thickBot="1" x14ac:dyDescent="0.3">
      <c r="A759" s="2"/>
      <c r="B759" s="12"/>
      <c r="C759" s="12"/>
      <c r="D759" s="12"/>
      <c r="E759" s="13"/>
      <c r="F759" s="12"/>
    </row>
    <row r="760" spans="1:6" ht="18.75" x14ac:dyDescent="0.25">
      <c r="A760" s="3"/>
      <c r="B760" s="105"/>
      <c r="C760" s="14"/>
      <c r="D760" s="19"/>
      <c r="E760" s="14"/>
      <c r="F760" s="19"/>
    </row>
    <row r="761" spans="1:6" x14ac:dyDescent="0.25">
      <c r="A761" s="15"/>
      <c r="B761" s="106"/>
      <c r="C761" s="65"/>
      <c r="D761" s="65"/>
      <c r="E761" s="65"/>
      <c r="F761" s="65"/>
    </row>
    <row r="762" spans="1:6" x14ac:dyDescent="0.25">
      <c r="A762" s="15"/>
      <c r="B762" s="106"/>
      <c r="C762" s="16"/>
      <c r="D762" s="16"/>
      <c r="E762" s="16"/>
      <c r="F762" s="16"/>
    </row>
    <row r="763" spans="1:6" ht="16.5" thickBot="1" x14ac:dyDescent="0.3">
      <c r="A763" s="15"/>
      <c r="B763" s="107"/>
      <c r="C763" s="66"/>
      <c r="D763" s="66"/>
      <c r="E763" s="66"/>
      <c r="F763" s="66"/>
    </row>
    <row r="764" spans="1:6" ht="16.5" thickBot="1" x14ac:dyDescent="0.3">
      <c r="A764" s="15"/>
      <c r="B764" s="12"/>
      <c r="C764" s="17"/>
      <c r="D764" s="17"/>
      <c r="E764" s="17"/>
      <c r="F764" s="17"/>
    </row>
    <row r="765" spans="1:6" ht="16.5" thickBot="1" x14ac:dyDescent="0.3">
      <c r="A765" s="18"/>
      <c r="B765" s="11"/>
      <c r="C765" s="11"/>
      <c r="D765" s="11"/>
      <c r="E765" s="11"/>
      <c r="F765" s="11"/>
    </row>
    <row r="766" spans="1:6" ht="25.5" customHeight="1" thickBot="1" x14ac:dyDescent="0.3">
      <c r="A766" s="12"/>
      <c r="B766" s="108"/>
      <c r="C766" s="109"/>
      <c r="D766" s="110"/>
      <c r="E766" s="111"/>
      <c r="F766" s="1"/>
    </row>
    <row r="767" spans="1:6" ht="16.5" thickBot="1" x14ac:dyDescent="0.3">
      <c r="A767" s="112"/>
      <c r="B767" s="113"/>
      <c r="C767" s="113"/>
      <c r="D767" s="113"/>
      <c r="E767" s="113"/>
      <c r="F767" s="114"/>
    </row>
    <row r="768" spans="1:6" ht="16.5" thickBot="1" x14ac:dyDescent="0.3">
      <c r="A768" s="2"/>
      <c r="B768" s="12"/>
      <c r="C768" s="12"/>
      <c r="D768" s="12"/>
      <c r="E768" s="13"/>
      <c r="F768" s="12"/>
    </row>
    <row r="769" spans="1:6" ht="18.75" x14ac:dyDescent="0.25">
      <c r="A769" s="3"/>
      <c r="B769" s="105"/>
      <c r="C769" s="14"/>
      <c r="D769" s="14"/>
      <c r="E769" s="14"/>
      <c r="F769" s="19"/>
    </row>
    <row r="770" spans="1:6" x14ac:dyDescent="0.25">
      <c r="A770" s="15"/>
      <c r="B770" s="106"/>
      <c r="C770" s="65"/>
      <c r="D770" s="65"/>
      <c r="E770" s="65"/>
      <c r="F770" s="65"/>
    </row>
    <row r="771" spans="1:6" x14ac:dyDescent="0.25">
      <c r="A771" s="15"/>
      <c r="B771" s="106"/>
      <c r="C771" s="16"/>
      <c r="D771" s="16"/>
      <c r="E771" s="16"/>
      <c r="F771" s="16"/>
    </row>
    <row r="772" spans="1:6" ht="16.5" thickBot="1" x14ac:dyDescent="0.3">
      <c r="A772" s="15"/>
      <c r="B772" s="107"/>
      <c r="C772" s="66"/>
      <c r="D772" s="66"/>
      <c r="E772" s="66"/>
      <c r="F772" s="66"/>
    </row>
    <row r="773" spans="1:6" ht="16.5" thickBot="1" x14ac:dyDescent="0.3">
      <c r="A773" s="15"/>
      <c r="B773" s="12"/>
      <c r="C773" s="17"/>
      <c r="D773" s="17"/>
      <c r="E773" s="17"/>
      <c r="F773" s="17"/>
    </row>
    <row r="774" spans="1:6" ht="16.5" thickBot="1" x14ac:dyDescent="0.3">
      <c r="A774" s="18"/>
      <c r="B774" s="11"/>
      <c r="C774" s="11"/>
      <c r="D774" s="11"/>
      <c r="E774" s="11"/>
      <c r="F774" s="11"/>
    </row>
    <row r="775" spans="1:6" ht="25.5" customHeight="1" thickBot="1" x14ac:dyDescent="0.3">
      <c r="A775" s="12"/>
      <c r="B775" s="108"/>
      <c r="C775" s="109"/>
      <c r="D775" s="110"/>
      <c r="E775" s="111"/>
      <c r="F775" s="1"/>
    </row>
    <row r="776" spans="1:6" ht="16.5" thickBot="1" x14ac:dyDescent="0.3">
      <c r="A776" s="112"/>
      <c r="B776" s="113"/>
      <c r="C776" s="113"/>
      <c r="D776" s="113"/>
      <c r="E776" s="113"/>
      <c r="F776" s="114"/>
    </row>
    <row r="777" spans="1:6" ht="16.5" thickBot="1" x14ac:dyDescent="0.3">
      <c r="A777" s="2"/>
      <c r="B777" s="12"/>
      <c r="C777" s="13"/>
      <c r="D777" s="12"/>
      <c r="E777" s="13"/>
      <c r="F777" s="12"/>
    </row>
    <row r="778" spans="1:6" ht="18.75" x14ac:dyDescent="0.25">
      <c r="A778" s="3"/>
      <c r="B778" s="105"/>
      <c r="C778" s="14"/>
      <c r="D778" s="19"/>
      <c r="E778" s="14"/>
      <c r="F778" s="19"/>
    </row>
    <row r="779" spans="1:6" x14ac:dyDescent="0.25">
      <c r="A779" s="15"/>
      <c r="B779" s="106"/>
      <c r="C779" s="65"/>
      <c r="D779" s="65"/>
      <c r="E779" s="65"/>
      <c r="F779" s="65"/>
    </row>
    <row r="780" spans="1:6" x14ac:dyDescent="0.25">
      <c r="A780" s="15"/>
      <c r="B780" s="106"/>
      <c r="C780" s="16"/>
      <c r="D780" s="16"/>
      <c r="E780" s="16"/>
      <c r="F780" s="16"/>
    </row>
    <row r="781" spans="1:6" ht="16.5" thickBot="1" x14ac:dyDescent="0.3">
      <c r="A781" s="15"/>
      <c r="B781" s="107"/>
      <c r="C781" s="66"/>
      <c r="D781" s="66"/>
      <c r="E781" s="66"/>
      <c r="F781" s="66"/>
    </row>
    <row r="782" spans="1:6" ht="16.5" thickBot="1" x14ac:dyDescent="0.3">
      <c r="A782" s="15"/>
      <c r="B782" s="12"/>
      <c r="C782" s="17"/>
      <c r="D782" s="17"/>
      <c r="E782" s="17"/>
      <c r="F782" s="17"/>
    </row>
    <row r="783" spans="1:6" ht="16.5" thickBot="1" x14ac:dyDescent="0.3">
      <c r="A783" s="18"/>
      <c r="B783" s="11"/>
      <c r="C783" s="11"/>
      <c r="D783" s="11"/>
      <c r="E783" s="11"/>
      <c r="F783" s="11"/>
    </row>
    <row r="784" spans="1:6" ht="25.5" customHeight="1" thickBot="1" x14ac:dyDescent="0.3">
      <c r="A784" s="12"/>
      <c r="B784" s="108"/>
      <c r="C784" s="109"/>
      <c r="D784" s="110"/>
      <c r="E784" s="111"/>
      <c r="F784" s="1"/>
    </row>
    <row r="785" spans="1:6" ht="16.5" thickBot="1" x14ac:dyDescent="0.3">
      <c r="A785" s="112"/>
      <c r="B785" s="113"/>
      <c r="C785" s="113"/>
      <c r="D785" s="113"/>
      <c r="E785" s="113"/>
      <c r="F785" s="114"/>
    </row>
    <row r="786" spans="1:6" ht="16.5" thickBot="1" x14ac:dyDescent="0.3">
      <c r="A786" s="2"/>
      <c r="B786" s="12"/>
      <c r="C786" s="13"/>
      <c r="D786" s="12"/>
      <c r="E786" s="13"/>
      <c r="F786" s="12"/>
    </row>
    <row r="787" spans="1:6" ht="18.75" x14ac:dyDescent="0.25">
      <c r="A787" s="3"/>
      <c r="B787" s="105"/>
      <c r="C787" s="14"/>
      <c r="D787" s="19"/>
      <c r="E787" s="14"/>
      <c r="F787" s="14"/>
    </row>
    <row r="788" spans="1:6" x14ac:dyDescent="0.25">
      <c r="A788" s="15"/>
      <c r="B788" s="106"/>
      <c r="C788" s="65"/>
      <c r="D788" s="65"/>
      <c r="E788" s="65"/>
      <c r="F788" s="65"/>
    </row>
    <row r="789" spans="1:6" x14ac:dyDescent="0.25">
      <c r="A789" s="15"/>
      <c r="B789" s="106"/>
      <c r="C789" s="16"/>
      <c r="D789" s="16"/>
      <c r="E789" s="16"/>
      <c r="F789" s="16"/>
    </row>
    <row r="790" spans="1:6" ht="16.5" thickBot="1" x14ac:dyDescent="0.3">
      <c r="A790" s="15"/>
      <c r="B790" s="107"/>
      <c r="C790" s="66"/>
      <c r="D790" s="66"/>
      <c r="E790" s="66"/>
      <c r="F790" s="66"/>
    </row>
    <row r="791" spans="1:6" ht="16.5" thickBot="1" x14ac:dyDescent="0.3">
      <c r="A791" s="15"/>
      <c r="B791" s="12"/>
      <c r="C791" s="17"/>
      <c r="D791" s="17"/>
      <c r="E791" s="17"/>
      <c r="F791" s="17"/>
    </row>
    <row r="792" spans="1:6" ht="16.5" thickBot="1" x14ac:dyDescent="0.3">
      <c r="A792" s="18"/>
      <c r="B792" s="11"/>
      <c r="C792" s="11"/>
      <c r="D792" s="11"/>
      <c r="E792" s="11"/>
      <c r="F792" s="11"/>
    </row>
    <row r="793" spans="1:6" ht="25.5" customHeight="1" thickBot="1" x14ac:dyDescent="0.3">
      <c r="A793" s="12"/>
      <c r="B793" s="108"/>
      <c r="C793" s="109"/>
      <c r="D793" s="110"/>
      <c r="E793" s="111"/>
      <c r="F793" s="1"/>
    </row>
    <row r="794" spans="1:6" ht="16.5" thickBot="1" x14ac:dyDescent="0.3">
      <c r="A794" s="112"/>
      <c r="B794" s="113"/>
      <c r="C794" s="113"/>
      <c r="D794" s="113"/>
      <c r="E794" s="113"/>
      <c r="F794" s="114"/>
    </row>
    <row r="795" spans="1:6" ht="16.5" thickBot="1" x14ac:dyDescent="0.3">
      <c r="A795" s="2"/>
      <c r="B795" s="12"/>
      <c r="C795" s="13"/>
      <c r="D795" s="12"/>
      <c r="E795" s="13"/>
      <c r="F795" s="12"/>
    </row>
    <row r="796" spans="1:6" ht="18.75" x14ac:dyDescent="0.25">
      <c r="A796" s="3"/>
      <c r="B796" s="105"/>
      <c r="C796" s="14"/>
      <c r="D796" s="14"/>
      <c r="E796" s="14"/>
      <c r="F796" s="19"/>
    </row>
    <row r="797" spans="1:6" x14ac:dyDescent="0.25">
      <c r="A797" s="15"/>
      <c r="B797" s="106"/>
      <c r="C797" s="65"/>
      <c r="D797" s="65"/>
      <c r="E797" s="65"/>
      <c r="F797" s="65"/>
    </row>
    <row r="798" spans="1:6" x14ac:dyDescent="0.25">
      <c r="A798" s="15"/>
      <c r="B798" s="106"/>
      <c r="C798" s="16"/>
      <c r="D798" s="16"/>
      <c r="E798" s="16"/>
      <c r="F798" s="16"/>
    </row>
    <row r="799" spans="1:6" ht="16.5" thickBot="1" x14ac:dyDescent="0.3">
      <c r="A799" s="15"/>
      <c r="B799" s="107"/>
      <c r="C799" s="66"/>
      <c r="D799" s="66"/>
      <c r="E799" s="66"/>
      <c r="F799" s="66"/>
    </row>
    <row r="800" spans="1:6" ht="16.5" thickBot="1" x14ac:dyDescent="0.3">
      <c r="A800" s="15"/>
      <c r="B800" s="12"/>
      <c r="C800" s="17"/>
      <c r="D800" s="17"/>
      <c r="E800" s="17"/>
      <c r="F800" s="17"/>
    </row>
    <row r="801" spans="1:6" ht="16.5" thickBot="1" x14ac:dyDescent="0.3">
      <c r="A801" s="18"/>
      <c r="B801" s="11"/>
      <c r="C801" s="11"/>
      <c r="D801" s="11"/>
      <c r="E801" s="11"/>
      <c r="F801" s="11"/>
    </row>
    <row r="802" spans="1:6" ht="25.5" customHeight="1" thickBot="1" x14ac:dyDescent="0.3">
      <c r="A802" s="12"/>
      <c r="B802" s="108"/>
      <c r="C802" s="109"/>
      <c r="D802" s="110"/>
      <c r="E802" s="111"/>
      <c r="F802" s="1"/>
    </row>
    <row r="803" spans="1:6" ht="16.5" thickBot="1" x14ac:dyDescent="0.3">
      <c r="A803" s="112"/>
      <c r="B803" s="113"/>
      <c r="C803" s="113"/>
      <c r="D803" s="113"/>
      <c r="E803" s="113"/>
      <c r="F803" s="114"/>
    </row>
    <row r="804" spans="1:6" ht="16.5" thickBot="1" x14ac:dyDescent="0.3">
      <c r="A804" s="2"/>
      <c r="B804" s="12"/>
      <c r="C804" s="13"/>
      <c r="D804" s="12"/>
      <c r="E804" s="13"/>
      <c r="F804" s="12"/>
    </row>
    <row r="805" spans="1:6" ht="18.75" x14ac:dyDescent="0.25">
      <c r="A805" s="3"/>
      <c r="B805" s="105"/>
      <c r="C805" s="14"/>
      <c r="D805" s="19"/>
      <c r="E805" s="14"/>
      <c r="F805" s="19"/>
    </row>
    <row r="806" spans="1:6" x14ac:dyDescent="0.25">
      <c r="A806" s="15"/>
      <c r="B806" s="106"/>
      <c r="C806" s="65"/>
      <c r="D806" s="65"/>
      <c r="E806" s="65"/>
      <c r="F806" s="65"/>
    </row>
    <row r="807" spans="1:6" x14ac:dyDescent="0.25">
      <c r="A807" s="15"/>
      <c r="B807" s="106"/>
      <c r="C807" s="16"/>
      <c r="D807" s="16"/>
      <c r="E807" s="16"/>
      <c r="F807" s="16"/>
    </row>
    <row r="808" spans="1:6" ht="16.5" thickBot="1" x14ac:dyDescent="0.3">
      <c r="A808" s="15"/>
      <c r="B808" s="107"/>
      <c r="C808" s="66"/>
      <c r="D808" s="66"/>
      <c r="E808" s="66"/>
      <c r="F808" s="66"/>
    </row>
    <row r="809" spans="1:6" ht="16.5" thickBot="1" x14ac:dyDescent="0.3">
      <c r="A809" s="15"/>
      <c r="B809" s="12"/>
      <c r="C809" s="17"/>
      <c r="D809" s="17"/>
      <c r="E809" s="17"/>
      <c r="F809" s="17"/>
    </row>
    <row r="810" spans="1:6" ht="16.5" thickBot="1" x14ac:dyDescent="0.3">
      <c r="A810" s="18"/>
      <c r="B810" s="11"/>
      <c r="C810" s="11"/>
      <c r="D810" s="11"/>
      <c r="E810" s="11"/>
      <c r="F810" s="11"/>
    </row>
    <row r="811" spans="1:6" ht="25.5" customHeight="1" thickBot="1" x14ac:dyDescent="0.3">
      <c r="A811" s="12"/>
      <c r="B811" s="108"/>
      <c r="C811" s="109"/>
      <c r="D811" s="110"/>
      <c r="E811" s="111"/>
      <c r="F811" s="1"/>
    </row>
    <row r="812" spans="1:6" ht="16.5" thickBot="1" x14ac:dyDescent="0.3">
      <c r="A812" s="112"/>
      <c r="B812" s="113"/>
      <c r="C812" s="113"/>
      <c r="D812" s="113"/>
      <c r="E812" s="113"/>
      <c r="F812" s="114"/>
    </row>
    <row r="813" spans="1:6" ht="16.5" thickBot="1" x14ac:dyDescent="0.3">
      <c r="A813" s="2"/>
      <c r="B813" s="12"/>
      <c r="C813" s="13"/>
      <c r="D813" s="12"/>
      <c r="E813" s="13"/>
      <c r="F813" s="12"/>
    </row>
    <row r="814" spans="1:6" ht="18.75" x14ac:dyDescent="0.25">
      <c r="A814" s="3"/>
      <c r="B814" s="105"/>
      <c r="C814" s="14"/>
      <c r="D814" s="14"/>
      <c r="E814" s="14"/>
      <c r="F814" s="19"/>
    </row>
    <row r="815" spans="1:6" x14ac:dyDescent="0.25">
      <c r="A815" s="15"/>
      <c r="B815" s="106"/>
      <c r="C815" s="65"/>
      <c r="D815" s="65"/>
      <c r="E815" s="65"/>
      <c r="F815" s="65"/>
    </row>
    <row r="816" spans="1:6" x14ac:dyDescent="0.25">
      <c r="A816" s="15"/>
      <c r="B816" s="106"/>
      <c r="C816" s="16"/>
      <c r="D816" s="16"/>
      <c r="E816" s="16"/>
      <c r="F816" s="16"/>
    </row>
    <row r="817" spans="1:6" ht="16.5" thickBot="1" x14ac:dyDescent="0.3">
      <c r="A817" s="15"/>
      <c r="B817" s="107"/>
      <c r="C817" s="66"/>
      <c r="D817" s="66"/>
      <c r="E817" s="66"/>
      <c r="F817" s="66"/>
    </row>
    <row r="818" spans="1:6" ht="16.5" thickBot="1" x14ac:dyDescent="0.3">
      <c r="A818" s="15"/>
      <c r="B818" s="12"/>
      <c r="C818" s="17"/>
      <c r="D818" s="17"/>
      <c r="E818" s="17"/>
      <c r="F818" s="20"/>
    </row>
    <row r="819" spans="1:6" ht="16.5" thickBot="1" x14ac:dyDescent="0.3">
      <c r="A819" s="18"/>
      <c r="B819" s="11"/>
      <c r="C819" s="11"/>
      <c r="D819" s="11"/>
      <c r="E819" s="11"/>
      <c r="F819" s="11"/>
    </row>
    <row r="820" spans="1:6" ht="25.5" customHeight="1" thickBot="1" x14ac:dyDescent="0.3">
      <c r="A820" s="12"/>
      <c r="B820" s="108"/>
      <c r="C820" s="109"/>
      <c r="D820" s="110"/>
      <c r="E820" s="111"/>
      <c r="F820" s="1"/>
    </row>
    <row r="821" spans="1:6" ht="16.5" thickBot="1" x14ac:dyDescent="0.3">
      <c r="A821" s="112"/>
      <c r="B821" s="113"/>
      <c r="C821" s="113"/>
      <c r="D821" s="113"/>
      <c r="E821" s="113"/>
      <c r="F821" s="114"/>
    </row>
    <row r="822" spans="1:6" ht="16.5" thickBot="1" x14ac:dyDescent="0.3">
      <c r="A822" s="2"/>
      <c r="B822" s="12"/>
      <c r="C822" s="13"/>
      <c r="D822" s="12"/>
      <c r="E822" s="13"/>
      <c r="F822" s="12"/>
    </row>
    <row r="823" spans="1:6" ht="18.75" x14ac:dyDescent="0.25">
      <c r="A823" s="3"/>
      <c r="B823" s="105"/>
      <c r="C823" s="14"/>
      <c r="D823" s="14"/>
      <c r="E823" s="14"/>
      <c r="F823" s="14"/>
    </row>
    <row r="824" spans="1:6" x14ac:dyDescent="0.25">
      <c r="A824" s="15"/>
      <c r="B824" s="106"/>
      <c r="C824" s="65"/>
      <c r="D824" s="65"/>
      <c r="E824" s="65"/>
      <c r="F824" s="65"/>
    </row>
    <row r="825" spans="1:6" x14ac:dyDescent="0.25">
      <c r="A825" s="15"/>
      <c r="B825" s="106"/>
      <c r="C825" s="16"/>
      <c r="D825" s="16"/>
      <c r="E825" s="16"/>
      <c r="F825" s="16"/>
    </row>
    <row r="826" spans="1:6" ht="16.5" thickBot="1" x14ac:dyDescent="0.3">
      <c r="A826" s="15"/>
      <c r="B826" s="107"/>
      <c r="C826" s="66"/>
      <c r="D826" s="66"/>
      <c r="E826" s="66"/>
      <c r="F826" s="66"/>
    </row>
    <row r="827" spans="1:6" ht="16.5" thickBot="1" x14ac:dyDescent="0.3">
      <c r="A827" s="15"/>
      <c r="B827" s="12"/>
      <c r="C827" s="17"/>
      <c r="D827" s="17"/>
      <c r="E827" s="17"/>
      <c r="F827" s="17"/>
    </row>
    <row r="828" spans="1:6" ht="16.5" thickBot="1" x14ac:dyDescent="0.3">
      <c r="A828" s="18"/>
      <c r="B828" s="11"/>
      <c r="C828" s="11"/>
      <c r="D828" s="11"/>
      <c r="E828" s="11"/>
      <c r="F828" s="11"/>
    </row>
    <row r="829" spans="1:6" ht="25.5" customHeight="1" thickBot="1" x14ac:dyDescent="0.3">
      <c r="A829" s="12"/>
      <c r="B829" s="108"/>
      <c r="C829" s="109"/>
      <c r="D829" s="110"/>
      <c r="E829" s="111"/>
      <c r="F829" s="1"/>
    </row>
    <row r="830" spans="1:6" ht="16.5" thickBot="1" x14ac:dyDescent="0.3">
      <c r="A830" s="112"/>
      <c r="B830" s="113"/>
      <c r="C830" s="113"/>
      <c r="D830" s="113"/>
      <c r="E830" s="113"/>
      <c r="F830" s="114"/>
    </row>
    <row r="831" spans="1:6" ht="16.5" thickBot="1" x14ac:dyDescent="0.3">
      <c r="A831" s="2"/>
      <c r="B831" s="12"/>
      <c r="C831" s="12"/>
      <c r="D831" s="12"/>
      <c r="E831" s="13"/>
      <c r="F831" s="12"/>
    </row>
    <row r="832" spans="1:6" ht="18.75" x14ac:dyDescent="0.25">
      <c r="A832" s="3"/>
      <c r="B832" s="105"/>
      <c r="C832" s="14"/>
      <c r="D832" s="14"/>
      <c r="E832" s="14"/>
      <c r="F832" s="19"/>
    </row>
    <row r="833" spans="1:6" x14ac:dyDescent="0.25">
      <c r="A833" s="15"/>
      <c r="B833" s="106"/>
      <c r="C833" s="65"/>
      <c r="D833" s="65"/>
      <c r="E833" s="65"/>
      <c r="F833" s="65"/>
    </row>
    <row r="834" spans="1:6" x14ac:dyDescent="0.25">
      <c r="A834" s="15"/>
      <c r="B834" s="106"/>
      <c r="C834" s="16"/>
      <c r="D834" s="16"/>
      <c r="E834" s="16"/>
      <c r="F834" s="16"/>
    </row>
    <row r="835" spans="1:6" ht="16.5" thickBot="1" x14ac:dyDescent="0.3">
      <c r="A835" s="15"/>
      <c r="B835" s="107"/>
      <c r="C835" s="66"/>
      <c r="D835" s="66"/>
      <c r="E835" s="66"/>
      <c r="F835" s="66"/>
    </row>
    <row r="836" spans="1:6" ht="16.5" thickBot="1" x14ac:dyDescent="0.3">
      <c r="A836" s="15"/>
      <c r="B836" s="12"/>
      <c r="C836" s="17"/>
      <c r="D836" s="17"/>
      <c r="E836" s="17"/>
      <c r="F836" s="17"/>
    </row>
    <row r="837" spans="1:6" ht="16.5" thickBot="1" x14ac:dyDescent="0.3">
      <c r="A837" s="18"/>
      <c r="B837" s="11"/>
      <c r="C837" s="11"/>
      <c r="D837" s="11"/>
      <c r="E837" s="11"/>
      <c r="F837" s="11"/>
    </row>
    <row r="838" spans="1:6" ht="25.5" customHeight="1" thickBot="1" x14ac:dyDescent="0.3">
      <c r="A838" s="12"/>
      <c r="B838" s="108"/>
      <c r="C838" s="109"/>
      <c r="D838" s="110"/>
      <c r="E838" s="111"/>
      <c r="F838" s="1"/>
    </row>
    <row r="839" spans="1:6" ht="16.5" thickBot="1" x14ac:dyDescent="0.3">
      <c r="A839" s="112"/>
      <c r="B839" s="113"/>
      <c r="C839" s="113"/>
      <c r="D839" s="113"/>
      <c r="E839" s="113"/>
      <c r="F839" s="114"/>
    </row>
    <row r="840" spans="1:6" ht="16.5" thickBot="1" x14ac:dyDescent="0.3">
      <c r="A840" s="2"/>
      <c r="B840" s="12"/>
      <c r="C840" s="13"/>
      <c r="D840" s="12"/>
      <c r="E840" s="13"/>
      <c r="F840" s="12"/>
    </row>
    <row r="841" spans="1:6" ht="18.75" x14ac:dyDescent="0.25">
      <c r="A841" s="3"/>
      <c r="B841" s="105"/>
      <c r="C841" s="14"/>
      <c r="D841" s="14"/>
      <c r="E841" s="14"/>
      <c r="F841" s="19"/>
    </row>
    <row r="842" spans="1:6" x14ac:dyDescent="0.25">
      <c r="A842" s="15"/>
      <c r="B842" s="106"/>
      <c r="C842" s="65"/>
      <c r="D842" s="65"/>
      <c r="E842" s="65"/>
      <c r="F842" s="65"/>
    </row>
    <row r="843" spans="1:6" x14ac:dyDescent="0.25">
      <c r="A843" s="15"/>
      <c r="B843" s="106"/>
      <c r="C843" s="16"/>
      <c r="D843" s="16"/>
      <c r="E843" s="16"/>
      <c r="F843" s="16"/>
    </row>
    <row r="844" spans="1:6" ht="16.5" thickBot="1" x14ac:dyDescent="0.3">
      <c r="A844" s="15"/>
      <c r="B844" s="107"/>
      <c r="C844" s="66"/>
      <c r="D844" s="66"/>
      <c r="E844" s="66"/>
      <c r="F844" s="66"/>
    </row>
    <row r="845" spans="1:6" ht="16.5" thickBot="1" x14ac:dyDescent="0.3">
      <c r="A845" s="15"/>
      <c r="B845" s="12"/>
      <c r="C845" s="17"/>
      <c r="D845" s="17"/>
      <c r="E845" s="17"/>
      <c r="F845" s="20"/>
    </row>
    <row r="846" spans="1:6" ht="16.5" thickBot="1" x14ac:dyDescent="0.3">
      <c r="A846" s="18"/>
      <c r="B846" s="11"/>
      <c r="C846" s="11"/>
      <c r="D846" s="11"/>
      <c r="E846" s="11"/>
      <c r="F846" s="11"/>
    </row>
    <row r="847" spans="1:6" ht="25.5" customHeight="1" thickBot="1" x14ac:dyDescent="0.3">
      <c r="A847" s="12"/>
      <c r="B847" s="108"/>
      <c r="C847" s="109"/>
      <c r="D847" s="110"/>
      <c r="E847" s="111"/>
      <c r="F847" s="1"/>
    </row>
    <row r="848" spans="1:6" ht="16.5" thickBot="1" x14ac:dyDescent="0.3">
      <c r="A848" s="112"/>
      <c r="B848" s="113"/>
      <c r="C848" s="113"/>
      <c r="D848" s="113"/>
      <c r="E848" s="113"/>
      <c r="F848" s="114"/>
    </row>
    <row r="849" spans="1:6" ht="16.5" thickBot="1" x14ac:dyDescent="0.3">
      <c r="A849" s="2"/>
      <c r="B849" s="12"/>
      <c r="C849" s="13"/>
      <c r="D849" s="12"/>
      <c r="E849" s="13"/>
      <c r="F849" s="12"/>
    </row>
    <row r="850" spans="1:6" ht="18.75" x14ac:dyDescent="0.25">
      <c r="A850" s="3"/>
      <c r="B850" s="105"/>
      <c r="C850" s="14"/>
      <c r="D850" s="19"/>
      <c r="E850" s="14"/>
      <c r="F850" s="19"/>
    </row>
    <row r="851" spans="1:6" x14ac:dyDescent="0.25">
      <c r="A851" s="15"/>
      <c r="B851" s="106"/>
      <c r="C851" s="65"/>
      <c r="D851" s="65"/>
      <c r="E851" s="65"/>
      <c r="F851" s="65"/>
    </row>
    <row r="852" spans="1:6" x14ac:dyDescent="0.25">
      <c r="A852" s="15"/>
      <c r="B852" s="106"/>
      <c r="C852" s="16"/>
      <c r="D852" s="16"/>
      <c r="E852" s="16"/>
      <c r="F852" s="16"/>
    </row>
    <row r="853" spans="1:6" ht="16.5" thickBot="1" x14ac:dyDescent="0.3">
      <c r="A853" s="15"/>
      <c r="B853" s="107"/>
      <c r="C853" s="66"/>
      <c r="D853" s="66"/>
      <c r="E853" s="66"/>
      <c r="F853" s="66"/>
    </row>
    <row r="854" spans="1:6" ht="16.5" thickBot="1" x14ac:dyDescent="0.3">
      <c r="A854" s="15"/>
      <c r="B854" s="12"/>
      <c r="C854" s="17"/>
      <c r="D854" s="17"/>
      <c r="E854" s="17"/>
      <c r="F854" s="20"/>
    </row>
    <row r="855" spans="1:6" ht="16.5" thickBot="1" x14ac:dyDescent="0.3">
      <c r="A855" s="18"/>
      <c r="B855" s="11"/>
      <c r="C855" s="11"/>
      <c r="D855" s="11"/>
      <c r="E855" s="11"/>
      <c r="F855" s="11"/>
    </row>
    <row r="856" spans="1:6" ht="25.5" customHeight="1" thickBot="1" x14ac:dyDescent="0.3">
      <c r="A856" s="12"/>
      <c r="B856" s="108"/>
      <c r="C856" s="109"/>
      <c r="D856" s="110"/>
      <c r="E856" s="111"/>
      <c r="F856" s="1"/>
    </row>
    <row r="857" spans="1:6" ht="16.5" thickBot="1" x14ac:dyDescent="0.3">
      <c r="A857" s="112"/>
      <c r="B857" s="113"/>
      <c r="C857" s="113"/>
      <c r="D857" s="113"/>
      <c r="E857" s="113"/>
      <c r="F857" s="114"/>
    </row>
    <row r="858" spans="1:6" ht="16.5" thickBot="1" x14ac:dyDescent="0.3">
      <c r="A858" s="2"/>
      <c r="B858" s="12"/>
      <c r="C858" s="13"/>
      <c r="D858" s="12"/>
      <c r="E858" s="13"/>
      <c r="F858" s="12"/>
    </row>
    <row r="859" spans="1:6" ht="18.75" x14ac:dyDescent="0.25">
      <c r="A859" s="3"/>
      <c r="B859" s="105"/>
      <c r="C859" s="14"/>
      <c r="D859" s="19"/>
      <c r="E859" s="14"/>
      <c r="F859" s="19"/>
    </row>
    <row r="860" spans="1:6" x14ac:dyDescent="0.25">
      <c r="A860" s="15"/>
      <c r="B860" s="106"/>
      <c r="C860" s="65"/>
      <c r="D860" s="65"/>
      <c r="E860" s="65"/>
      <c r="F860" s="65"/>
    </row>
    <row r="861" spans="1:6" x14ac:dyDescent="0.25">
      <c r="A861" s="15"/>
      <c r="B861" s="106"/>
      <c r="C861" s="16"/>
      <c r="D861" s="16"/>
      <c r="E861" s="16"/>
      <c r="F861" s="16"/>
    </row>
    <row r="862" spans="1:6" ht="16.5" thickBot="1" x14ac:dyDescent="0.3">
      <c r="A862" s="15"/>
      <c r="B862" s="107"/>
      <c r="C862" s="66"/>
      <c r="D862" s="66"/>
      <c r="E862" s="66"/>
      <c r="F862" s="66"/>
    </row>
    <row r="863" spans="1:6" ht="16.5" thickBot="1" x14ac:dyDescent="0.3">
      <c r="A863" s="15"/>
      <c r="B863" s="12"/>
      <c r="C863" s="17"/>
      <c r="D863" s="17"/>
      <c r="E863" s="17"/>
      <c r="F863" s="20"/>
    </row>
    <row r="864" spans="1:6" ht="16.5" thickBot="1" x14ac:dyDescent="0.3">
      <c r="A864" s="18"/>
      <c r="B864" s="11"/>
      <c r="C864" s="11"/>
      <c r="D864" s="11"/>
      <c r="E864" s="11"/>
      <c r="F864" s="11"/>
    </row>
    <row r="865" spans="1:6" ht="25.5" customHeight="1" thickBot="1" x14ac:dyDescent="0.3">
      <c r="A865" s="12"/>
      <c r="B865" s="108"/>
      <c r="C865" s="109"/>
      <c r="D865" s="110"/>
      <c r="E865" s="111"/>
      <c r="F865" s="1"/>
    </row>
    <row r="866" spans="1:6" ht="16.5" thickBot="1" x14ac:dyDescent="0.3">
      <c r="A866" s="112"/>
      <c r="B866" s="113"/>
      <c r="C866" s="113"/>
      <c r="D866" s="113"/>
      <c r="E866" s="113"/>
      <c r="F866" s="114"/>
    </row>
    <row r="867" spans="1:6" ht="16.5" thickBot="1" x14ac:dyDescent="0.3">
      <c r="A867" s="2"/>
      <c r="B867" s="12"/>
      <c r="C867" s="13"/>
      <c r="D867" s="12"/>
      <c r="E867" s="13"/>
      <c r="F867" s="12"/>
    </row>
    <row r="868" spans="1:6" ht="18.75" x14ac:dyDescent="0.25">
      <c r="A868" s="3"/>
      <c r="B868" s="105"/>
      <c r="C868" s="14"/>
      <c r="D868" s="19"/>
      <c r="E868" s="14"/>
      <c r="F868" s="19"/>
    </row>
    <row r="869" spans="1:6" x14ac:dyDescent="0.25">
      <c r="A869" s="15"/>
      <c r="B869" s="106"/>
      <c r="C869" s="65"/>
      <c r="D869" s="65"/>
      <c r="E869" s="65"/>
      <c r="F869" s="65"/>
    </row>
    <row r="870" spans="1:6" x14ac:dyDescent="0.25">
      <c r="A870" s="15"/>
      <c r="B870" s="106"/>
      <c r="C870" s="16"/>
      <c r="D870" s="16"/>
      <c r="E870" s="16"/>
      <c r="F870" s="16"/>
    </row>
    <row r="871" spans="1:6" ht="16.5" thickBot="1" x14ac:dyDescent="0.3">
      <c r="A871" s="15"/>
      <c r="B871" s="107"/>
      <c r="C871" s="66"/>
      <c r="D871" s="66"/>
      <c r="E871" s="66"/>
      <c r="F871" s="66"/>
    </row>
    <row r="872" spans="1:6" ht="16.5" thickBot="1" x14ac:dyDescent="0.3">
      <c r="A872" s="15"/>
      <c r="B872" s="12"/>
      <c r="C872" s="17"/>
      <c r="D872" s="17"/>
      <c r="E872" s="17"/>
      <c r="F872" s="17"/>
    </row>
    <row r="873" spans="1:6" ht="16.5" thickBot="1" x14ac:dyDescent="0.3">
      <c r="A873" s="18"/>
      <c r="B873" s="11"/>
      <c r="C873" s="11"/>
      <c r="D873" s="11"/>
      <c r="E873" s="11"/>
      <c r="F873" s="11"/>
    </row>
    <row r="874" spans="1:6" ht="25.5" customHeight="1" thickBot="1" x14ac:dyDescent="0.3">
      <c r="A874" s="12"/>
      <c r="B874" s="108"/>
      <c r="C874" s="109"/>
      <c r="D874" s="110"/>
      <c r="E874" s="111"/>
      <c r="F874" s="1"/>
    </row>
    <row r="875" spans="1:6" ht="16.5" thickBot="1" x14ac:dyDescent="0.3">
      <c r="A875" s="112"/>
      <c r="B875" s="113"/>
      <c r="C875" s="113"/>
      <c r="D875" s="113"/>
      <c r="E875" s="113"/>
      <c r="F875" s="114"/>
    </row>
    <row r="876" spans="1:6" ht="16.5" thickBot="1" x14ac:dyDescent="0.3">
      <c r="A876" s="2"/>
      <c r="B876" s="12"/>
      <c r="C876" s="13"/>
      <c r="D876" s="12"/>
      <c r="E876" s="13"/>
      <c r="F876" s="12"/>
    </row>
    <row r="877" spans="1:6" ht="18.75" x14ac:dyDescent="0.25">
      <c r="A877" s="3"/>
      <c r="B877" s="105"/>
      <c r="C877" s="14"/>
      <c r="D877" s="19"/>
      <c r="E877" s="14"/>
      <c r="F877" s="19"/>
    </row>
    <row r="878" spans="1:6" x14ac:dyDescent="0.25">
      <c r="A878" s="15"/>
      <c r="B878" s="106"/>
      <c r="C878" s="65"/>
      <c r="D878" s="65"/>
      <c r="E878" s="65"/>
      <c r="F878" s="65"/>
    </row>
    <row r="879" spans="1:6" x14ac:dyDescent="0.25">
      <c r="A879" s="15"/>
      <c r="B879" s="106"/>
      <c r="C879" s="16"/>
      <c r="D879" s="16"/>
      <c r="E879" s="16"/>
      <c r="F879" s="16"/>
    </row>
    <row r="880" spans="1:6" ht="16.5" thickBot="1" x14ac:dyDescent="0.3">
      <c r="A880" s="15"/>
      <c r="B880" s="107"/>
      <c r="C880" s="66"/>
      <c r="D880" s="66"/>
      <c r="E880" s="66"/>
      <c r="F880" s="66"/>
    </row>
    <row r="881" spans="1:6" ht="16.5" thickBot="1" x14ac:dyDescent="0.3">
      <c r="A881" s="15"/>
      <c r="B881" s="12"/>
      <c r="C881" s="17"/>
      <c r="D881" s="17"/>
      <c r="E881" s="17"/>
      <c r="F881" s="17"/>
    </row>
    <row r="882" spans="1:6" ht="16.5" thickBot="1" x14ac:dyDescent="0.3">
      <c r="A882" s="18"/>
      <c r="B882" s="11"/>
      <c r="C882" s="11"/>
      <c r="D882" s="11"/>
      <c r="E882" s="11"/>
      <c r="F882" s="11"/>
    </row>
    <row r="883" spans="1:6" ht="25.5" customHeight="1" thickBot="1" x14ac:dyDescent="0.3">
      <c r="A883" s="12"/>
      <c r="B883" s="108"/>
      <c r="C883" s="109"/>
      <c r="D883" s="110"/>
      <c r="E883" s="111"/>
      <c r="F883" s="1"/>
    </row>
    <row r="884" spans="1:6" ht="16.5" thickBot="1" x14ac:dyDescent="0.3">
      <c r="A884" s="112"/>
      <c r="B884" s="113"/>
      <c r="C884" s="113"/>
      <c r="D884" s="113"/>
      <c r="E884" s="113"/>
      <c r="F884" s="114"/>
    </row>
    <row r="885" spans="1:6" ht="16.5" thickBot="1" x14ac:dyDescent="0.3">
      <c r="A885" s="2"/>
      <c r="B885" s="12"/>
      <c r="C885" s="12"/>
      <c r="D885" s="12"/>
      <c r="E885" s="13"/>
      <c r="F885" s="12"/>
    </row>
    <row r="886" spans="1:6" ht="18.75" x14ac:dyDescent="0.25">
      <c r="A886" s="3"/>
      <c r="B886" s="105"/>
      <c r="C886" s="14"/>
      <c r="D886" s="14"/>
      <c r="E886" s="14"/>
      <c r="F886" s="19"/>
    </row>
    <row r="887" spans="1:6" x14ac:dyDescent="0.25">
      <c r="A887" s="15"/>
      <c r="B887" s="106"/>
      <c r="C887" s="65"/>
      <c r="D887" s="65"/>
      <c r="E887" s="65"/>
      <c r="F887" s="65"/>
    </row>
    <row r="888" spans="1:6" x14ac:dyDescent="0.25">
      <c r="A888" s="15"/>
      <c r="B888" s="106"/>
      <c r="C888" s="16"/>
      <c r="D888" s="16"/>
      <c r="E888" s="16"/>
      <c r="F888" s="16"/>
    </row>
    <row r="889" spans="1:6" ht="16.5" thickBot="1" x14ac:dyDescent="0.3">
      <c r="A889" s="15"/>
      <c r="B889" s="107"/>
      <c r="C889" s="66"/>
      <c r="D889" s="66"/>
      <c r="E889" s="66"/>
      <c r="F889" s="66"/>
    </row>
    <row r="890" spans="1:6" ht="16.5" thickBot="1" x14ac:dyDescent="0.3">
      <c r="A890" s="15"/>
      <c r="B890" s="12"/>
      <c r="C890" s="17"/>
      <c r="D890" s="17"/>
      <c r="E890" s="17"/>
      <c r="F890" s="17"/>
    </row>
    <row r="891" spans="1:6" ht="16.5" thickBot="1" x14ac:dyDescent="0.3">
      <c r="A891" s="18"/>
      <c r="B891" s="11"/>
      <c r="C891" s="11"/>
      <c r="D891" s="11"/>
      <c r="E891" s="11"/>
      <c r="F891" s="11"/>
    </row>
    <row r="892" spans="1:6" ht="25.5" customHeight="1" thickBot="1" x14ac:dyDescent="0.3">
      <c r="A892" s="12"/>
      <c r="B892" s="108"/>
      <c r="C892" s="109"/>
      <c r="D892" s="110"/>
      <c r="E892" s="111"/>
      <c r="F892" s="1"/>
    </row>
    <row r="893" spans="1:6" ht="16.5" thickBot="1" x14ac:dyDescent="0.3">
      <c r="A893" s="112"/>
      <c r="B893" s="113"/>
      <c r="C893" s="113"/>
      <c r="D893" s="113"/>
      <c r="E893" s="113"/>
      <c r="F893" s="114"/>
    </row>
    <row r="894" spans="1:6" ht="16.5" thickBot="1" x14ac:dyDescent="0.3">
      <c r="A894" s="2"/>
      <c r="B894" s="12"/>
      <c r="C894" s="13"/>
      <c r="D894" s="12"/>
      <c r="E894" s="13"/>
      <c r="F894" s="12"/>
    </row>
    <row r="895" spans="1:6" ht="18.75" x14ac:dyDescent="0.25">
      <c r="A895" s="3"/>
      <c r="B895" s="105"/>
      <c r="C895" s="14"/>
      <c r="D895" s="19"/>
      <c r="E895" s="14"/>
      <c r="F895" s="19"/>
    </row>
    <row r="896" spans="1:6" x14ac:dyDescent="0.25">
      <c r="A896" s="15"/>
      <c r="B896" s="106"/>
      <c r="C896" s="65"/>
      <c r="D896" s="65"/>
      <c r="E896" s="65"/>
      <c r="F896" s="65"/>
    </row>
    <row r="897" spans="1:6" x14ac:dyDescent="0.25">
      <c r="A897" s="15"/>
      <c r="B897" s="106"/>
      <c r="C897" s="16"/>
      <c r="D897" s="16"/>
      <c r="E897" s="16"/>
      <c r="F897" s="16"/>
    </row>
    <row r="898" spans="1:6" ht="16.5" thickBot="1" x14ac:dyDescent="0.3">
      <c r="A898" s="15"/>
      <c r="B898" s="107"/>
      <c r="C898" s="66"/>
      <c r="D898" s="66"/>
      <c r="E898" s="66"/>
      <c r="F898" s="66"/>
    </row>
    <row r="899" spans="1:6" ht="16.5" thickBot="1" x14ac:dyDescent="0.3">
      <c r="A899" s="15"/>
      <c r="B899" s="12"/>
      <c r="C899" s="17"/>
      <c r="D899" s="17"/>
      <c r="E899" s="17"/>
      <c r="F899" s="17"/>
    </row>
    <row r="900" spans="1:6" ht="16.5" thickBot="1" x14ac:dyDescent="0.3">
      <c r="A900" s="18"/>
      <c r="B900" s="11"/>
      <c r="C900" s="11"/>
      <c r="D900" s="11"/>
      <c r="E900" s="11"/>
      <c r="F900" s="11"/>
    </row>
    <row r="901" spans="1:6" ht="25.5" customHeight="1" thickBot="1" x14ac:dyDescent="0.3">
      <c r="A901" s="12"/>
      <c r="B901" s="108"/>
      <c r="C901" s="109"/>
      <c r="D901" s="110"/>
      <c r="E901" s="111"/>
      <c r="F901" s="1"/>
    </row>
    <row r="902" spans="1:6" ht="16.5" thickBot="1" x14ac:dyDescent="0.3">
      <c r="A902" s="112"/>
      <c r="B902" s="113"/>
      <c r="C902" s="113"/>
      <c r="D902" s="113"/>
      <c r="E902" s="113"/>
      <c r="F902" s="114"/>
    </row>
    <row r="903" spans="1:6" ht="16.5" thickBot="1" x14ac:dyDescent="0.3">
      <c r="A903" s="2"/>
      <c r="B903" s="12"/>
      <c r="C903" s="13"/>
      <c r="D903" s="12"/>
      <c r="E903" s="13"/>
      <c r="F903" s="12"/>
    </row>
    <row r="904" spans="1:6" ht="18.75" x14ac:dyDescent="0.25">
      <c r="A904" s="3"/>
      <c r="B904" s="105"/>
      <c r="C904" s="14"/>
      <c r="D904" s="19"/>
      <c r="E904" s="14"/>
      <c r="F904" s="19"/>
    </row>
    <row r="905" spans="1:6" x14ac:dyDescent="0.25">
      <c r="A905" s="15"/>
      <c r="B905" s="106"/>
      <c r="C905" s="65"/>
      <c r="D905" s="65"/>
      <c r="E905" s="65"/>
      <c r="F905" s="65"/>
    </row>
    <row r="906" spans="1:6" x14ac:dyDescent="0.25">
      <c r="A906" s="15"/>
      <c r="B906" s="106"/>
      <c r="C906" s="16"/>
      <c r="D906" s="16"/>
      <c r="E906" s="16"/>
      <c r="F906" s="16"/>
    </row>
    <row r="907" spans="1:6" ht="16.5" thickBot="1" x14ac:dyDescent="0.3">
      <c r="A907" s="15"/>
      <c r="B907" s="107"/>
      <c r="C907" s="66"/>
      <c r="D907" s="66"/>
      <c r="E907" s="66"/>
      <c r="F907" s="66"/>
    </row>
    <row r="908" spans="1:6" ht="16.5" thickBot="1" x14ac:dyDescent="0.3">
      <c r="A908" s="15"/>
      <c r="B908" s="12"/>
      <c r="C908" s="17"/>
      <c r="D908" s="20"/>
      <c r="E908" s="17"/>
      <c r="F908" s="20"/>
    </row>
    <row r="909" spans="1:6" ht="16.5" thickBot="1" x14ac:dyDescent="0.3">
      <c r="A909" s="18"/>
      <c r="B909" s="11"/>
      <c r="C909" s="11"/>
      <c r="D909" s="11"/>
      <c r="E909" s="11"/>
      <c r="F909" s="11"/>
    </row>
    <row r="910" spans="1:6" ht="25.5" customHeight="1" thickBot="1" x14ac:dyDescent="0.3">
      <c r="A910" s="12"/>
      <c r="B910" s="108"/>
      <c r="C910" s="109"/>
      <c r="D910" s="110"/>
      <c r="E910" s="111"/>
      <c r="F910" s="1"/>
    </row>
    <row r="911" spans="1:6" ht="16.5" thickBot="1" x14ac:dyDescent="0.3">
      <c r="A911" s="112"/>
      <c r="B911" s="113"/>
      <c r="C911" s="113"/>
      <c r="D911" s="113"/>
      <c r="E911" s="113"/>
      <c r="F911" s="114"/>
    </row>
    <row r="912" spans="1:6" ht="16.5" thickBot="1" x14ac:dyDescent="0.3">
      <c r="A912" s="2"/>
      <c r="B912" s="12"/>
      <c r="C912" s="13"/>
      <c r="D912" s="12"/>
      <c r="E912" s="13"/>
      <c r="F912" s="12"/>
    </row>
    <row r="913" spans="1:6" ht="18.75" x14ac:dyDescent="0.25">
      <c r="A913" s="3"/>
      <c r="B913" s="105"/>
      <c r="C913" s="14"/>
      <c r="D913" s="19"/>
      <c r="E913" s="14"/>
      <c r="F913" s="19"/>
    </row>
    <row r="914" spans="1:6" x14ac:dyDescent="0.25">
      <c r="A914" s="15"/>
      <c r="B914" s="106"/>
      <c r="C914" s="65"/>
      <c r="D914" s="65"/>
      <c r="E914" s="65"/>
      <c r="F914" s="65"/>
    </row>
    <row r="915" spans="1:6" x14ac:dyDescent="0.25">
      <c r="A915" s="15"/>
      <c r="B915" s="106"/>
      <c r="C915" s="16"/>
      <c r="D915" s="16"/>
      <c r="E915" s="16"/>
      <c r="F915" s="16"/>
    </row>
    <row r="916" spans="1:6" ht="16.5" thickBot="1" x14ac:dyDescent="0.3">
      <c r="A916" s="15"/>
      <c r="B916" s="107"/>
      <c r="C916" s="66"/>
      <c r="D916" s="66"/>
      <c r="E916" s="66"/>
      <c r="F916" s="66"/>
    </row>
    <row r="917" spans="1:6" ht="16.5" thickBot="1" x14ac:dyDescent="0.3">
      <c r="A917" s="15"/>
      <c r="B917" s="12"/>
      <c r="C917" s="17"/>
      <c r="D917" s="17"/>
      <c r="E917" s="17"/>
      <c r="F917" s="17"/>
    </row>
    <row r="918" spans="1:6" ht="16.5" thickBot="1" x14ac:dyDescent="0.3">
      <c r="A918" s="18"/>
      <c r="B918" s="11"/>
      <c r="C918" s="11"/>
      <c r="D918" s="11"/>
      <c r="E918" s="11"/>
      <c r="F918" s="11"/>
    </row>
    <row r="919" spans="1:6" ht="25.5" customHeight="1" thickBot="1" x14ac:dyDescent="0.3">
      <c r="A919" s="12"/>
      <c r="B919" s="108"/>
      <c r="C919" s="109"/>
      <c r="D919" s="110"/>
      <c r="E919" s="111"/>
      <c r="F919" s="1"/>
    </row>
    <row r="920" spans="1:6" ht="16.5" thickBot="1" x14ac:dyDescent="0.3">
      <c r="A920" s="112"/>
      <c r="B920" s="113"/>
      <c r="C920" s="113"/>
      <c r="D920" s="113"/>
      <c r="E920" s="113"/>
      <c r="F920" s="114"/>
    </row>
    <row r="921" spans="1:6" ht="16.5" thickBot="1" x14ac:dyDescent="0.3">
      <c r="A921" s="2"/>
      <c r="B921" s="12"/>
      <c r="C921" s="13"/>
      <c r="D921" s="12"/>
      <c r="E921" s="13"/>
      <c r="F921" s="12"/>
    </row>
    <row r="922" spans="1:6" ht="18.75" x14ac:dyDescent="0.25">
      <c r="A922" s="3"/>
      <c r="B922" s="105"/>
      <c r="C922" s="14"/>
      <c r="D922" s="19"/>
      <c r="E922" s="14"/>
      <c r="F922" s="19"/>
    </row>
    <row r="923" spans="1:6" x14ac:dyDescent="0.25">
      <c r="A923" s="15"/>
      <c r="B923" s="106"/>
      <c r="C923" s="65"/>
      <c r="D923" s="65"/>
      <c r="E923" s="65"/>
      <c r="F923" s="65"/>
    </row>
    <row r="924" spans="1:6" x14ac:dyDescent="0.25">
      <c r="A924" s="15"/>
      <c r="B924" s="106"/>
      <c r="C924" s="16"/>
      <c r="D924" s="16"/>
      <c r="E924" s="16"/>
      <c r="F924" s="16"/>
    </row>
    <row r="925" spans="1:6" ht="16.5" thickBot="1" x14ac:dyDescent="0.3">
      <c r="A925" s="15"/>
      <c r="B925" s="107"/>
      <c r="C925" s="66"/>
      <c r="D925" s="66"/>
      <c r="E925" s="66"/>
      <c r="F925" s="66"/>
    </row>
    <row r="926" spans="1:6" ht="16.5" thickBot="1" x14ac:dyDescent="0.3">
      <c r="A926" s="15"/>
      <c r="B926" s="12"/>
      <c r="C926" s="17"/>
      <c r="D926" s="17"/>
      <c r="E926" s="17"/>
      <c r="F926" s="17"/>
    </row>
    <row r="927" spans="1:6" ht="16.5" thickBot="1" x14ac:dyDescent="0.3">
      <c r="A927" s="18"/>
      <c r="B927" s="11"/>
      <c r="C927" s="11"/>
      <c r="D927" s="11"/>
      <c r="E927" s="11"/>
      <c r="F927" s="11"/>
    </row>
    <row r="928" spans="1:6" ht="25.5" customHeight="1" thickBot="1" x14ac:dyDescent="0.3">
      <c r="A928" s="12"/>
      <c r="B928" s="108"/>
      <c r="C928" s="109"/>
      <c r="D928" s="110"/>
      <c r="E928" s="111"/>
      <c r="F928" s="1"/>
    </row>
    <row r="929" spans="1:6" ht="16.5" thickBot="1" x14ac:dyDescent="0.3">
      <c r="A929" s="112"/>
      <c r="B929" s="113"/>
      <c r="C929" s="113"/>
      <c r="D929" s="113"/>
      <c r="E929" s="113"/>
      <c r="F929" s="114"/>
    </row>
    <row r="930" spans="1:6" ht="16.5" thickBot="1" x14ac:dyDescent="0.3">
      <c r="A930" s="2"/>
      <c r="B930" s="12"/>
      <c r="C930" s="13"/>
      <c r="D930" s="12"/>
      <c r="E930" s="13"/>
      <c r="F930" s="12"/>
    </row>
    <row r="931" spans="1:6" ht="18.75" x14ac:dyDescent="0.25">
      <c r="A931" s="3"/>
      <c r="B931" s="105"/>
      <c r="C931" s="14"/>
      <c r="D931" s="19"/>
      <c r="E931" s="14"/>
      <c r="F931" s="19"/>
    </row>
    <row r="932" spans="1:6" x14ac:dyDescent="0.25">
      <c r="A932" s="15"/>
      <c r="B932" s="106"/>
      <c r="C932" s="65"/>
      <c r="D932" s="65"/>
      <c r="E932" s="65"/>
      <c r="F932" s="65"/>
    </row>
    <row r="933" spans="1:6" x14ac:dyDescent="0.25">
      <c r="A933" s="15"/>
      <c r="B933" s="106"/>
      <c r="C933" s="16"/>
      <c r="D933" s="16"/>
      <c r="E933" s="16"/>
      <c r="F933" s="16"/>
    </row>
    <row r="934" spans="1:6" ht="16.5" thickBot="1" x14ac:dyDescent="0.3">
      <c r="A934" s="15"/>
      <c r="B934" s="107"/>
      <c r="C934" s="66"/>
      <c r="D934" s="66"/>
      <c r="E934" s="66"/>
      <c r="F934" s="66"/>
    </row>
    <row r="935" spans="1:6" ht="16.5" thickBot="1" x14ac:dyDescent="0.3">
      <c r="A935" s="15"/>
      <c r="B935" s="12"/>
      <c r="C935" s="17"/>
      <c r="D935" s="17"/>
      <c r="E935" s="17"/>
      <c r="F935" s="17"/>
    </row>
    <row r="936" spans="1:6" ht="16.5" thickBot="1" x14ac:dyDescent="0.3">
      <c r="A936" s="18"/>
      <c r="B936" s="11"/>
      <c r="C936" s="11"/>
      <c r="D936" s="11"/>
      <c r="E936" s="11"/>
      <c r="F936" s="11"/>
    </row>
    <row r="937" spans="1:6" ht="25.5" customHeight="1" thickBot="1" x14ac:dyDescent="0.3">
      <c r="A937" s="12"/>
      <c r="B937" s="108"/>
      <c r="C937" s="109"/>
      <c r="D937" s="110"/>
      <c r="E937" s="111"/>
      <c r="F937" s="1"/>
    </row>
    <row r="938" spans="1:6" ht="16.5" thickBot="1" x14ac:dyDescent="0.3">
      <c r="A938" s="112"/>
      <c r="B938" s="113"/>
      <c r="C938" s="113"/>
      <c r="D938" s="113"/>
      <c r="E938" s="113"/>
      <c r="F938" s="114"/>
    </row>
    <row r="939" spans="1:6" ht="16.5" thickBot="1" x14ac:dyDescent="0.3">
      <c r="A939" s="2"/>
      <c r="B939" s="12"/>
      <c r="C939" s="13"/>
      <c r="D939" s="12"/>
      <c r="E939" s="13"/>
      <c r="F939" s="12"/>
    </row>
    <row r="940" spans="1:6" ht="18.75" x14ac:dyDescent="0.25">
      <c r="A940" s="3"/>
      <c r="B940" s="105"/>
      <c r="C940" s="14"/>
      <c r="D940" s="19"/>
      <c r="E940" s="14"/>
      <c r="F940" s="19"/>
    </row>
    <row r="941" spans="1:6" x14ac:dyDescent="0.25">
      <c r="A941" s="15"/>
      <c r="B941" s="106"/>
      <c r="C941" s="65"/>
      <c r="D941" s="65"/>
      <c r="E941" s="65"/>
      <c r="F941" s="65"/>
    </row>
    <row r="942" spans="1:6" x14ac:dyDescent="0.25">
      <c r="A942" s="15"/>
      <c r="B942" s="106"/>
      <c r="C942" s="16"/>
      <c r="D942" s="16"/>
      <c r="E942" s="16"/>
      <c r="F942" s="16"/>
    </row>
    <row r="943" spans="1:6" ht="16.5" thickBot="1" x14ac:dyDescent="0.3">
      <c r="A943" s="15"/>
      <c r="B943" s="107"/>
      <c r="C943" s="66"/>
      <c r="D943" s="66"/>
      <c r="E943" s="66"/>
      <c r="F943" s="66"/>
    </row>
    <row r="944" spans="1:6" ht="16.5" thickBot="1" x14ac:dyDescent="0.3">
      <c r="A944" s="15"/>
      <c r="B944" s="12"/>
      <c r="C944" s="17"/>
      <c r="D944" s="17"/>
      <c r="E944" s="17"/>
      <c r="F944" s="17"/>
    </row>
    <row r="945" spans="1:6" ht="16.5" thickBot="1" x14ac:dyDescent="0.3">
      <c r="A945" s="18"/>
      <c r="B945" s="11"/>
      <c r="C945" s="11"/>
      <c r="D945" s="11"/>
      <c r="E945" s="11"/>
      <c r="F945" s="11"/>
    </row>
    <row r="946" spans="1:6" ht="25.5" customHeight="1" thickBot="1" x14ac:dyDescent="0.3">
      <c r="A946" s="12"/>
      <c r="B946" s="108"/>
      <c r="C946" s="109"/>
      <c r="D946" s="110"/>
      <c r="E946" s="111"/>
      <c r="F946" s="1"/>
    </row>
    <row r="947" spans="1:6" ht="16.5" thickBot="1" x14ac:dyDescent="0.3">
      <c r="A947" s="112"/>
      <c r="B947" s="113"/>
      <c r="C947" s="113"/>
      <c r="D947" s="113"/>
      <c r="E947" s="113"/>
      <c r="F947" s="114"/>
    </row>
    <row r="948" spans="1:6" ht="16.5" thickBot="1" x14ac:dyDescent="0.3">
      <c r="A948" s="2"/>
      <c r="B948" s="12"/>
      <c r="C948" s="13"/>
      <c r="D948" s="12"/>
      <c r="E948" s="13"/>
      <c r="F948" s="12"/>
    </row>
    <row r="949" spans="1:6" ht="18.75" x14ac:dyDescent="0.25">
      <c r="A949" s="3"/>
      <c r="B949" s="105"/>
      <c r="C949" s="14"/>
      <c r="D949" s="19"/>
      <c r="E949" s="14"/>
      <c r="F949" s="19"/>
    </row>
    <row r="950" spans="1:6" x14ac:dyDescent="0.25">
      <c r="A950" s="15"/>
      <c r="B950" s="106"/>
      <c r="C950" s="65"/>
      <c r="D950" s="65"/>
      <c r="E950" s="65"/>
      <c r="F950" s="65"/>
    </row>
    <row r="951" spans="1:6" x14ac:dyDescent="0.25">
      <c r="A951" s="15"/>
      <c r="B951" s="106"/>
      <c r="C951" s="16"/>
      <c r="D951" s="16"/>
      <c r="E951" s="16"/>
      <c r="F951" s="16"/>
    </row>
    <row r="952" spans="1:6" ht="16.5" thickBot="1" x14ac:dyDescent="0.3">
      <c r="A952" s="15"/>
      <c r="B952" s="107"/>
      <c r="C952" s="66"/>
      <c r="D952" s="66"/>
      <c r="E952" s="66"/>
      <c r="F952" s="66"/>
    </row>
    <row r="953" spans="1:6" ht="16.5" thickBot="1" x14ac:dyDescent="0.3">
      <c r="A953" s="15"/>
      <c r="B953" s="12"/>
      <c r="C953" s="17"/>
      <c r="D953" s="17"/>
      <c r="E953" s="17"/>
      <c r="F953" s="17"/>
    </row>
    <row r="954" spans="1:6" ht="16.5" thickBot="1" x14ac:dyDescent="0.3">
      <c r="A954" s="18"/>
      <c r="B954" s="11"/>
      <c r="C954" s="11"/>
      <c r="D954" s="11"/>
      <c r="E954" s="11"/>
      <c r="F954" s="11"/>
    </row>
    <row r="955" spans="1:6" ht="25.5" customHeight="1" thickBot="1" x14ac:dyDescent="0.3">
      <c r="A955" s="12"/>
      <c r="B955" s="108"/>
      <c r="C955" s="109"/>
      <c r="D955" s="110"/>
      <c r="E955" s="111"/>
      <c r="F955" s="1"/>
    </row>
    <row r="956" spans="1:6" ht="16.5" thickBot="1" x14ac:dyDescent="0.3">
      <c r="A956" s="112"/>
      <c r="B956" s="113"/>
      <c r="C956" s="113"/>
      <c r="D956" s="113"/>
      <c r="E956" s="113"/>
      <c r="F956" s="114"/>
    </row>
    <row r="957" spans="1:6" ht="16.5" thickBot="1" x14ac:dyDescent="0.3">
      <c r="A957" s="2"/>
      <c r="B957" s="12"/>
      <c r="C957" s="13"/>
      <c r="D957" s="12"/>
      <c r="E957" s="13"/>
      <c r="F957" s="12"/>
    </row>
    <row r="958" spans="1:6" ht="18.75" x14ac:dyDescent="0.25">
      <c r="A958" s="3"/>
      <c r="B958" s="105"/>
      <c r="C958" s="14"/>
      <c r="D958" s="19"/>
      <c r="E958" s="14"/>
      <c r="F958" s="19"/>
    </row>
    <row r="959" spans="1:6" x14ac:dyDescent="0.25">
      <c r="A959" s="15"/>
      <c r="B959" s="106"/>
      <c r="C959" s="65"/>
      <c r="D959" s="65"/>
      <c r="E959" s="65"/>
      <c r="F959" s="65"/>
    </row>
    <row r="960" spans="1:6" x14ac:dyDescent="0.25">
      <c r="A960" s="15"/>
      <c r="B960" s="106"/>
      <c r="C960" s="16"/>
      <c r="D960" s="16"/>
      <c r="E960" s="16"/>
      <c r="F960" s="16"/>
    </row>
    <row r="961" spans="1:6" ht="16.5" thickBot="1" x14ac:dyDescent="0.3">
      <c r="A961" s="15"/>
      <c r="B961" s="107"/>
      <c r="C961" s="66"/>
      <c r="D961" s="66"/>
      <c r="E961" s="66"/>
      <c r="F961" s="66"/>
    </row>
    <row r="962" spans="1:6" ht="16.5" thickBot="1" x14ac:dyDescent="0.3">
      <c r="A962" s="15"/>
      <c r="B962" s="12"/>
      <c r="C962" s="17"/>
      <c r="D962" s="17"/>
      <c r="E962" s="17"/>
      <c r="F962" s="17"/>
    </row>
    <row r="963" spans="1:6" ht="16.5" thickBot="1" x14ac:dyDescent="0.3">
      <c r="A963" s="18"/>
      <c r="B963" s="11"/>
      <c r="C963" s="11"/>
      <c r="D963" s="11"/>
      <c r="E963" s="11"/>
      <c r="F963" s="11"/>
    </row>
    <row r="964" spans="1:6" ht="25.5" customHeight="1" thickBot="1" x14ac:dyDescent="0.3">
      <c r="A964" s="12"/>
      <c r="B964" s="108"/>
      <c r="C964" s="109"/>
      <c r="D964" s="110"/>
      <c r="E964" s="111"/>
      <c r="F964" s="1"/>
    </row>
    <row r="965" spans="1:6" ht="16.5" thickBot="1" x14ac:dyDescent="0.3">
      <c r="A965" s="112"/>
      <c r="B965" s="113"/>
      <c r="C965" s="113"/>
      <c r="D965" s="113"/>
      <c r="E965" s="113"/>
      <c r="F965" s="114"/>
    </row>
    <row r="966" spans="1:6" ht="16.5" thickBot="1" x14ac:dyDescent="0.3">
      <c r="A966" s="2"/>
      <c r="B966" s="12"/>
      <c r="C966" s="13"/>
      <c r="D966" s="12"/>
      <c r="E966" s="13"/>
      <c r="F966" s="12"/>
    </row>
    <row r="967" spans="1:6" ht="18.75" x14ac:dyDescent="0.25">
      <c r="A967" s="3"/>
      <c r="B967" s="105"/>
      <c r="C967" s="14"/>
      <c r="D967" s="19"/>
      <c r="E967" s="14"/>
      <c r="F967" s="19"/>
    </row>
    <row r="968" spans="1:6" x14ac:dyDescent="0.25">
      <c r="A968" s="15"/>
      <c r="B968" s="106"/>
      <c r="C968" s="65"/>
      <c r="D968" s="65"/>
      <c r="E968" s="65"/>
      <c r="F968" s="65"/>
    </row>
    <row r="969" spans="1:6" x14ac:dyDescent="0.25">
      <c r="A969" s="15"/>
      <c r="B969" s="106"/>
      <c r="C969" s="16"/>
      <c r="D969" s="16"/>
      <c r="E969" s="16"/>
      <c r="F969" s="16"/>
    </row>
    <row r="970" spans="1:6" ht="16.5" thickBot="1" x14ac:dyDescent="0.3">
      <c r="A970" s="15"/>
      <c r="B970" s="107"/>
      <c r="C970" s="66"/>
      <c r="D970" s="66"/>
      <c r="E970" s="66"/>
      <c r="F970" s="66"/>
    </row>
    <row r="971" spans="1:6" ht="16.5" thickBot="1" x14ac:dyDescent="0.3">
      <c r="A971" s="15"/>
      <c r="B971" s="12"/>
      <c r="C971" s="17"/>
      <c r="D971" s="17"/>
      <c r="E971" s="17"/>
      <c r="F971" s="17"/>
    </row>
    <row r="972" spans="1:6" ht="16.5" thickBot="1" x14ac:dyDescent="0.3">
      <c r="A972" s="18"/>
      <c r="B972" s="11"/>
      <c r="C972" s="11"/>
      <c r="D972" s="11"/>
      <c r="E972" s="11"/>
      <c r="F972" s="11"/>
    </row>
    <row r="973" spans="1:6" ht="25.5" customHeight="1" thickBot="1" x14ac:dyDescent="0.3">
      <c r="A973" s="12"/>
      <c r="B973" s="108"/>
      <c r="C973" s="109"/>
      <c r="D973" s="110"/>
      <c r="E973" s="111"/>
      <c r="F973" s="1"/>
    </row>
    <row r="974" spans="1:6" ht="16.5" thickBot="1" x14ac:dyDescent="0.3">
      <c r="A974" s="112"/>
      <c r="B974" s="113"/>
      <c r="C974" s="113"/>
      <c r="D974" s="113"/>
      <c r="E974" s="113"/>
      <c r="F974" s="114"/>
    </row>
    <row r="975" spans="1:6" ht="16.5" thickBot="1" x14ac:dyDescent="0.3">
      <c r="A975" s="2"/>
      <c r="B975" s="12"/>
      <c r="C975" s="13"/>
      <c r="D975" s="12"/>
      <c r="E975" s="13"/>
      <c r="F975" s="12"/>
    </row>
    <row r="976" spans="1:6" ht="18.75" x14ac:dyDescent="0.25">
      <c r="A976" s="3"/>
      <c r="B976" s="105"/>
      <c r="C976" s="14"/>
      <c r="D976" s="19"/>
      <c r="E976" s="14"/>
      <c r="F976" s="19"/>
    </row>
    <row r="977" spans="1:6" x14ac:dyDescent="0.25">
      <c r="A977" s="15"/>
      <c r="B977" s="106"/>
      <c r="C977" s="65"/>
      <c r="D977" s="65"/>
      <c r="E977" s="65"/>
      <c r="F977" s="65"/>
    </row>
    <row r="978" spans="1:6" x14ac:dyDescent="0.25">
      <c r="A978" s="15"/>
      <c r="B978" s="106"/>
      <c r="C978" s="16"/>
      <c r="D978" s="16"/>
      <c r="E978" s="16"/>
      <c r="F978" s="16"/>
    </row>
    <row r="979" spans="1:6" ht="16.5" thickBot="1" x14ac:dyDescent="0.3">
      <c r="A979" s="15"/>
      <c r="B979" s="107"/>
      <c r="C979" s="66"/>
      <c r="D979" s="66"/>
      <c r="E979" s="66"/>
      <c r="F979" s="66"/>
    </row>
    <row r="980" spans="1:6" ht="16.5" thickBot="1" x14ac:dyDescent="0.3">
      <c r="A980" s="15"/>
      <c r="B980" s="12"/>
      <c r="C980" s="17"/>
      <c r="D980" s="17"/>
      <c r="E980" s="17"/>
      <c r="F980" s="17"/>
    </row>
    <row r="981" spans="1:6" ht="16.5" thickBot="1" x14ac:dyDescent="0.3">
      <c r="A981" s="18"/>
      <c r="B981" s="11"/>
      <c r="C981" s="11"/>
      <c r="D981" s="11"/>
      <c r="E981" s="11"/>
      <c r="F981" s="11"/>
    </row>
    <row r="982" spans="1:6" ht="25.5" customHeight="1" thickBot="1" x14ac:dyDescent="0.3">
      <c r="A982" s="12"/>
      <c r="B982" s="108"/>
      <c r="C982" s="109"/>
      <c r="D982" s="110"/>
      <c r="E982" s="111"/>
      <c r="F982" s="1"/>
    </row>
    <row r="983" spans="1:6" ht="16.5" thickBot="1" x14ac:dyDescent="0.3">
      <c r="A983" s="112"/>
      <c r="B983" s="113"/>
      <c r="C983" s="113"/>
      <c r="D983" s="113"/>
      <c r="E983" s="113"/>
      <c r="F983" s="114"/>
    </row>
    <row r="984" spans="1:6" ht="16.5" thickBot="1" x14ac:dyDescent="0.3">
      <c r="A984" s="2"/>
      <c r="B984" s="12"/>
      <c r="C984" s="13"/>
      <c r="D984" s="12"/>
      <c r="E984" s="13"/>
      <c r="F984" s="12"/>
    </row>
    <row r="985" spans="1:6" ht="18.75" x14ac:dyDescent="0.25">
      <c r="A985" s="3"/>
      <c r="B985" s="105"/>
      <c r="C985" s="14"/>
      <c r="D985" s="14"/>
      <c r="E985" s="14"/>
      <c r="F985" s="19"/>
    </row>
    <row r="986" spans="1:6" x14ac:dyDescent="0.25">
      <c r="A986" s="15"/>
      <c r="B986" s="106"/>
      <c r="C986" s="65"/>
      <c r="D986" s="65"/>
      <c r="E986" s="65"/>
      <c r="F986" s="65"/>
    </row>
    <row r="987" spans="1:6" x14ac:dyDescent="0.25">
      <c r="A987" s="15"/>
      <c r="B987" s="106"/>
      <c r="C987" s="16"/>
      <c r="D987" s="16"/>
      <c r="E987" s="16"/>
      <c r="F987" s="16"/>
    </row>
    <row r="988" spans="1:6" ht="16.5" thickBot="1" x14ac:dyDescent="0.3">
      <c r="A988" s="15"/>
      <c r="B988" s="107"/>
      <c r="C988" s="66"/>
      <c r="D988" s="66"/>
      <c r="E988" s="66"/>
      <c r="F988" s="66"/>
    </row>
    <row r="989" spans="1:6" ht="16.5" thickBot="1" x14ac:dyDescent="0.3">
      <c r="A989" s="15"/>
      <c r="B989" s="12"/>
      <c r="C989" s="17"/>
      <c r="D989" s="17"/>
      <c r="E989" s="17"/>
      <c r="F989" s="17"/>
    </row>
    <row r="990" spans="1:6" ht="16.5" thickBot="1" x14ac:dyDescent="0.3">
      <c r="A990" s="18"/>
      <c r="B990" s="11"/>
      <c r="C990" s="11"/>
      <c r="D990" s="11"/>
      <c r="E990" s="11"/>
      <c r="F990" s="11"/>
    </row>
    <row r="991" spans="1:6" ht="25.5" customHeight="1" thickBot="1" x14ac:dyDescent="0.3">
      <c r="A991" s="12"/>
      <c r="B991" s="108"/>
      <c r="C991" s="109"/>
      <c r="D991" s="110"/>
      <c r="E991" s="111"/>
      <c r="F991" s="1"/>
    </row>
    <row r="992" spans="1:6" ht="16.5" thickBot="1" x14ac:dyDescent="0.3">
      <c r="A992" s="112"/>
      <c r="B992" s="113"/>
      <c r="C992" s="113"/>
      <c r="D992" s="113"/>
      <c r="E992" s="113"/>
      <c r="F992" s="114"/>
    </row>
    <row r="993" spans="1:6" ht="16.5" thickBot="1" x14ac:dyDescent="0.3">
      <c r="A993" s="2"/>
      <c r="B993" s="12"/>
      <c r="C993" s="13"/>
      <c r="D993" s="12"/>
      <c r="E993" s="13"/>
      <c r="F993" s="12"/>
    </row>
    <row r="994" spans="1:6" ht="18.75" x14ac:dyDescent="0.25">
      <c r="A994" s="3"/>
      <c r="B994" s="105"/>
      <c r="C994" s="14"/>
      <c r="D994" s="19"/>
      <c r="E994" s="14"/>
      <c r="F994" s="19"/>
    </row>
    <row r="995" spans="1:6" x14ac:dyDescent="0.25">
      <c r="A995" s="15"/>
      <c r="B995" s="106"/>
      <c r="C995" s="65"/>
      <c r="D995" s="65"/>
      <c r="E995" s="65"/>
      <c r="F995" s="65"/>
    </row>
    <row r="996" spans="1:6" x14ac:dyDescent="0.25">
      <c r="A996" s="15"/>
      <c r="B996" s="106"/>
      <c r="C996" s="16"/>
      <c r="D996" s="16"/>
      <c r="E996" s="16"/>
      <c r="F996" s="16"/>
    </row>
    <row r="997" spans="1:6" ht="16.5" thickBot="1" x14ac:dyDescent="0.3">
      <c r="A997" s="15"/>
      <c r="B997" s="107"/>
      <c r="C997" s="66"/>
      <c r="D997" s="66"/>
      <c r="E997" s="66"/>
      <c r="F997" s="66"/>
    </row>
    <row r="998" spans="1:6" ht="16.5" thickBot="1" x14ac:dyDescent="0.3">
      <c r="A998" s="15"/>
      <c r="B998" s="12"/>
      <c r="C998" s="17"/>
      <c r="D998" s="17"/>
      <c r="E998" s="17"/>
      <c r="F998" s="17"/>
    </row>
    <row r="999" spans="1:6" ht="16.5" thickBot="1" x14ac:dyDescent="0.3">
      <c r="A999" s="18"/>
      <c r="B999" s="11"/>
      <c r="C999" s="11"/>
      <c r="D999" s="11"/>
      <c r="E999" s="11"/>
      <c r="F999" s="11"/>
    </row>
    <row r="1000" spans="1:6" ht="25.5" customHeight="1" thickBot="1" x14ac:dyDescent="0.3">
      <c r="A1000" s="12"/>
      <c r="B1000" s="108"/>
      <c r="C1000" s="109"/>
      <c r="D1000" s="110"/>
      <c r="E1000" s="111"/>
      <c r="F1000" s="1"/>
    </row>
    <row r="1001" spans="1:6" ht="16.5" thickBot="1" x14ac:dyDescent="0.3">
      <c r="A1001" s="112"/>
      <c r="B1001" s="113"/>
      <c r="C1001" s="113"/>
      <c r="D1001" s="113"/>
      <c r="E1001" s="113"/>
      <c r="F1001" s="114"/>
    </row>
    <row r="1002" spans="1:6" ht="16.5" thickBot="1" x14ac:dyDescent="0.3">
      <c r="A1002" s="2"/>
      <c r="B1002" s="12"/>
      <c r="C1002" s="13"/>
      <c r="D1002" s="12"/>
      <c r="E1002" s="13"/>
      <c r="F1002" s="12"/>
    </row>
    <row r="1003" spans="1:6" ht="18.75" x14ac:dyDescent="0.25">
      <c r="A1003" s="3"/>
      <c r="B1003" s="105"/>
      <c r="C1003" s="14"/>
      <c r="D1003" s="14"/>
      <c r="E1003" s="14"/>
      <c r="F1003" s="19"/>
    </row>
    <row r="1004" spans="1:6" x14ac:dyDescent="0.25">
      <c r="A1004" s="15"/>
      <c r="B1004" s="106"/>
      <c r="C1004" s="65"/>
      <c r="D1004" s="65"/>
      <c r="E1004" s="65"/>
      <c r="F1004" s="65"/>
    </row>
    <row r="1005" spans="1:6" x14ac:dyDescent="0.25">
      <c r="A1005" s="15"/>
      <c r="B1005" s="106"/>
      <c r="C1005" s="16"/>
      <c r="D1005" s="16"/>
      <c r="E1005" s="16"/>
      <c r="F1005" s="16"/>
    </row>
    <row r="1006" spans="1:6" ht="16.5" thickBot="1" x14ac:dyDescent="0.3">
      <c r="A1006" s="15"/>
      <c r="B1006" s="107"/>
      <c r="C1006" s="66"/>
      <c r="D1006" s="66"/>
      <c r="E1006" s="66"/>
      <c r="F1006" s="66"/>
    </row>
    <row r="1007" spans="1:6" ht="16.5" thickBot="1" x14ac:dyDescent="0.3">
      <c r="A1007" s="15"/>
      <c r="B1007" s="12"/>
      <c r="C1007" s="17"/>
      <c r="D1007" s="17"/>
      <c r="E1007" s="17"/>
      <c r="F1007" s="17"/>
    </row>
    <row r="1008" spans="1:6" ht="16.5" thickBot="1" x14ac:dyDescent="0.3">
      <c r="A1008" s="18"/>
      <c r="B1008" s="11"/>
      <c r="C1008" s="11"/>
      <c r="D1008" s="11"/>
      <c r="E1008" s="11"/>
      <c r="F1008" s="11"/>
    </row>
    <row r="1009" spans="1:6" ht="25.5" customHeight="1" thickBot="1" x14ac:dyDescent="0.3">
      <c r="A1009" s="12"/>
      <c r="B1009" s="108"/>
      <c r="C1009" s="109"/>
      <c r="D1009" s="110"/>
      <c r="E1009" s="111"/>
      <c r="F1009" s="1"/>
    </row>
    <row r="1010" spans="1:6" ht="16.5" thickBot="1" x14ac:dyDescent="0.3">
      <c r="A1010" s="112"/>
      <c r="B1010" s="113"/>
      <c r="C1010" s="113"/>
      <c r="D1010" s="113"/>
      <c r="E1010" s="113"/>
      <c r="F1010" s="114"/>
    </row>
    <row r="1011" spans="1:6" ht="16.5" thickBot="1" x14ac:dyDescent="0.3">
      <c r="A1011" s="2"/>
      <c r="B1011" s="12"/>
      <c r="C1011" s="13"/>
      <c r="D1011" s="12"/>
      <c r="E1011" s="13"/>
      <c r="F1011" s="12"/>
    </row>
    <row r="1012" spans="1:6" ht="18.75" x14ac:dyDescent="0.25">
      <c r="A1012" s="3"/>
      <c r="B1012" s="105"/>
      <c r="C1012" s="14"/>
      <c r="D1012" s="14"/>
      <c r="E1012" s="14"/>
      <c r="F1012" s="14"/>
    </row>
    <row r="1013" spans="1:6" x14ac:dyDescent="0.25">
      <c r="A1013" s="15"/>
      <c r="B1013" s="106"/>
      <c r="C1013" s="65"/>
      <c r="D1013" s="65"/>
      <c r="E1013" s="65"/>
      <c r="F1013" s="65"/>
    </row>
    <row r="1014" spans="1:6" x14ac:dyDescent="0.25">
      <c r="A1014" s="15"/>
      <c r="B1014" s="106"/>
      <c r="C1014" s="16"/>
      <c r="D1014" s="16"/>
      <c r="E1014" s="16"/>
      <c r="F1014" s="16"/>
    </row>
    <row r="1015" spans="1:6" ht="16.5" thickBot="1" x14ac:dyDescent="0.3">
      <c r="A1015" s="15"/>
      <c r="B1015" s="107"/>
      <c r="C1015" s="66"/>
      <c r="D1015" s="66"/>
      <c r="E1015" s="66"/>
      <c r="F1015" s="66"/>
    </row>
    <row r="1016" spans="1:6" ht="16.5" thickBot="1" x14ac:dyDescent="0.3">
      <c r="A1016" s="15"/>
      <c r="B1016" s="12"/>
      <c r="C1016" s="17"/>
      <c r="D1016" s="17"/>
      <c r="E1016" s="17"/>
      <c r="F1016" s="17"/>
    </row>
    <row r="1017" spans="1:6" ht="16.5" thickBot="1" x14ac:dyDescent="0.3">
      <c r="A1017" s="18"/>
      <c r="B1017" s="11"/>
      <c r="C1017" s="11"/>
      <c r="D1017" s="11"/>
      <c r="E1017" s="11"/>
      <c r="F1017" s="11"/>
    </row>
    <row r="1018" spans="1:6" ht="25.5" customHeight="1" thickBot="1" x14ac:dyDescent="0.3">
      <c r="A1018" s="12"/>
      <c r="B1018" s="108"/>
      <c r="C1018" s="109"/>
      <c r="D1018" s="110"/>
      <c r="E1018" s="111"/>
      <c r="F1018" s="1"/>
    </row>
    <row r="1019" spans="1:6" ht="16.5" thickBot="1" x14ac:dyDescent="0.3">
      <c r="A1019" s="112"/>
      <c r="B1019" s="113"/>
      <c r="C1019" s="113"/>
      <c r="D1019" s="113"/>
      <c r="E1019" s="113"/>
      <c r="F1019" s="114"/>
    </row>
    <row r="1020" spans="1:6" ht="16.5" thickBot="1" x14ac:dyDescent="0.3">
      <c r="A1020" s="2"/>
      <c r="B1020" s="12"/>
      <c r="C1020" s="13"/>
      <c r="D1020" s="12"/>
      <c r="E1020" s="13"/>
      <c r="F1020" s="12"/>
    </row>
    <row r="1021" spans="1:6" ht="18.75" x14ac:dyDescent="0.25">
      <c r="A1021" s="3"/>
      <c r="B1021" s="105"/>
      <c r="C1021" s="14"/>
      <c r="D1021" s="14"/>
      <c r="E1021" s="14"/>
      <c r="F1021" s="19"/>
    </row>
    <row r="1022" spans="1:6" x14ac:dyDescent="0.25">
      <c r="A1022" s="15"/>
      <c r="B1022" s="106"/>
      <c r="C1022" s="65"/>
      <c r="D1022" s="65"/>
      <c r="E1022" s="65"/>
      <c r="F1022" s="65"/>
    </row>
    <row r="1023" spans="1:6" x14ac:dyDescent="0.25">
      <c r="A1023" s="15"/>
      <c r="B1023" s="106"/>
      <c r="C1023" s="16"/>
      <c r="D1023" s="16"/>
      <c r="E1023" s="16"/>
      <c r="F1023" s="16"/>
    </row>
    <row r="1024" spans="1:6" ht="16.5" thickBot="1" x14ac:dyDescent="0.3">
      <c r="A1024" s="15"/>
      <c r="B1024" s="107"/>
      <c r="C1024" s="66"/>
      <c r="D1024" s="66"/>
      <c r="E1024" s="66"/>
      <c r="F1024" s="66"/>
    </row>
    <row r="1025" spans="1:6" ht="16.5" thickBot="1" x14ac:dyDescent="0.3">
      <c r="A1025" s="15"/>
      <c r="B1025" s="12"/>
      <c r="C1025" s="17"/>
      <c r="D1025" s="17"/>
      <c r="E1025" s="17"/>
      <c r="F1025" s="17"/>
    </row>
    <row r="1026" spans="1:6" ht="16.5" thickBot="1" x14ac:dyDescent="0.3">
      <c r="A1026" s="18"/>
      <c r="B1026" s="11"/>
      <c r="C1026" s="11"/>
      <c r="D1026" s="11"/>
      <c r="E1026" s="11"/>
      <c r="F1026" s="11"/>
    </row>
    <row r="1027" spans="1:6" ht="25.5" customHeight="1" thickBot="1" x14ac:dyDescent="0.3">
      <c r="A1027" s="12"/>
      <c r="B1027" s="108"/>
      <c r="C1027" s="109"/>
      <c r="D1027" s="110"/>
      <c r="E1027" s="111"/>
      <c r="F1027" s="1"/>
    </row>
    <row r="1028" spans="1:6" ht="16.5" thickBot="1" x14ac:dyDescent="0.3">
      <c r="A1028" s="112"/>
      <c r="B1028" s="113"/>
      <c r="C1028" s="113"/>
      <c r="D1028" s="113"/>
      <c r="E1028" s="113"/>
      <c r="F1028" s="114"/>
    </row>
    <row r="1029" spans="1:6" ht="16.5" thickBot="1" x14ac:dyDescent="0.3">
      <c r="A1029" s="2"/>
      <c r="B1029" s="12"/>
      <c r="C1029" s="13"/>
      <c r="D1029" s="12"/>
      <c r="E1029" s="13"/>
      <c r="F1029" s="12"/>
    </row>
    <row r="1030" spans="1:6" ht="18.75" x14ac:dyDescent="0.25">
      <c r="A1030" s="3"/>
      <c r="B1030" s="105"/>
      <c r="C1030" s="14"/>
      <c r="D1030" s="19"/>
      <c r="E1030" s="14"/>
      <c r="F1030" s="19"/>
    </row>
    <row r="1031" spans="1:6" x14ac:dyDescent="0.25">
      <c r="A1031" s="15"/>
      <c r="B1031" s="106"/>
      <c r="C1031" s="65"/>
      <c r="D1031" s="65"/>
      <c r="E1031" s="65"/>
      <c r="F1031" s="65"/>
    </row>
    <row r="1032" spans="1:6" x14ac:dyDescent="0.25">
      <c r="A1032" s="15"/>
      <c r="B1032" s="106"/>
      <c r="C1032" s="16"/>
      <c r="D1032" s="16"/>
      <c r="E1032" s="16"/>
      <c r="F1032" s="16"/>
    </row>
    <row r="1033" spans="1:6" ht="16.5" thickBot="1" x14ac:dyDescent="0.3">
      <c r="A1033" s="15"/>
      <c r="B1033" s="107"/>
      <c r="C1033" s="66"/>
      <c r="D1033" s="66"/>
      <c r="E1033" s="66"/>
      <c r="F1033" s="66"/>
    </row>
    <row r="1034" spans="1:6" ht="16.5" thickBot="1" x14ac:dyDescent="0.3">
      <c r="A1034" s="15"/>
      <c r="B1034" s="12"/>
      <c r="C1034" s="17"/>
      <c r="D1034" s="17"/>
      <c r="E1034" s="17"/>
      <c r="F1034" s="20"/>
    </row>
    <row r="1035" spans="1:6" ht="16.5" thickBot="1" x14ac:dyDescent="0.3">
      <c r="A1035" s="18"/>
      <c r="B1035" s="11"/>
      <c r="C1035" s="11"/>
      <c r="D1035" s="11"/>
      <c r="E1035" s="11"/>
      <c r="F1035" s="11"/>
    </row>
    <row r="1036" spans="1:6" ht="25.5" customHeight="1" thickBot="1" x14ac:dyDescent="0.3">
      <c r="A1036" s="12"/>
      <c r="B1036" s="108"/>
      <c r="C1036" s="109"/>
      <c r="D1036" s="110"/>
      <c r="E1036" s="111"/>
      <c r="F1036" s="1"/>
    </row>
    <row r="1037" spans="1:6" ht="16.5" thickBot="1" x14ac:dyDescent="0.3">
      <c r="A1037" s="112"/>
      <c r="B1037" s="113"/>
      <c r="C1037" s="113"/>
      <c r="D1037" s="113"/>
      <c r="E1037" s="113"/>
      <c r="F1037" s="114"/>
    </row>
    <row r="1038" spans="1:6" ht="16.5" thickBot="1" x14ac:dyDescent="0.3">
      <c r="A1038" s="2"/>
      <c r="B1038" s="12"/>
      <c r="C1038" s="13"/>
      <c r="D1038" s="12"/>
      <c r="E1038" s="13"/>
      <c r="F1038" s="12"/>
    </row>
    <row r="1039" spans="1:6" ht="18.75" x14ac:dyDescent="0.25">
      <c r="A1039" s="3"/>
      <c r="B1039" s="105"/>
      <c r="C1039" s="14"/>
      <c r="D1039" s="14"/>
      <c r="E1039" s="14"/>
      <c r="F1039" s="19"/>
    </row>
    <row r="1040" spans="1:6" x14ac:dyDescent="0.25">
      <c r="A1040" s="15"/>
      <c r="B1040" s="106"/>
      <c r="C1040" s="65"/>
      <c r="D1040" s="65"/>
      <c r="E1040" s="65"/>
      <c r="F1040" s="65"/>
    </row>
    <row r="1041" spans="1:6" x14ac:dyDescent="0.25">
      <c r="A1041" s="15"/>
      <c r="B1041" s="106"/>
      <c r="C1041" s="16"/>
      <c r="D1041" s="16"/>
      <c r="E1041" s="16"/>
      <c r="F1041" s="16"/>
    </row>
    <row r="1042" spans="1:6" ht="16.5" thickBot="1" x14ac:dyDescent="0.3">
      <c r="A1042" s="15"/>
      <c r="B1042" s="107"/>
      <c r="C1042" s="66"/>
      <c r="D1042" s="66"/>
      <c r="E1042" s="66"/>
      <c r="F1042" s="66"/>
    </row>
    <row r="1043" spans="1:6" ht="16.5" thickBot="1" x14ac:dyDescent="0.3">
      <c r="A1043" s="15"/>
      <c r="B1043" s="12"/>
      <c r="C1043" s="17"/>
      <c r="D1043" s="17"/>
      <c r="E1043" s="17"/>
      <c r="F1043" s="17"/>
    </row>
    <row r="1044" spans="1:6" ht="16.5" thickBot="1" x14ac:dyDescent="0.3">
      <c r="A1044" s="18"/>
      <c r="B1044" s="11"/>
      <c r="C1044" s="11"/>
      <c r="D1044" s="11"/>
      <c r="E1044" s="11"/>
      <c r="F1044" s="11"/>
    </row>
    <row r="1045" spans="1:6" ht="25.5" customHeight="1" thickBot="1" x14ac:dyDescent="0.3">
      <c r="A1045" s="21"/>
      <c r="B1045" s="117"/>
      <c r="C1045" s="118"/>
      <c r="D1045" s="119"/>
      <c r="E1045" s="120"/>
      <c r="F1045" s="1"/>
    </row>
    <row r="1046" spans="1:6" ht="16.5" thickBot="1" x14ac:dyDescent="0.3">
      <c r="A1046" s="112"/>
      <c r="B1046" s="113"/>
      <c r="C1046" s="113"/>
      <c r="D1046" s="113"/>
      <c r="E1046" s="113"/>
      <c r="F1046" s="114"/>
    </row>
    <row r="1047" spans="1:6" ht="16.5" thickBot="1" x14ac:dyDescent="0.3">
      <c r="A1047" s="2"/>
      <c r="B1047" s="12"/>
      <c r="C1047" s="13"/>
      <c r="D1047" s="12"/>
      <c r="E1047" s="13"/>
      <c r="F1047" s="12"/>
    </row>
    <row r="1048" spans="1:6" ht="18.75" x14ac:dyDescent="0.25">
      <c r="A1048" s="3"/>
      <c r="B1048" s="105"/>
      <c r="C1048" s="14"/>
      <c r="D1048" s="14"/>
      <c r="E1048" s="14"/>
      <c r="F1048" s="19"/>
    </row>
    <row r="1049" spans="1:6" x14ac:dyDescent="0.25">
      <c r="A1049" s="15"/>
      <c r="B1049" s="106"/>
      <c r="C1049" s="22"/>
      <c r="D1049" s="22"/>
      <c r="E1049" s="22"/>
      <c r="F1049" s="22"/>
    </row>
    <row r="1050" spans="1:6" x14ac:dyDescent="0.25">
      <c r="A1050" s="15"/>
      <c r="B1050" s="106"/>
      <c r="C1050" s="16"/>
      <c r="D1050" s="16"/>
      <c r="E1050" s="16"/>
      <c r="F1050" s="16"/>
    </row>
    <row r="1051" spans="1:6" ht="16.5" thickBot="1" x14ac:dyDescent="0.3">
      <c r="A1051" s="15"/>
      <c r="B1051" s="107"/>
      <c r="C1051" s="23"/>
      <c r="D1051" s="23"/>
      <c r="E1051" s="23"/>
      <c r="F1051" s="23"/>
    </row>
    <row r="1052" spans="1:6" ht="16.5" thickBot="1" x14ac:dyDescent="0.3">
      <c r="A1052" s="15"/>
      <c r="B1052" s="12"/>
      <c r="C1052" s="17"/>
      <c r="D1052" s="17"/>
      <c r="E1052" s="17"/>
      <c r="F1052" s="17"/>
    </row>
    <row r="1053" spans="1:6" ht="16.5" thickBot="1" x14ac:dyDescent="0.3">
      <c r="A1053" s="18"/>
      <c r="B1053" s="11"/>
      <c r="C1053" s="11"/>
      <c r="D1053" s="11"/>
      <c r="E1053" s="11"/>
      <c r="F1053" s="11"/>
    </row>
    <row r="1054" spans="1:6" ht="25.5" customHeight="1" thickBot="1" x14ac:dyDescent="0.3">
      <c r="A1054" s="12"/>
      <c r="B1054" s="108"/>
      <c r="C1054" s="109"/>
      <c r="D1054" s="110"/>
      <c r="E1054" s="111"/>
      <c r="F1054" s="1"/>
    </row>
    <row r="1055" spans="1:6" ht="16.5" thickBot="1" x14ac:dyDescent="0.3">
      <c r="A1055" s="112"/>
      <c r="B1055" s="113"/>
      <c r="C1055" s="113"/>
      <c r="D1055" s="113"/>
      <c r="E1055" s="113"/>
      <c r="F1055" s="114"/>
    </row>
    <row r="1056" spans="1:6" ht="16.5" thickBot="1" x14ac:dyDescent="0.3">
      <c r="A1056" s="2"/>
      <c r="B1056" s="12"/>
      <c r="C1056" s="13"/>
      <c r="D1056" s="12"/>
      <c r="E1056" s="13"/>
      <c r="F1056" s="12"/>
    </row>
    <row r="1057" spans="1:6" ht="18.75" x14ac:dyDescent="0.25">
      <c r="A1057" s="3"/>
      <c r="B1057" s="105"/>
      <c r="C1057" s="14"/>
      <c r="D1057" s="19"/>
      <c r="E1057" s="14"/>
      <c r="F1057" s="19"/>
    </row>
    <row r="1058" spans="1:6" x14ac:dyDescent="0.25">
      <c r="A1058" s="15"/>
      <c r="B1058" s="106"/>
      <c r="C1058" s="22"/>
      <c r="D1058" s="22"/>
      <c r="E1058" s="22"/>
      <c r="F1058" s="22"/>
    </row>
    <row r="1059" spans="1:6" x14ac:dyDescent="0.25">
      <c r="A1059" s="15"/>
      <c r="B1059" s="106"/>
      <c r="C1059" s="16"/>
      <c r="D1059" s="16"/>
      <c r="E1059" s="16"/>
      <c r="F1059" s="16"/>
    </row>
    <row r="1060" spans="1:6" ht="16.5" thickBot="1" x14ac:dyDescent="0.3">
      <c r="A1060" s="15"/>
      <c r="B1060" s="107"/>
      <c r="C1060" s="23"/>
      <c r="D1060" s="23"/>
      <c r="E1060" s="23"/>
      <c r="F1060" s="23"/>
    </row>
    <row r="1061" spans="1:6" ht="16.5" thickBot="1" x14ac:dyDescent="0.3">
      <c r="A1061" s="15"/>
      <c r="B1061" s="12"/>
      <c r="C1061" s="17"/>
      <c r="D1061" s="17"/>
      <c r="E1061" s="17"/>
      <c r="F1061" s="17"/>
    </row>
    <row r="1062" spans="1:6" ht="16.5" thickBot="1" x14ac:dyDescent="0.3">
      <c r="A1062" s="18"/>
      <c r="B1062" s="11"/>
      <c r="C1062" s="11"/>
      <c r="D1062" s="11"/>
      <c r="E1062" s="11"/>
      <c r="F1062" s="11"/>
    </row>
    <row r="1063" spans="1:6" ht="25.5" customHeight="1" thickBot="1" x14ac:dyDescent="0.3">
      <c r="A1063" s="12"/>
      <c r="B1063" s="108"/>
      <c r="C1063" s="109"/>
      <c r="D1063" s="110"/>
      <c r="E1063" s="111"/>
      <c r="F1063" s="1"/>
    </row>
    <row r="1064" spans="1:6" ht="16.5" thickBot="1" x14ac:dyDescent="0.3">
      <c r="A1064" s="112"/>
      <c r="B1064" s="113"/>
      <c r="C1064" s="113"/>
      <c r="D1064" s="113"/>
      <c r="E1064" s="113"/>
      <c r="F1064" s="114"/>
    </row>
    <row r="1065" spans="1:6" ht="16.5" thickBot="1" x14ac:dyDescent="0.3">
      <c r="A1065" s="2"/>
      <c r="B1065" s="12"/>
      <c r="C1065" s="13"/>
      <c r="D1065" s="12"/>
      <c r="E1065" s="13"/>
      <c r="F1065" s="12"/>
    </row>
    <row r="1066" spans="1:6" ht="18.75" x14ac:dyDescent="0.25">
      <c r="A1066" s="3"/>
      <c r="B1066" s="105"/>
      <c r="C1066" s="14"/>
      <c r="D1066" s="14"/>
      <c r="E1066" s="14"/>
      <c r="F1066" s="19"/>
    </row>
    <row r="1067" spans="1:6" x14ac:dyDescent="0.25">
      <c r="A1067" s="15"/>
      <c r="B1067" s="106"/>
      <c r="C1067" s="22"/>
      <c r="D1067" s="22"/>
      <c r="E1067" s="22"/>
      <c r="F1067" s="22"/>
    </row>
    <row r="1068" spans="1:6" x14ac:dyDescent="0.25">
      <c r="A1068" s="15"/>
      <c r="B1068" s="106"/>
      <c r="C1068" s="16"/>
      <c r="D1068" s="16"/>
      <c r="E1068" s="16"/>
      <c r="F1068" s="16"/>
    </row>
    <row r="1069" spans="1:6" ht="16.5" thickBot="1" x14ac:dyDescent="0.3">
      <c r="A1069" s="15"/>
      <c r="B1069" s="107"/>
      <c r="C1069" s="23"/>
      <c r="D1069" s="23"/>
      <c r="E1069" s="23"/>
      <c r="F1069" s="23"/>
    </row>
    <row r="1070" spans="1:6" ht="16.5" thickBot="1" x14ac:dyDescent="0.3">
      <c r="A1070" s="15"/>
      <c r="B1070" s="12"/>
      <c r="C1070" s="17"/>
      <c r="D1070" s="17"/>
      <c r="E1070" s="17"/>
      <c r="F1070" s="17"/>
    </row>
    <row r="1071" spans="1:6" ht="16.5" thickBot="1" x14ac:dyDescent="0.3">
      <c r="A1071" s="18"/>
      <c r="B1071" s="11"/>
      <c r="C1071" s="11"/>
      <c r="D1071" s="11"/>
      <c r="E1071" s="11"/>
      <c r="F1071" s="11"/>
    </row>
    <row r="1072" spans="1:6" ht="25.5" customHeight="1" thickBot="1" x14ac:dyDescent="0.3">
      <c r="A1072" s="12"/>
      <c r="B1072" s="108"/>
      <c r="C1072" s="109"/>
      <c r="D1072" s="110"/>
      <c r="E1072" s="111"/>
      <c r="F1072" s="1"/>
    </row>
    <row r="1073" spans="1:6" ht="16.5" thickBot="1" x14ac:dyDescent="0.3">
      <c r="A1073" s="112"/>
      <c r="B1073" s="113"/>
      <c r="C1073" s="113"/>
      <c r="D1073" s="113"/>
      <c r="E1073" s="113"/>
      <c r="F1073" s="114"/>
    </row>
    <row r="1074" spans="1:6" ht="16.5" thickBot="1" x14ac:dyDescent="0.3">
      <c r="A1074" s="2"/>
      <c r="B1074" s="12"/>
      <c r="C1074" s="13"/>
      <c r="D1074" s="12"/>
      <c r="E1074" s="13"/>
      <c r="F1074" s="12"/>
    </row>
    <row r="1075" spans="1:6" ht="18.75" x14ac:dyDescent="0.25">
      <c r="A1075" s="3"/>
      <c r="B1075" s="105"/>
      <c r="C1075" s="14"/>
      <c r="D1075" s="14"/>
      <c r="E1075" s="14"/>
      <c r="F1075" s="19"/>
    </row>
    <row r="1076" spans="1:6" x14ac:dyDescent="0.25">
      <c r="A1076" s="15"/>
      <c r="B1076" s="106"/>
      <c r="C1076" s="22"/>
      <c r="D1076" s="22"/>
      <c r="E1076" s="22"/>
      <c r="F1076" s="22"/>
    </row>
    <row r="1077" spans="1:6" x14ac:dyDescent="0.25">
      <c r="A1077" s="15"/>
      <c r="B1077" s="106"/>
      <c r="C1077" s="16"/>
      <c r="D1077" s="16"/>
      <c r="E1077" s="16"/>
      <c r="F1077" s="16"/>
    </row>
    <row r="1078" spans="1:6" ht="16.5" thickBot="1" x14ac:dyDescent="0.3">
      <c r="A1078" s="15"/>
      <c r="B1078" s="107"/>
      <c r="C1078" s="23"/>
      <c r="D1078" s="23"/>
      <c r="E1078" s="23"/>
      <c r="F1078" s="23"/>
    </row>
    <row r="1079" spans="1:6" ht="16.5" thickBot="1" x14ac:dyDescent="0.3">
      <c r="A1079" s="15"/>
      <c r="B1079" s="12"/>
      <c r="C1079" s="17"/>
      <c r="D1079" s="17"/>
      <c r="E1079" s="17"/>
      <c r="F1079" s="17"/>
    </row>
    <row r="1080" spans="1:6" ht="16.5" thickBot="1" x14ac:dyDescent="0.3">
      <c r="A1080" s="18"/>
      <c r="B1080" s="11"/>
      <c r="C1080" s="11"/>
      <c r="D1080" s="11"/>
      <c r="E1080" s="11"/>
      <c r="F1080" s="11"/>
    </row>
    <row r="1081" spans="1:6" ht="25.5" customHeight="1" thickBot="1" x14ac:dyDescent="0.3">
      <c r="A1081" s="12"/>
      <c r="B1081" s="108"/>
      <c r="C1081" s="109"/>
      <c r="D1081" s="110"/>
      <c r="E1081" s="111"/>
      <c r="F1081" s="1"/>
    </row>
    <row r="1082" spans="1:6" ht="16.5" thickBot="1" x14ac:dyDescent="0.3">
      <c r="A1082" s="112"/>
      <c r="B1082" s="113"/>
      <c r="C1082" s="113"/>
      <c r="D1082" s="113"/>
      <c r="E1082" s="113"/>
      <c r="F1082" s="114"/>
    </row>
    <row r="1083" spans="1:6" ht="16.5" thickBot="1" x14ac:dyDescent="0.3">
      <c r="A1083" s="2"/>
      <c r="B1083" s="12"/>
      <c r="C1083" s="13"/>
      <c r="D1083" s="12"/>
      <c r="E1083" s="13"/>
      <c r="F1083" s="12"/>
    </row>
    <row r="1084" spans="1:6" ht="18.75" x14ac:dyDescent="0.25">
      <c r="A1084" s="3"/>
      <c r="B1084" s="105"/>
      <c r="C1084" s="14"/>
      <c r="D1084" s="14"/>
      <c r="E1084" s="14"/>
      <c r="F1084" s="19"/>
    </row>
    <row r="1085" spans="1:6" x14ac:dyDescent="0.25">
      <c r="A1085" s="15"/>
      <c r="B1085" s="106"/>
      <c r="C1085" s="22"/>
      <c r="D1085" s="22"/>
      <c r="E1085" s="22"/>
      <c r="F1085" s="22"/>
    </row>
    <row r="1086" spans="1:6" x14ac:dyDescent="0.25">
      <c r="A1086" s="15"/>
      <c r="B1086" s="106"/>
      <c r="C1086" s="16"/>
      <c r="D1086" s="16"/>
      <c r="E1086" s="16"/>
      <c r="F1086" s="16"/>
    </row>
    <row r="1087" spans="1:6" ht="16.5" thickBot="1" x14ac:dyDescent="0.3">
      <c r="A1087" s="15"/>
      <c r="B1087" s="107"/>
      <c r="C1087" s="23"/>
      <c r="D1087" s="23"/>
      <c r="E1087" s="23"/>
      <c r="F1087" s="23"/>
    </row>
    <row r="1088" spans="1:6" ht="16.5" thickBot="1" x14ac:dyDescent="0.3">
      <c r="A1088" s="15"/>
      <c r="B1088" s="12"/>
      <c r="C1088" s="17"/>
      <c r="D1088" s="17"/>
      <c r="E1088" s="17"/>
      <c r="F1088" s="17"/>
    </row>
    <row r="1089" spans="1:6" ht="16.5" thickBot="1" x14ac:dyDescent="0.3">
      <c r="A1089" s="18"/>
      <c r="B1089" s="11"/>
      <c r="C1089" s="11"/>
      <c r="D1089" s="11"/>
      <c r="E1089" s="11"/>
      <c r="F1089" s="11"/>
    </row>
    <row r="1090" spans="1:6" ht="25.5" customHeight="1" thickBot="1" x14ac:dyDescent="0.3">
      <c r="A1090" s="12"/>
      <c r="B1090" s="108"/>
      <c r="C1090" s="109"/>
      <c r="D1090" s="110"/>
      <c r="E1090" s="111"/>
      <c r="F1090" s="1"/>
    </row>
    <row r="1091" spans="1:6" ht="16.5" thickBot="1" x14ac:dyDescent="0.3">
      <c r="A1091" s="112"/>
      <c r="B1091" s="113"/>
      <c r="C1091" s="113"/>
      <c r="D1091" s="113"/>
      <c r="E1091" s="113"/>
      <c r="F1091" s="114"/>
    </row>
    <row r="1092" spans="1:6" ht="16.5" thickBot="1" x14ac:dyDescent="0.3">
      <c r="A1092" s="2"/>
      <c r="B1092" s="12"/>
      <c r="C1092" s="13"/>
      <c r="D1092" s="12"/>
      <c r="E1092" s="13"/>
      <c r="F1092" s="12"/>
    </row>
    <row r="1093" spans="1:6" ht="18.75" x14ac:dyDescent="0.25">
      <c r="A1093" s="3"/>
      <c r="B1093" s="105"/>
      <c r="C1093" s="14"/>
      <c r="D1093" s="14"/>
      <c r="E1093" s="14"/>
      <c r="F1093" s="19"/>
    </row>
    <row r="1094" spans="1:6" x14ac:dyDescent="0.25">
      <c r="A1094" s="15"/>
      <c r="B1094" s="106"/>
      <c r="C1094" s="22"/>
      <c r="D1094" s="22"/>
      <c r="E1094" s="22"/>
      <c r="F1094" s="22"/>
    </row>
    <row r="1095" spans="1:6" x14ac:dyDescent="0.25">
      <c r="A1095" s="15"/>
      <c r="B1095" s="106"/>
      <c r="C1095" s="16"/>
      <c r="D1095" s="16"/>
      <c r="E1095" s="16"/>
      <c r="F1095" s="16"/>
    </row>
    <row r="1096" spans="1:6" ht="16.5" thickBot="1" x14ac:dyDescent="0.3">
      <c r="A1096" s="15"/>
      <c r="B1096" s="107"/>
      <c r="C1096" s="23"/>
      <c r="D1096" s="23"/>
      <c r="E1096" s="23"/>
      <c r="F1096" s="23"/>
    </row>
    <row r="1097" spans="1:6" ht="16.5" thickBot="1" x14ac:dyDescent="0.3">
      <c r="A1097" s="15"/>
      <c r="B1097" s="12"/>
      <c r="C1097" s="17"/>
      <c r="D1097" s="17"/>
      <c r="E1097" s="17"/>
      <c r="F1097" s="17"/>
    </row>
    <row r="1098" spans="1:6" ht="16.5" thickBot="1" x14ac:dyDescent="0.3">
      <c r="A1098" s="18"/>
      <c r="B1098" s="11"/>
      <c r="C1098" s="11"/>
      <c r="D1098" s="11"/>
      <c r="E1098" s="11"/>
      <c r="F1098" s="11"/>
    </row>
    <row r="1099" spans="1:6" ht="25.5" customHeight="1" thickBot="1" x14ac:dyDescent="0.3">
      <c r="A1099" s="12"/>
      <c r="B1099" s="108"/>
      <c r="C1099" s="109"/>
      <c r="D1099" s="110"/>
      <c r="E1099" s="111"/>
      <c r="F1099" s="1"/>
    </row>
    <row r="1100" spans="1:6" ht="16.5" thickBot="1" x14ac:dyDescent="0.3">
      <c r="A1100" s="112"/>
      <c r="B1100" s="113"/>
      <c r="C1100" s="113"/>
      <c r="D1100" s="113"/>
      <c r="E1100" s="113"/>
      <c r="F1100" s="114"/>
    </row>
    <row r="1101" spans="1:6" ht="16.5" thickBot="1" x14ac:dyDescent="0.3">
      <c r="A1101" s="2"/>
      <c r="B1101" s="12"/>
      <c r="C1101" s="13"/>
      <c r="D1101" s="12"/>
      <c r="E1101" s="13"/>
      <c r="F1101" s="12"/>
    </row>
    <row r="1102" spans="1:6" ht="18.75" x14ac:dyDescent="0.25">
      <c r="A1102" s="3"/>
      <c r="B1102" s="105"/>
      <c r="C1102" s="14"/>
      <c r="D1102" s="19"/>
      <c r="E1102" s="14"/>
      <c r="F1102" s="19"/>
    </row>
    <row r="1103" spans="1:6" x14ac:dyDescent="0.25">
      <c r="A1103" s="15"/>
      <c r="B1103" s="106"/>
      <c r="C1103" s="22"/>
      <c r="D1103" s="22"/>
      <c r="E1103" s="22"/>
      <c r="F1103" s="22"/>
    </row>
    <row r="1104" spans="1:6" x14ac:dyDescent="0.25">
      <c r="A1104" s="15"/>
      <c r="B1104" s="106"/>
      <c r="C1104" s="16"/>
      <c r="D1104" s="16"/>
      <c r="E1104" s="16"/>
      <c r="F1104" s="16"/>
    </row>
    <row r="1105" spans="1:6" ht="16.5" thickBot="1" x14ac:dyDescent="0.3">
      <c r="A1105" s="15"/>
      <c r="B1105" s="107"/>
      <c r="C1105" s="23"/>
      <c r="D1105" s="23"/>
      <c r="E1105" s="23"/>
      <c r="F1105" s="23"/>
    </row>
    <row r="1106" spans="1:6" ht="16.5" thickBot="1" x14ac:dyDescent="0.3">
      <c r="A1106" s="15"/>
      <c r="B1106" s="12"/>
      <c r="C1106" s="17"/>
      <c r="D1106" s="17"/>
      <c r="E1106" s="17"/>
      <c r="F1106" s="17"/>
    </row>
    <row r="1107" spans="1:6" ht="16.5" thickBot="1" x14ac:dyDescent="0.3">
      <c r="A1107" s="18"/>
      <c r="B1107" s="11"/>
      <c r="C1107" s="11"/>
      <c r="D1107" s="11"/>
      <c r="E1107" s="11"/>
      <c r="F1107" s="11"/>
    </row>
    <row r="1108" spans="1:6" ht="25.5" customHeight="1" thickBot="1" x14ac:dyDescent="0.3">
      <c r="A1108" s="12"/>
      <c r="B1108" s="108"/>
      <c r="C1108" s="109"/>
      <c r="D1108" s="110"/>
      <c r="E1108" s="111"/>
      <c r="F1108" s="1"/>
    </row>
    <row r="1109" spans="1:6" ht="16.5" thickBot="1" x14ac:dyDescent="0.3">
      <c r="A1109" s="112"/>
      <c r="B1109" s="113"/>
      <c r="C1109" s="113"/>
      <c r="D1109" s="113"/>
      <c r="E1109" s="113"/>
      <c r="F1109" s="114"/>
    </row>
    <row r="1110" spans="1:6" ht="16.5" thickBot="1" x14ac:dyDescent="0.3">
      <c r="A1110" s="2"/>
      <c r="B1110" s="12"/>
      <c r="C1110" s="13"/>
      <c r="D1110" s="12"/>
      <c r="E1110" s="13"/>
      <c r="F1110" s="12"/>
    </row>
    <row r="1111" spans="1:6" ht="18.75" x14ac:dyDescent="0.25">
      <c r="A1111" s="3"/>
      <c r="B1111" s="105"/>
      <c r="C1111" s="14"/>
      <c r="D1111" s="14"/>
      <c r="E1111" s="14"/>
      <c r="F1111" s="19"/>
    </row>
    <row r="1112" spans="1:6" x14ac:dyDescent="0.25">
      <c r="A1112" s="15"/>
      <c r="B1112" s="106"/>
      <c r="C1112" s="22"/>
      <c r="D1112" s="22"/>
      <c r="E1112" s="22"/>
      <c r="F1112" s="22"/>
    </row>
    <row r="1113" spans="1:6" x14ac:dyDescent="0.25">
      <c r="A1113" s="15"/>
      <c r="B1113" s="106"/>
      <c r="C1113" s="16"/>
      <c r="D1113" s="16"/>
      <c r="E1113" s="16"/>
      <c r="F1113" s="16"/>
    </row>
    <row r="1114" spans="1:6" ht="16.5" thickBot="1" x14ac:dyDescent="0.3">
      <c r="A1114" s="15"/>
      <c r="B1114" s="107"/>
      <c r="C1114" s="23"/>
      <c r="D1114" s="23"/>
      <c r="E1114" s="23"/>
      <c r="F1114" s="23"/>
    </row>
    <row r="1115" spans="1:6" ht="16.5" thickBot="1" x14ac:dyDescent="0.3">
      <c r="A1115" s="15"/>
      <c r="B1115" s="12"/>
      <c r="C1115" s="17"/>
      <c r="D1115" s="17"/>
      <c r="E1115" s="17"/>
      <c r="F1115" s="17"/>
    </row>
    <row r="1116" spans="1:6" ht="16.5" thickBot="1" x14ac:dyDescent="0.3">
      <c r="A1116" s="18"/>
      <c r="B1116" s="11"/>
      <c r="C1116" s="11"/>
      <c r="D1116" s="11"/>
      <c r="E1116" s="11"/>
      <c r="F1116" s="11"/>
    </row>
    <row r="1117" spans="1:6" ht="25.5" customHeight="1" thickBot="1" x14ac:dyDescent="0.3">
      <c r="A1117" s="12"/>
      <c r="B1117" s="108"/>
      <c r="C1117" s="109"/>
      <c r="D1117" s="110"/>
      <c r="E1117" s="111"/>
      <c r="F1117" s="1"/>
    </row>
    <row r="1118" spans="1:6" ht="16.5" thickBot="1" x14ac:dyDescent="0.3">
      <c r="A1118" s="112"/>
      <c r="B1118" s="113"/>
      <c r="C1118" s="113"/>
      <c r="D1118" s="113"/>
      <c r="E1118" s="113"/>
      <c r="F1118" s="114"/>
    </row>
    <row r="1119" spans="1:6" ht="16.5" thickBot="1" x14ac:dyDescent="0.3">
      <c r="A1119" s="2"/>
      <c r="B1119" s="12"/>
      <c r="C1119" s="13"/>
      <c r="D1119" s="12"/>
      <c r="E1119" s="13"/>
      <c r="F1119" s="12"/>
    </row>
    <row r="1120" spans="1:6" ht="18.75" x14ac:dyDescent="0.25">
      <c r="A1120" s="3"/>
      <c r="B1120" s="105"/>
      <c r="C1120" s="14"/>
      <c r="D1120" s="14"/>
      <c r="E1120" s="14"/>
      <c r="F1120" s="19"/>
    </row>
    <row r="1121" spans="1:6" x14ac:dyDescent="0.25">
      <c r="A1121" s="15"/>
      <c r="B1121" s="106"/>
      <c r="C1121" s="22"/>
      <c r="D1121" s="22"/>
      <c r="E1121" s="22"/>
      <c r="F1121" s="22"/>
    </row>
    <row r="1122" spans="1:6" x14ac:dyDescent="0.25">
      <c r="A1122" s="15"/>
      <c r="B1122" s="106"/>
      <c r="C1122" s="16"/>
      <c r="D1122" s="16"/>
      <c r="E1122" s="16"/>
      <c r="F1122" s="16"/>
    </row>
    <row r="1123" spans="1:6" ht="16.5" thickBot="1" x14ac:dyDescent="0.3">
      <c r="A1123" s="15"/>
      <c r="B1123" s="107"/>
      <c r="C1123" s="23"/>
      <c r="D1123" s="23"/>
      <c r="E1123" s="23"/>
      <c r="F1123" s="23"/>
    </row>
    <row r="1124" spans="1:6" ht="16.5" thickBot="1" x14ac:dyDescent="0.3">
      <c r="A1124" s="15"/>
      <c r="B1124" s="12"/>
      <c r="C1124" s="17"/>
      <c r="D1124" s="17"/>
      <c r="E1124" s="17"/>
      <c r="F1124" s="17"/>
    </row>
    <row r="1125" spans="1:6" ht="16.5" thickBot="1" x14ac:dyDescent="0.3">
      <c r="A1125" s="18"/>
      <c r="B1125" s="11"/>
      <c r="C1125" s="11"/>
      <c r="D1125" s="11"/>
      <c r="E1125" s="11"/>
      <c r="F1125" s="11"/>
    </row>
    <row r="1126" spans="1:6" ht="25.5" customHeight="1" thickBot="1" x14ac:dyDescent="0.3">
      <c r="A1126" s="12"/>
      <c r="B1126" s="108"/>
      <c r="C1126" s="109"/>
      <c r="D1126" s="110"/>
      <c r="E1126" s="111"/>
      <c r="F1126" s="1"/>
    </row>
    <row r="1127" spans="1:6" ht="16.5" thickBot="1" x14ac:dyDescent="0.3">
      <c r="A1127" s="112"/>
      <c r="B1127" s="113"/>
      <c r="C1127" s="113"/>
      <c r="D1127" s="113"/>
      <c r="E1127" s="113"/>
      <c r="F1127" s="114"/>
    </row>
    <row r="1128" spans="1:6" ht="16.5" thickBot="1" x14ac:dyDescent="0.3">
      <c r="A1128" s="2"/>
      <c r="B1128" s="12"/>
      <c r="C1128" s="13"/>
      <c r="D1128" s="12"/>
      <c r="E1128" s="13"/>
      <c r="F1128" s="12"/>
    </row>
    <row r="1129" spans="1:6" ht="18.75" x14ac:dyDescent="0.25">
      <c r="A1129" s="3"/>
      <c r="B1129" s="105"/>
      <c r="C1129" s="14"/>
      <c r="D1129" s="14"/>
      <c r="E1129" s="14"/>
      <c r="F1129" s="19"/>
    </row>
    <row r="1130" spans="1:6" x14ac:dyDescent="0.25">
      <c r="A1130" s="15"/>
      <c r="B1130" s="106"/>
      <c r="C1130" s="22"/>
      <c r="D1130" s="22"/>
      <c r="E1130" s="22"/>
      <c r="F1130" s="22"/>
    </row>
    <row r="1131" spans="1:6" x14ac:dyDescent="0.25">
      <c r="A1131" s="15"/>
      <c r="B1131" s="106"/>
      <c r="C1131" s="16"/>
      <c r="D1131" s="16"/>
      <c r="E1131" s="16"/>
      <c r="F1131" s="16"/>
    </row>
    <row r="1132" spans="1:6" ht="16.5" thickBot="1" x14ac:dyDescent="0.3">
      <c r="A1132" s="15"/>
      <c r="B1132" s="107"/>
      <c r="C1132" s="23"/>
      <c r="D1132" s="23"/>
      <c r="E1132" s="23"/>
      <c r="F1132" s="23"/>
    </row>
    <row r="1133" spans="1:6" ht="16.5" thickBot="1" x14ac:dyDescent="0.3">
      <c r="A1133" s="15"/>
      <c r="B1133" s="12"/>
      <c r="C1133" s="17"/>
      <c r="D1133" s="17"/>
      <c r="E1133" s="17"/>
      <c r="F1133" s="20"/>
    </row>
    <row r="1134" spans="1:6" ht="16.5" thickBot="1" x14ac:dyDescent="0.3">
      <c r="A1134" s="18"/>
      <c r="B1134" s="11"/>
      <c r="C1134" s="11"/>
      <c r="D1134" s="11"/>
      <c r="E1134" s="11"/>
      <c r="F1134" s="11"/>
    </row>
    <row r="1135" spans="1:6" ht="25.5" customHeight="1" thickBot="1" x14ac:dyDescent="0.3">
      <c r="A1135" s="12"/>
      <c r="B1135" s="108"/>
      <c r="C1135" s="109"/>
      <c r="D1135" s="110"/>
      <c r="E1135" s="111"/>
      <c r="F1135" s="1"/>
    </row>
    <row r="1136" spans="1:6" ht="16.5" thickBot="1" x14ac:dyDescent="0.3">
      <c r="A1136" s="112"/>
      <c r="B1136" s="113"/>
      <c r="C1136" s="113"/>
      <c r="D1136" s="113"/>
      <c r="E1136" s="113"/>
      <c r="F1136" s="114"/>
    </row>
    <row r="1137" spans="1:6" ht="16.5" thickBot="1" x14ac:dyDescent="0.3">
      <c r="A1137" s="2"/>
      <c r="B1137" s="12"/>
      <c r="C1137" s="13"/>
      <c r="D1137" s="12"/>
      <c r="E1137" s="13"/>
      <c r="F1137" s="12"/>
    </row>
    <row r="1138" spans="1:6" ht="18.75" x14ac:dyDescent="0.25">
      <c r="A1138" s="3"/>
      <c r="B1138" s="105"/>
      <c r="C1138" s="14"/>
      <c r="D1138" s="14"/>
      <c r="E1138" s="14"/>
      <c r="F1138" s="19"/>
    </row>
    <row r="1139" spans="1:6" x14ac:dyDescent="0.25">
      <c r="A1139" s="15"/>
      <c r="B1139" s="106"/>
      <c r="C1139" s="22"/>
      <c r="D1139" s="22"/>
      <c r="E1139" s="22"/>
      <c r="F1139" s="22"/>
    </row>
    <row r="1140" spans="1:6" x14ac:dyDescent="0.25">
      <c r="A1140" s="15"/>
      <c r="B1140" s="106"/>
      <c r="C1140" s="16"/>
      <c r="D1140" s="16"/>
      <c r="E1140" s="16"/>
      <c r="F1140" s="16"/>
    </row>
    <row r="1141" spans="1:6" ht="16.5" thickBot="1" x14ac:dyDescent="0.3">
      <c r="A1141" s="15"/>
      <c r="B1141" s="107"/>
      <c r="C1141" s="23"/>
      <c r="D1141" s="23"/>
      <c r="E1141" s="23"/>
      <c r="F1141" s="23"/>
    </row>
    <row r="1142" spans="1:6" ht="16.5" thickBot="1" x14ac:dyDescent="0.3">
      <c r="A1142" s="15"/>
      <c r="B1142" s="12"/>
      <c r="C1142" s="17"/>
      <c r="D1142" s="17"/>
      <c r="E1142" s="17"/>
      <c r="F1142" s="20"/>
    </row>
    <row r="1143" spans="1:6" ht="16.5" thickBot="1" x14ac:dyDescent="0.3">
      <c r="A1143" s="18"/>
      <c r="B1143" s="11"/>
      <c r="C1143" s="11"/>
      <c r="D1143" s="11"/>
      <c r="E1143" s="11"/>
      <c r="F1143" s="11"/>
    </row>
    <row r="1144" spans="1:6" ht="25.5" customHeight="1" thickBot="1" x14ac:dyDescent="0.3">
      <c r="A1144" s="12"/>
      <c r="B1144" s="108"/>
      <c r="C1144" s="109"/>
      <c r="D1144" s="110"/>
      <c r="E1144" s="111"/>
      <c r="F1144" s="1"/>
    </row>
    <row r="1145" spans="1:6" ht="16.5" thickBot="1" x14ac:dyDescent="0.3">
      <c r="A1145" s="112"/>
      <c r="B1145" s="113"/>
      <c r="C1145" s="113"/>
      <c r="D1145" s="113"/>
      <c r="E1145" s="113"/>
      <c r="F1145" s="114"/>
    </row>
    <row r="1146" spans="1:6" ht="16.5" thickBot="1" x14ac:dyDescent="0.3">
      <c r="A1146" s="2"/>
      <c r="B1146" s="12"/>
      <c r="C1146" s="13"/>
      <c r="D1146" s="12"/>
      <c r="E1146" s="13"/>
      <c r="F1146" s="12"/>
    </row>
    <row r="1147" spans="1:6" ht="18.75" x14ac:dyDescent="0.25">
      <c r="A1147" s="3"/>
      <c r="B1147" s="105"/>
      <c r="C1147" s="14"/>
      <c r="D1147" s="14"/>
      <c r="E1147" s="14"/>
      <c r="F1147" s="19"/>
    </row>
    <row r="1148" spans="1:6" x14ac:dyDescent="0.25">
      <c r="A1148" s="15"/>
      <c r="B1148" s="106"/>
      <c r="C1148" s="22"/>
      <c r="D1148" s="22"/>
      <c r="E1148" s="22"/>
      <c r="F1148" s="22"/>
    </row>
    <row r="1149" spans="1:6" x14ac:dyDescent="0.25">
      <c r="A1149" s="15"/>
      <c r="B1149" s="106"/>
      <c r="C1149" s="16"/>
      <c r="D1149" s="16"/>
      <c r="E1149" s="16"/>
      <c r="F1149" s="16"/>
    </row>
    <row r="1150" spans="1:6" ht="16.5" thickBot="1" x14ac:dyDescent="0.3">
      <c r="A1150" s="15"/>
      <c r="B1150" s="107"/>
      <c r="C1150" s="23"/>
      <c r="D1150" s="23"/>
      <c r="E1150" s="23"/>
      <c r="F1150" s="23"/>
    </row>
    <row r="1151" spans="1:6" ht="16.5" thickBot="1" x14ac:dyDescent="0.3">
      <c r="A1151" s="15"/>
      <c r="B1151" s="12"/>
      <c r="C1151" s="17"/>
      <c r="D1151" s="17"/>
      <c r="E1151" s="17"/>
      <c r="F1151" s="17"/>
    </row>
    <row r="1152" spans="1:6" ht="16.5" thickBot="1" x14ac:dyDescent="0.3">
      <c r="A1152" s="18"/>
      <c r="B1152" s="11"/>
      <c r="C1152" s="11"/>
      <c r="D1152" s="11"/>
      <c r="E1152" s="11"/>
      <c r="F1152" s="11"/>
    </row>
    <row r="1153" spans="1:6" ht="25.5" customHeight="1" thickBot="1" x14ac:dyDescent="0.3">
      <c r="A1153" s="12"/>
      <c r="B1153" s="108"/>
      <c r="C1153" s="109"/>
      <c r="D1153" s="110"/>
      <c r="E1153" s="111"/>
      <c r="F1153" s="1"/>
    </row>
    <row r="1154" spans="1:6" ht="16.5" thickBot="1" x14ac:dyDescent="0.3">
      <c r="A1154" s="112"/>
      <c r="B1154" s="113"/>
      <c r="C1154" s="113"/>
      <c r="D1154" s="113"/>
      <c r="E1154" s="113"/>
      <c r="F1154" s="114"/>
    </row>
    <row r="1155" spans="1:6" ht="16.5" thickBot="1" x14ac:dyDescent="0.3">
      <c r="A1155" s="2"/>
      <c r="B1155" s="12"/>
      <c r="C1155" s="13"/>
      <c r="D1155" s="12"/>
      <c r="E1155" s="13"/>
      <c r="F1155" s="12"/>
    </row>
    <row r="1156" spans="1:6" ht="18.75" x14ac:dyDescent="0.25">
      <c r="A1156" s="3"/>
      <c r="B1156" s="105"/>
      <c r="C1156" s="14"/>
      <c r="D1156" s="14"/>
      <c r="E1156" s="14"/>
      <c r="F1156" s="19"/>
    </row>
    <row r="1157" spans="1:6" x14ac:dyDescent="0.25">
      <c r="A1157" s="15"/>
      <c r="B1157" s="106"/>
      <c r="C1157" s="22"/>
      <c r="D1157" s="22"/>
      <c r="E1157" s="22"/>
      <c r="F1157" s="22"/>
    </row>
    <row r="1158" spans="1:6" x14ac:dyDescent="0.25">
      <c r="A1158" s="15"/>
      <c r="B1158" s="106"/>
      <c r="C1158" s="16"/>
      <c r="D1158" s="16"/>
      <c r="E1158" s="16"/>
      <c r="F1158" s="16"/>
    </row>
    <row r="1159" spans="1:6" ht="16.5" thickBot="1" x14ac:dyDescent="0.3">
      <c r="A1159" s="15"/>
      <c r="B1159" s="107"/>
      <c r="C1159" s="23"/>
      <c r="D1159" s="23"/>
      <c r="E1159" s="23"/>
      <c r="F1159" s="23"/>
    </row>
    <row r="1160" spans="1:6" ht="16.5" thickBot="1" x14ac:dyDescent="0.3">
      <c r="A1160" s="15"/>
      <c r="B1160" s="12"/>
      <c r="C1160" s="17"/>
      <c r="D1160" s="17"/>
      <c r="E1160" s="17"/>
      <c r="F1160" s="20"/>
    </row>
    <row r="1161" spans="1:6" ht="16.5" thickBot="1" x14ac:dyDescent="0.3">
      <c r="A1161" s="18"/>
      <c r="B1161" s="11"/>
      <c r="C1161" s="11"/>
      <c r="D1161" s="11"/>
      <c r="E1161" s="11"/>
      <c r="F1161" s="11"/>
    </row>
    <row r="1162" spans="1:6" ht="25.5" customHeight="1" thickBot="1" x14ac:dyDescent="0.3">
      <c r="A1162" s="12"/>
      <c r="B1162" s="108"/>
      <c r="C1162" s="109"/>
      <c r="D1162" s="110"/>
      <c r="E1162" s="111"/>
      <c r="F1162" s="1"/>
    </row>
    <row r="1163" spans="1:6" ht="16.5" thickBot="1" x14ac:dyDescent="0.3">
      <c r="A1163" s="112"/>
      <c r="B1163" s="113"/>
      <c r="C1163" s="113"/>
      <c r="D1163" s="113"/>
      <c r="E1163" s="113"/>
      <c r="F1163" s="114"/>
    </row>
    <row r="1164" spans="1:6" ht="16.5" thickBot="1" x14ac:dyDescent="0.3">
      <c r="A1164" s="2"/>
      <c r="B1164" s="12"/>
      <c r="C1164" s="13"/>
      <c r="D1164" s="12"/>
      <c r="E1164" s="13"/>
      <c r="F1164" s="12"/>
    </row>
    <row r="1165" spans="1:6" ht="18.75" x14ac:dyDescent="0.25">
      <c r="A1165" s="3"/>
      <c r="B1165" s="105"/>
      <c r="C1165" s="14"/>
      <c r="D1165" s="14"/>
      <c r="E1165" s="14"/>
      <c r="F1165" s="19"/>
    </row>
    <row r="1166" spans="1:6" x14ac:dyDescent="0.25">
      <c r="A1166" s="15"/>
      <c r="B1166" s="106"/>
      <c r="C1166" s="22"/>
      <c r="D1166" s="22"/>
      <c r="E1166" s="22"/>
      <c r="F1166" s="22"/>
    </row>
    <row r="1167" spans="1:6" x14ac:dyDescent="0.25">
      <c r="A1167" s="15"/>
      <c r="B1167" s="106"/>
      <c r="C1167" s="16"/>
      <c r="D1167" s="16"/>
      <c r="E1167" s="16"/>
      <c r="F1167" s="16"/>
    </row>
    <row r="1168" spans="1:6" ht="16.5" thickBot="1" x14ac:dyDescent="0.3">
      <c r="A1168" s="15"/>
      <c r="B1168" s="107"/>
      <c r="C1168" s="23"/>
      <c r="D1168" s="23"/>
      <c r="E1168" s="23"/>
      <c r="F1168" s="23"/>
    </row>
    <row r="1169" spans="1:6" ht="16.5" thickBot="1" x14ac:dyDescent="0.3">
      <c r="A1169" s="15"/>
      <c r="B1169" s="12"/>
      <c r="C1169" s="17"/>
      <c r="D1169" s="17"/>
      <c r="E1169" s="17"/>
      <c r="F1169" s="17"/>
    </row>
    <row r="1170" spans="1:6" ht="16.5" thickBot="1" x14ac:dyDescent="0.3">
      <c r="A1170" s="18"/>
      <c r="B1170" s="11"/>
      <c r="C1170" s="11"/>
      <c r="D1170" s="11"/>
      <c r="E1170" s="11"/>
      <c r="F1170" s="11"/>
    </row>
    <row r="1171" spans="1:6" ht="25.5" customHeight="1" thickBot="1" x14ac:dyDescent="0.3">
      <c r="A1171" s="12"/>
      <c r="B1171" s="108"/>
      <c r="C1171" s="109"/>
      <c r="D1171" s="110"/>
      <c r="E1171" s="111"/>
      <c r="F1171" s="1"/>
    </row>
    <row r="1172" spans="1:6" ht="16.5" thickBot="1" x14ac:dyDescent="0.3">
      <c r="A1172" s="112"/>
      <c r="B1172" s="113"/>
      <c r="C1172" s="113"/>
      <c r="D1172" s="113"/>
      <c r="E1172" s="113"/>
      <c r="F1172" s="114"/>
    </row>
    <row r="1173" spans="1:6" ht="16.5" thickBot="1" x14ac:dyDescent="0.3">
      <c r="A1173" s="2"/>
      <c r="B1173" s="12"/>
      <c r="C1173" s="13"/>
      <c r="D1173" s="12"/>
      <c r="E1173" s="13"/>
      <c r="F1173" s="12"/>
    </row>
    <row r="1174" spans="1:6" ht="18.75" x14ac:dyDescent="0.25">
      <c r="A1174" s="3"/>
      <c r="B1174" s="105"/>
      <c r="C1174" s="14"/>
      <c r="D1174" s="14"/>
      <c r="E1174" s="14"/>
      <c r="F1174" s="19"/>
    </row>
    <row r="1175" spans="1:6" x14ac:dyDescent="0.25">
      <c r="A1175" s="15"/>
      <c r="B1175" s="106"/>
      <c r="C1175" s="22"/>
      <c r="D1175" s="22"/>
      <c r="E1175" s="22"/>
      <c r="F1175" s="22"/>
    </row>
    <row r="1176" spans="1:6" x14ac:dyDescent="0.25">
      <c r="A1176" s="15"/>
      <c r="B1176" s="106"/>
      <c r="C1176" s="16"/>
      <c r="D1176" s="16"/>
      <c r="E1176" s="16"/>
      <c r="F1176" s="16"/>
    </row>
    <row r="1177" spans="1:6" ht="16.5" thickBot="1" x14ac:dyDescent="0.3">
      <c r="A1177" s="15"/>
      <c r="B1177" s="107"/>
      <c r="C1177" s="23"/>
      <c r="D1177" s="23"/>
      <c r="E1177" s="23"/>
      <c r="F1177" s="23"/>
    </row>
    <row r="1178" spans="1:6" ht="16.5" thickBot="1" x14ac:dyDescent="0.3">
      <c r="A1178" s="15"/>
      <c r="B1178" s="12"/>
      <c r="C1178" s="17"/>
      <c r="D1178" s="17"/>
      <c r="E1178" s="17"/>
      <c r="F1178" s="17"/>
    </row>
    <row r="1179" spans="1:6" ht="16.5" thickBot="1" x14ac:dyDescent="0.3">
      <c r="A1179" s="18"/>
      <c r="B1179" s="11"/>
      <c r="C1179" s="11"/>
      <c r="D1179" s="11"/>
      <c r="E1179" s="11"/>
      <c r="F1179" s="11"/>
    </row>
    <row r="1180" spans="1:6" ht="25.5" customHeight="1" thickBot="1" x14ac:dyDescent="0.3">
      <c r="A1180" s="12"/>
      <c r="B1180" s="108"/>
      <c r="C1180" s="109"/>
      <c r="D1180" s="110"/>
      <c r="E1180" s="111"/>
      <c r="F1180" s="1"/>
    </row>
    <row r="1181" spans="1:6" ht="16.5" thickBot="1" x14ac:dyDescent="0.3">
      <c r="A1181" s="112"/>
      <c r="B1181" s="113"/>
      <c r="C1181" s="113"/>
      <c r="D1181" s="113"/>
      <c r="E1181" s="113"/>
      <c r="F1181" s="114"/>
    </row>
    <row r="1182" spans="1:6" ht="16.5" thickBot="1" x14ac:dyDescent="0.3">
      <c r="A1182" s="2"/>
      <c r="B1182" s="12"/>
      <c r="C1182" s="13"/>
      <c r="D1182" s="12"/>
      <c r="E1182" s="13"/>
      <c r="F1182" s="12"/>
    </row>
    <row r="1183" spans="1:6" ht="18.75" x14ac:dyDescent="0.25">
      <c r="A1183" s="3"/>
      <c r="B1183" s="105"/>
      <c r="C1183" s="14"/>
      <c r="D1183" s="14"/>
      <c r="E1183" s="14"/>
      <c r="F1183" s="19"/>
    </row>
    <row r="1184" spans="1:6" x14ac:dyDescent="0.25">
      <c r="A1184" s="15"/>
      <c r="B1184" s="106"/>
      <c r="C1184" s="22"/>
      <c r="D1184" s="22"/>
      <c r="E1184" s="22"/>
      <c r="F1184" s="22"/>
    </row>
    <row r="1185" spans="1:6" x14ac:dyDescent="0.25">
      <c r="A1185" s="15"/>
      <c r="B1185" s="106"/>
      <c r="C1185" s="16"/>
      <c r="D1185" s="16"/>
      <c r="E1185" s="16"/>
      <c r="F1185" s="16"/>
    </row>
    <row r="1186" spans="1:6" ht="16.5" thickBot="1" x14ac:dyDescent="0.3">
      <c r="A1186" s="15"/>
      <c r="B1186" s="107"/>
      <c r="C1186" s="23"/>
      <c r="D1186" s="23"/>
      <c r="E1186" s="23"/>
      <c r="F1186" s="23"/>
    </row>
    <row r="1187" spans="1:6" ht="16.5" thickBot="1" x14ac:dyDescent="0.3">
      <c r="A1187" s="15"/>
      <c r="B1187" s="12"/>
      <c r="C1187" s="17"/>
      <c r="D1187" s="17"/>
      <c r="E1187" s="17"/>
      <c r="F1187" s="20"/>
    </row>
    <row r="1188" spans="1:6" ht="16.5" thickBot="1" x14ac:dyDescent="0.3">
      <c r="A1188" s="18"/>
      <c r="B1188" s="11"/>
      <c r="C1188" s="11"/>
      <c r="D1188" s="11"/>
      <c r="E1188" s="11"/>
      <c r="F1188" s="11"/>
    </row>
    <row r="1189" spans="1:6" ht="25.5" customHeight="1" thickBot="1" x14ac:dyDescent="0.3">
      <c r="A1189" s="12"/>
      <c r="B1189" s="108"/>
      <c r="C1189" s="109"/>
      <c r="D1189" s="110"/>
      <c r="E1189" s="111"/>
      <c r="F1189" s="1"/>
    </row>
    <row r="1190" spans="1:6" ht="16.5" thickBot="1" x14ac:dyDescent="0.3">
      <c r="A1190" s="112"/>
      <c r="B1190" s="113"/>
      <c r="C1190" s="113"/>
      <c r="D1190" s="113"/>
      <c r="E1190" s="113"/>
      <c r="F1190" s="114"/>
    </row>
    <row r="1191" spans="1:6" ht="16.5" thickBot="1" x14ac:dyDescent="0.3">
      <c r="A1191" s="2"/>
      <c r="B1191" s="12"/>
      <c r="C1191" s="13"/>
      <c r="D1191" s="12"/>
      <c r="E1191" s="13"/>
      <c r="F1191" s="12"/>
    </row>
    <row r="1192" spans="1:6" ht="18.75" x14ac:dyDescent="0.25">
      <c r="A1192" s="3"/>
      <c r="B1192" s="105"/>
      <c r="C1192" s="14"/>
      <c r="D1192" s="14"/>
      <c r="E1192" s="14"/>
      <c r="F1192" s="14"/>
    </row>
    <row r="1193" spans="1:6" x14ac:dyDescent="0.25">
      <c r="A1193" s="15"/>
      <c r="B1193" s="106"/>
      <c r="C1193" s="22"/>
      <c r="D1193" s="22"/>
      <c r="E1193" s="22"/>
      <c r="F1193" s="22"/>
    </row>
    <row r="1194" spans="1:6" x14ac:dyDescent="0.25">
      <c r="A1194" s="15"/>
      <c r="B1194" s="106"/>
      <c r="C1194" s="16"/>
      <c r="D1194" s="16"/>
      <c r="E1194" s="16"/>
      <c r="F1194" s="16"/>
    </row>
    <row r="1195" spans="1:6" ht="16.5" thickBot="1" x14ac:dyDescent="0.3">
      <c r="A1195" s="15"/>
      <c r="B1195" s="107"/>
      <c r="C1195" s="23"/>
      <c r="D1195" s="23"/>
      <c r="E1195" s="23"/>
      <c r="F1195" s="23"/>
    </row>
    <row r="1196" spans="1:6" ht="16.5" thickBot="1" x14ac:dyDescent="0.3">
      <c r="A1196" s="15"/>
      <c r="B1196" s="12"/>
      <c r="C1196" s="17"/>
      <c r="D1196" s="17"/>
      <c r="E1196" s="17"/>
      <c r="F1196" s="17"/>
    </row>
    <row r="1197" spans="1:6" ht="16.5" thickBot="1" x14ac:dyDescent="0.3">
      <c r="A1197" s="18"/>
      <c r="B1197" s="11"/>
      <c r="C1197" s="11"/>
      <c r="D1197" s="11"/>
      <c r="E1197" s="11"/>
      <c r="F1197" s="11"/>
    </row>
    <row r="1198" spans="1:6" ht="25.5" customHeight="1" thickBot="1" x14ac:dyDescent="0.3">
      <c r="A1198" s="12"/>
      <c r="B1198" s="108"/>
      <c r="C1198" s="109"/>
      <c r="D1198" s="110"/>
      <c r="E1198" s="111"/>
      <c r="F1198" s="1"/>
    </row>
    <row r="1199" spans="1:6" ht="16.5" thickBot="1" x14ac:dyDescent="0.3">
      <c r="A1199" s="112"/>
      <c r="B1199" s="113"/>
      <c r="C1199" s="113"/>
      <c r="D1199" s="113"/>
      <c r="E1199" s="113"/>
      <c r="F1199" s="114"/>
    </row>
    <row r="1200" spans="1:6" ht="16.5" thickBot="1" x14ac:dyDescent="0.3">
      <c r="A1200" s="2"/>
      <c r="B1200" s="12"/>
      <c r="C1200" s="13"/>
      <c r="D1200" s="12"/>
      <c r="E1200" s="13"/>
      <c r="F1200" s="12"/>
    </row>
    <row r="1201" spans="1:6" ht="18.75" x14ac:dyDescent="0.25">
      <c r="A1201" s="3"/>
      <c r="B1201" s="105"/>
      <c r="C1201" s="14"/>
      <c r="D1201" s="14"/>
      <c r="E1201" s="14"/>
      <c r="F1201" s="19"/>
    </row>
    <row r="1202" spans="1:6" x14ac:dyDescent="0.25">
      <c r="A1202" s="15"/>
      <c r="B1202" s="106"/>
      <c r="C1202" s="22"/>
      <c r="D1202" s="22"/>
      <c r="E1202" s="22"/>
      <c r="F1202" s="22"/>
    </row>
    <row r="1203" spans="1:6" x14ac:dyDescent="0.25">
      <c r="A1203" s="15"/>
      <c r="B1203" s="106"/>
      <c r="C1203" s="16"/>
      <c r="D1203" s="16"/>
      <c r="E1203" s="16"/>
      <c r="F1203" s="16"/>
    </row>
    <row r="1204" spans="1:6" ht="16.5" thickBot="1" x14ac:dyDescent="0.3">
      <c r="A1204" s="15"/>
      <c r="B1204" s="107"/>
      <c r="C1204" s="23"/>
      <c r="D1204" s="23"/>
      <c r="E1204" s="23"/>
      <c r="F1204" s="23"/>
    </row>
    <row r="1205" spans="1:6" ht="16.5" thickBot="1" x14ac:dyDescent="0.3">
      <c r="A1205" s="15"/>
      <c r="B1205" s="12"/>
      <c r="C1205" s="17"/>
      <c r="D1205" s="17"/>
      <c r="E1205" s="17"/>
      <c r="F1205" s="17"/>
    </row>
    <row r="1206" spans="1:6" ht="16.5" thickBot="1" x14ac:dyDescent="0.3">
      <c r="A1206" s="18"/>
      <c r="B1206" s="11"/>
      <c r="C1206" s="11"/>
      <c r="D1206" s="11"/>
      <c r="E1206" s="11"/>
      <c r="F1206" s="11"/>
    </row>
    <row r="1207" spans="1:6" ht="25.5" customHeight="1" thickBot="1" x14ac:dyDescent="0.3">
      <c r="A1207" s="12"/>
      <c r="B1207" s="108"/>
      <c r="C1207" s="109"/>
      <c r="D1207" s="110"/>
      <c r="E1207" s="111"/>
      <c r="F1207" s="1"/>
    </row>
    <row r="1208" spans="1:6" ht="16.5" thickBot="1" x14ac:dyDescent="0.3">
      <c r="A1208" s="112"/>
      <c r="B1208" s="113"/>
      <c r="C1208" s="113"/>
      <c r="D1208" s="113"/>
      <c r="E1208" s="113"/>
      <c r="F1208" s="114"/>
    </row>
    <row r="1209" spans="1:6" ht="16.5" thickBot="1" x14ac:dyDescent="0.3">
      <c r="A1209" s="2"/>
      <c r="B1209" s="12"/>
      <c r="C1209" s="13"/>
      <c r="D1209" s="12"/>
      <c r="E1209" s="13"/>
      <c r="F1209" s="12"/>
    </row>
    <row r="1210" spans="1:6" ht="18.75" x14ac:dyDescent="0.25">
      <c r="A1210" s="3"/>
      <c r="B1210" s="105"/>
      <c r="C1210" s="14"/>
      <c r="D1210" s="14"/>
      <c r="E1210" s="14"/>
      <c r="F1210" s="14"/>
    </row>
    <row r="1211" spans="1:6" x14ac:dyDescent="0.25">
      <c r="A1211" s="15"/>
      <c r="B1211" s="106"/>
      <c r="C1211" s="22"/>
      <c r="D1211" s="22"/>
      <c r="E1211" s="22"/>
      <c r="F1211" s="22"/>
    </row>
    <row r="1212" spans="1:6" x14ac:dyDescent="0.25">
      <c r="A1212" s="15"/>
      <c r="B1212" s="106"/>
      <c r="C1212" s="16"/>
      <c r="D1212" s="16"/>
      <c r="E1212" s="16"/>
      <c r="F1212" s="16"/>
    </row>
    <row r="1213" spans="1:6" ht="16.5" thickBot="1" x14ac:dyDescent="0.3">
      <c r="A1213" s="15"/>
      <c r="B1213" s="107"/>
      <c r="C1213" s="23"/>
      <c r="D1213" s="23"/>
      <c r="E1213" s="23"/>
      <c r="F1213" s="23"/>
    </row>
    <row r="1214" spans="1:6" ht="16.5" thickBot="1" x14ac:dyDescent="0.3">
      <c r="A1214" s="15"/>
      <c r="B1214" s="12"/>
      <c r="C1214" s="17"/>
      <c r="D1214" s="17"/>
      <c r="E1214" s="17"/>
      <c r="F1214" s="17"/>
    </row>
    <row r="1215" spans="1:6" ht="16.5" thickBot="1" x14ac:dyDescent="0.3">
      <c r="A1215" s="18"/>
      <c r="B1215" s="11"/>
      <c r="C1215" s="11"/>
      <c r="D1215" s="11"/>
      <c r="E1215" s="11"/>
      <c r="F1215" s="11"/>
    </row>
    <row r="1216" spans="1:6" ht="25.5" customHeight="1" thickBot="1" x14ac:dyDescent="0.3">
      <c r="A1216" s="12"/>
      <c r="B1216" s="108"/>
      <c r="C1216" s="109"/>
      <c r="D1216" s="110"/>
      <c r="E1216" s="111"/>
      <c r="F1216" s="1"/>
    </row>
    <row r="1217" spans="1:6" ht="16.5" thickBot="1" x14ac:dyDescent="0.3">
      <c r="A1217" s="112"/>
      <c r="B1217" s="113"/>
      <c r="C1217" s="113"/>
      <c r="D1217" s="113"/>
      <c r="E1217" s="113"/>
      <c r="F1217" s="114"/>
    </row>
    <row r="1218" spans="1:6" ht="16.5" thickBot="1" x14ac:dyDescent="0.3">
      <c r="A1218" s="2"/>
      <c r="B1218" s="12"/>
      <c r="C1218" s="13"/>
      <c r="D1218" s="12"/>
      <c r="E1218" s="13"/>
      <c r="F1218" s="12"/>
    </row>
    <row r="1219" spans="1:6" ht="18.75" x14ac:dyDescent="0.25">
      <c r="A1219" s="3"/>
      <c r="B1219" s="105"/>
      <c r="C1219" s="14"/>
      <c r="D1219" s="14"/>
      <c r="E1219" s="14"/>
      <c r="F1219" s="19"/>
    </row>
    <row r="1220" spans="1:6" x14ac:dyDescent="0.25">
      <c r="A1220" s="15"/>
      <c r="B1220" s="106"/>
      <c r="C1220" s="22"/>
      <c r="D1220" s="22"/>
      <c r="E1220" s="22"/>
      <c r="F1220" s="22"/>
    </row>
    <row r="1221" spans="1:6" x14ac:dyDescent="0.25">
      <c r="A1221" s="15"/>
      <c r="B1221" s="106"/>
      <c r="C1221" s="16"/>
      <c r="D1221" s="16"/>
      <c r="E1221" s="16"/>
      <c r="F1221" s="16"/>
    </row>
    <row r="1222" spans="1:6" ht="16.5" thickBot="1" x14ac:dyDescent="0.3">
      <c r="A1222" s="15"/>
      <c r="B1222" s="107"/>
      <c r="C1222" s="23"/>
      <c r="D1222" s="23"/>
      <c r="E1222" s="23"/>
      <c r="F1222" s="23"/>
    </row>
    <row r="1223" spans="1:6" ht="16.5" thickBot="1" x14ac:dyDescent="0.3">
      <c r="A1223" s="15"/>
      <c r="B1223" s="12"/>
      <c r="C1223" s="17"/>
      <c r="D1223" s="17"/>
      <c r="E1223" s="17"/>
      <c r="F1223" s="17"/>
    </row>
    <row r="1224" spans="1:6" ht="16.5" thickBot="1" x14ac:dyDescent="0.3">
      <c r="A1224" s="18"/>
      <c r="B1224" s="11"/>
      <c r="C1224" s="11"/>
      <c r="D1224" s="11"/>
      <c r="E1224" s="11"/>
      <c r="F1224" s="11"/>
    </row>
    <row r="1225" spans="1:6" ht="25.5" customHeight="1" thickBot="1" x14ac:dyDescent="0.3">
      <c r="A1225" s="12"/>
      <c r="B1225" s="108"/>
      <c r="C1225" s="109"/>
      <c r="D1225" s="110"/>
      <c r="E1225" s="111"/>
      <c r="F1225" s="1"/>
    </row>
    <row r="1226" spans="1:6" ht="16.5" thickBot="1" x14ac:dyDescent="0.3">
      <c r="A1226" s="112"/>
      <c r="B1226" s="113"/>
      <c r="C1226" s="113"/>
      <c r="D1226" s="113"/>
      <c r="E1226" s="113"/>
      <c r="F1226" s="114"/>
    </row>
    <row r="1227" spans="1:6" ht="16.5" thickBot="1" x14ac:dyDescent="0.3">
      <c r="A1227" s="2"/>
      <c r="B1227" s="12"/>
      <c r="C1227" s="13"/>
      <c r="D1227" s="12"/>
      <c r="E1227" s="13"/>
      <c r="F1227" s="12"/>
    </row>
    <row r="1228" spans="1:6" ht="18.75" x14ac:dyDescent="0.25">
      <c r="A1228" s="3"/>
      <c r="B1228" s="105"/>
      <c r="C1228" s="14"/>
      <c r="D1228" s="14"/>
      <c r="E1228" s="14"/>
      <c r="F1228" s="19"/>
    </row>
    <row r="1229" spans="1:6" x14ac:dyDescent="0.25">
      <c r="A1229" s="15"/>
      <c r="B1229" s="106"/>
      <c r="C1229" s="22"/>
      <c r="D1229" s="22"/>
      <c r="E1229" s="22"/>
      <c r="F1229" s="22"/>
    </row>
    <row r="1230" spans="1:6" x14ac:dyDescent="0.25">
      <c r="A1230" s="15"/>
      <c r="B1230" s="106"/>
      <c r="C1230" s="16"/>
      <c r="D1230" s="16"/>
      <c r="E1230" s="16"/>
      <c r="F1230" s="16"/>
    </row>
    <row r="1231" spans="1:6" ht="16.5" thickBot="1" x14ac:dyDescent="0.3">
      <c r="A1231" s="15"/>
      <c r="B1231" s="107"/>
      <c r="C1231" s="23"/>
      <c r="D1231" s="23"/>
      <c r="E1231" s="23"/>
      <c r="F1231" s="23"/>
    </row>
    <row r="1232" spans="1:6" ht="16.5" thickBot="1" x14ac:dyDescent="0.3">
      <c r="A1232" s="15"/>
      <c r="B1232" s="12"/>
      <c r="C1232" s="17"/>
      <c r="D1232" s="17"/>
      <c r="E1232" s="17"/>
      <c r="F1232" s="17"/>
    </row>
    <row r="1233" spans="1:6" ht="16.5" thickBot="1" x14ac:dyDescent="0.3">
      <c r="A1233" s="18"/>
      <c r="B1233" s="11"/>
      <c r="C1233" s="11"/>
      <c r="D1233" s="11"/>
      <c r="E1233" s="11"/>
      <c r="F1233" s="11"/>
    </row>
    <row r="1234" spans="1:6" ht="25.5" customHeight="1" thickBot="1" x14ac:dyDescent="0.3">
      <c r="A1234" s="12"/>
      <c r="B1234" s="108"/>
      <c r="C1234" s="109"/>
      <c r="D1234" s="110"/>
      <c r="E1234" s="111"/>
      <c r="F1234" s="1"/>
    </row>
    <row r="1235" spans="1:6" ht="16.5" thickBot="1" x14ac:dyDescent="0.3">
      <c r="A1235" s="112"/>
      <c r="B1235" s="113"/>
      <c r="C1235" s="113"/>
      <c r="D1235" s="113"/>
      <c r="E1235" s="113"/>
      <c r="F1235" s="114"/>
    </row>
    <row r="1236" spans="1:6" ht="16.5" thickBot="1" x14ac:dyDescent="0.3">
      <c r="A1236" s="2"/>
      <c r="B1236" s="12"/>
      <c r="C1236" s="13"/>
      <c r="D1236" s="12"/>
      <c r="E1236" s="13"/>
      <c r="F1236" s="12"/>
    </row>
    <row r="1237" spans="1:6" ht="18.75" x14ac:dyDescent="0.25">
      <c r="A1237" s="3"/>
      <c r="B1237" s="105"/>
      <c r="C1237" s="14"/>
      <c r="D1237" s="14"/>
      <c r="E1237" s="14"/>
      <c r="F1237" s="19"/>
    </row>
    <row r="1238" spans="1:6" x14ac:dyDescent="0.25">
      <c r="A1238" s="15"/>
      <c r="B1238" s="106"/>
      <c r="C1238" s="22"/>
      <c r="D1238" s="22"/>
      <c r="E1238" s="22"/>
      <c r="F1238" s="22"/>
    </row>
    <row r="1239" spans="1:6" x14ac:dyDescent="0.25">
      <c r="A1239" s="15"/>
      <c r="B1239" s="106"/>
      <c r="C1239" s="16"/>
      <c r="D1239" s="16"/>
      <c r="E1239" s="16"/>
      <c r="F1239" s="16"/>
    </row>
    <row r="1240" spans="1:6" ht="16.5" thickBot="1" x14ac:dyDescent="0.3">
      <c r="A1240" s="15"/>
      <c r="B1240" s="107"/>
      <c r="C1240" s="23"/>
      <c r="D1240" s="23"/>
      <c r="E1240" s="23"/>
      <c r="F1240" s="23"/>
    </row>
    <row r="1241" spans="1:6" ht="16.5" thickBot="1" x14ac:dyDescent="0.3">
      <c r="A1241" s="15"/>
      <c r="B1241" s="12"/>
      <c r="C1241" s="17"/>
      <c r="D1241" s="17"/>
      <c r="E1241" s="17"/>
      <c r="F1241" s="17"/>
    </row>
    <row r="1242" spans="1:6" ht="16.5" thickBot="1" x14ac:dyDescent="0.3">
      <c r="A1242" s="18"/>
      <c r="B1242" s="11"/>
      <c r="C1242" s="11"/>
      <c r="D1242" s="11"/>
      <c r="E1242" s="11"/>
      <c r="F1242" s="11"/>
    </row>
    <row r="1243" spans="1:6" ht="25.5" customHeight="1" thickBot="1" x14ac:dyDescent="0.3">
      <c r="A1243" s="12"/>
      <c r="B1243" s="108"/>
      <c r="C1243" s="109"/>
      <c r="D1243" s="110"/>
      <c r="E1243" s="111"/>
      <c r="F1243" s="1"/>
    </row>
    <row r="1244" spans="1:6" ht="16.5" thickBot="1" x14ac:dyDescent="0.3">
      <c r="A1244" s="112"/>
      <c r="B1244" s="113"/>
      <c r="C1244" s="113"/>
      <c r="D1244" s="113"/>
      <c r="E1244" s="113"/>
      <c r="F1244" s="114"/>
    </row>
    <row r="1245" spans="1:6" ht="16.5" thickBot="1" x14ac:dyDescent="0.3">
      <c r="A1245" s="2"/>
      <c r="B1245" s="12"/>
      <c r="C1245" s="13"/>
      <c r="D1245" s="12"/>
      <c r="E1245" s="13"/>
      <c r="F1245" s="12"/>
    </row>
    <row r="1246" spans="1:6" ht="18.75" x14ac:dyDescent="0.25">
      <c r="A1246" s="3"/>
      <c r="B1246" s="105"/>
      <c r="C1246" s="14"/>
      <c r="D1246" s="14"/>
      <c r="E1246" s="14"/>
      <c r="F1246" s="14"/>
    </row>
    <row r="1247" spans="1:6" x14ac:dyDescent="0.25">
      <c r="A1247" s="15"/>
      <c r="B1247" s="106"/>
      <c r="C1247" s="22"/>
      <c r="D1247" s="22"/>
      <c r="E1247" s="22"/>
      <c r="F1247" s="22"/>
    </row>
    <row r="1248" spans="1:6" x14ac:dyDescent="0.25">
      <c r="A1248" s="15"/>
      <c r="B1248" s="106"/>
      <c r="C1248" s="16"/>
      <c r="D1248" s="16"/>
      <c r="E1248" s="16"/>
      <c r="F1248" s="16"/>
    </row>
    <row r="1249" spans="1:6" ht="16.5" thickBot="1" x14ac:dyDescent="0.3">
      <c r="A1249" s="15"/>
      <c r="B1249" s="107"/>
      <c r="C1249" s="23"/>
      <c r="D1249" s="23"/>
      <c r="E1249" s="23"/>
      <c r="F1249" s="23"/>
    </row>
    <row r="1250" spans="1:6" ht="16.5" thickBot="1" x14ac:dyDescent="0.3">
      <c r="A1250" s="15"/>
      <c r="B1250" s="12"/>
      <c r="C1250" s="17"/>
      <c r="D1250" s="17"/>
      <c r="E1250" s="17"/>
      <c r="F1250" s="17"/>
    </row>
    <row r="1251" spans="1:6" ht="16.5" thickBot="1" x14ac:dyDescent="0.3">
      <c r="A1251" s="18"/>
      <c r="B1251" s="11"/>
      <c r="C1251" s="11"/>
      <c r="D1251" s="11"/>
      <c r="E1251" s="11"/>
      <c r="F1251" s="11"/>
    </row>
    <row r="1252" spans="1:6" ht="25.5" customHeight="1" thickBot="1" x14ac:dyDescent="0.3">
      <c r="A1252" s="12"/>
      <c r="B1252" s="108"/>
      <c r="C1252" s="109"/>
      <c r="D1252" s="110"/>
      <c r="E1252" s="111"/>
      <c r="F1252" s="1"/>
    </row>
    <row r="1253" spans="1:6" ht="16.5" thickBot="1" x14ac:dyDescent="0.3">
      <c r="A1253" s="112"/>
      <c r="B1253" s="113"/>
      <c r="C1253" s="113"/>
      <c r="D1253" s="113"/>
      <c r="E1253" s="113"/>
      <c r="F1253" s="114"/>
    </row>
    <row r="1254" spans="1:6" ht="16.5" thickBot="1" x14ac:dyDescent="0.3">
      <c r="A1254" s="2"/>
      <c r="B1254" s="12"/>
      <c r="C1254" s="13"/>
      <c r="D1254" s="12"/>
      <c r="E1254" s="13"/>
      <c r="F1254" s="12"/>
    </row>
    <row r="1255" spans="1:6" ht="18.75" x14ac:dyDescent="0.25">
      <c r="A1255" s="3"/>
      <c r="B1255" s="105"/>
      <c r="C1255" s="14"/>
      <c r="D1255" s="14"/>
      <c r="E1255" s="14"/>
      <c r="F1255" s="14"/>
    </row>
    <row r="1256" spans="1:6" x14ac:dyDescent="0.25">
      <c r="A1256" s="15"/>
      <c r="B1256" s="106"/>
      <c r="C1256" s="22"/>
      <c r="D1256" s="22"/>
      <c r="E1256" s="22"/>
      <c r="F1256" s="22"/>
    </row>
    <row r="1257" spans="1:6" x14ac:dyDescent="0.25">
      <c r="A1257" s="15"/>
      <c r="B1257" s="106"/>
      <c r="C1257" s="16"/>
      <c r="D1257" s="16"/>
      <c r="E1257" s="16"/>
      <c r="F1257" s="16"/>
    </row>
    <row r="1258" spans="1:6" ht="16.5" thickBot="1" x14ac:dyDescent="0.3">
      <c r="A1258" s="15"/>
      <c r="B1258" s="107"/>
      <c r="C1258" s="23"/>
      <c r="D1258" s="23"/>
      <c r="E1258" s="23"/>
      <c r="F1258" s="23"/>
    </row>
    <row r="1259" spans="1:6" ht="16.5" thickBot="1" x14ac:dyDescent="0.3">
      <c r="A1259" s="15"/>
      <c r="B1259" s="12"/>
      <c r="C1259" s="17"/>
      <c r="D1259" s="17"/>
      <c r="E1259" s="17"/>
      <c r="F1259" s="17"/>
    </row>
    <row r="1260" spans="1:6" ht="16.5" thickBot="1" x14ac:dyDescent="0.3">
      <c r="A1260" s="18"/>
      <c r="B1260" s="11"/>
      <c r="C1260" s="11"/>
      <c r="D1260" s="11"/>
      <c r="E1260" s="11"/>
      <c r="F1260" s="11"/>
    </row>
    <row r="1261" spans="1:6" ht="25.5" customHeight="1" thickBot="1" x14ac:dyDescent="0.3">
      <c r="A1261" s="12"/>
      <c r="B1261" s="108"/>
      <c r="C1261" s="109"/>
      <c r="D1261" s="110"/>
      <c r="E1261" s="111"/>
      <c r="F1261" s="1"/>
    </row>
    <row r="1262" spans="1:6" ht="16.5" thickBot="1" x14ac:dyDescent="0.3">
      <c r="A1262" s="112"/>
      <c r="B1262" s="113"/>
      <c r="C1262" s="113"/>
      <c r="D1262" s="113"/>
      <c r="E1262" s="113"/>
      <c r="F1262" s="114"/>
    </row>
    <row r="1263" spans="1:6" ht="16.5" thickBot="1" x14ac:dyDescent="0.3">
      <c r="A1263" s="2"/>
      <c r="B1263" s="12"/>
      <c r="C1263" s="13"/>
      <c r="D1263" s="12"/>
      <c r="E1263" s="13"/>
      <c r="F1263" s="12"/>
    </row>
    <row r="1264" spans="1:6" ht="18.75" x14ac:dyDescent="0.25">
      <c r="A1264" s="3"/>
      <c r="B1264" s="105"/>
      <c r="C1264" s="14"/>
      <c r="D1264" s="14"/>
      <c r="E1264" s="14"/>
      <c r="F1264" s="14"/>
    </row>
    <row r="1265" spans="1:6" x14ac:dyDescent="0.25">
      <c r="A1265" s="15"/>
      <c r="B1265" s="106"/>
      <c r="C1265" s="22"/>
      <c r="D1265" s="22"/>
      <c r="E1265" s="22"/>
      <c r="F1265" s="22"/>
    </row>
    <row r="1266" spans="1:6" x14ac:dyDescent="0.25">
      <c r="A1266" s="15"/>
      <c r="B1266" s="106"/>
      <c r="C1266" s="16"/>
      <c r="D1266" s="16"/>
      <c r="E1266" s="16"/>
      <c r="F1266" s="16"/>
    </row>
    <row r="1267" spans="1:6" ht="16.5" thickBot="1" x14ac:dyDescent="0.3">
      <c r="A1267" s="15"/>
      <c r="B1267" s="107"/>
      <c r="C1267" s="23"/>
      <c r="D1267" s="23"/>
      <c r="E1267" s="23"/>
      <c r="F1267" s="23"/>
    </row>
    <row r="1268" spans="1:6" ht="16.5" thickBot="1" x14ac:dyDescent="0.3">
      <c r="A1268" s="15"/>
      <c r="B1268" s="12"/>
      <c r="C1268" s="17"/>
      <c r="D1268" s="17"/>
      <c r="E1268" s="17"/>
      <c r="F1268" s="17"/>
    </row>
    <row r="1269" spans="1:6" ht="16.5" thickBot="1" x14ac:dyDescent="0.3">
      <c r="A1269" s="18"/>
      <c r="B1269" s="11"/>
      <c r="C1269" s="11"/>
      <c r="D1269" s="11"/>
      <c r="E1269" s="11"/>
      <c r="F1269" s="11"/>
    </row>
    <row r="1270" spans="1:6" ht="25.5" customHeight="1" thickBot="1" x14ac:dyDescent="0.3">
      <c r="A1270" s="12"/>
      <c r="B1270" s="108"/>
      <c r="C1270" s="109"/>
      <c r="D1270" s="110"/>
      <c r="E1270" s="111"/>
      <c r="F1270" s="1"/>
    </row>
    <row r="1271" spans="1:6" ht="16.5" thickBot="1" x14ac:dyDescent="0.3">
      <c r="A1271" s="112"/>
      <c r="B1271" s="113"/>
      <c r="C1271" s="113"/>
      <c r="D1271" s="113"/>
      <c r="E1271" s="113"/>
      <c r="F1271" s="114"/>
    </row>
    <row r="1272" spans="1:6" ht="16.5" thickBot="1" x14ac:dyDescent="0.3">
      <c r="A1272" s="2"/>
      <c r="B1272" s="12"/>
      <c r="C1272" s="13"/>
      <c r="D1272" s="12"/>
      <c r="E1272" s="13"/>
      <c r="F1272" s="12"/>
    </row>
    <row r="1273" spans="1:6" ht="18.75" x14ac:dyDescent="0.25">
      <c r="A1273" s="3"/>
      <c r="B1273" s="105"/>
      <c r="C1273" s="14"/>
      <c r="D1273" s="14"/>
      <c r="E1273" s="14"/>
      <c r="F1273" s="19"/>
    </row>
    <row r="1274" spans="1:6" x14ac:dyDescent="0.25">
      <c r="A1274" s="15"/>
      <c r="B1274" s="106"/>
      <c r="C1274" s="22"/>
      <c r="D1274" s="22"/>
      <c r="E1274" s="22"/>
      <c r="F1274" s="22"/>
    </row>
    <row r="1275" spans="1:6" x14ac:dyDescent="0.25">
      <c r="A1275" s="15"/>
      <c r="B1275" s="106"/>
      <c r="C1275" s="16"/>
      <c r="D1275" s="16"/>
      <c r="E1275" s="16"/>
      <c r="F1275" s="16"/>
    </row>
    <row r="1276" spans="1:6" ht="16.5" thickBot="1" x14ac:dyDescent="0.3">
      <c r="A1276" s="15"/>
      <c r="B1276" s="107"/>
      <c r="C1276" s="23"/>
      <c r="D1276" s="23"/>
      <c r="E1276" s="23"/>
      <c r="F1276" s="23"/>
    </row>
    <row r="1277" spans="1:6" ht="16.5" thickBot="1" x14ac:dyDescent="0.3">
      <c r="A1277" s="15"/>
      <c r="B1277" s="12"/>
      <c r="C1277" s="17"/>
      <c r="D1277" s="17"/>
      <c r="E1277" s="17"/>
      <c r="F1277" s="17"/>
    </row>
    <row r="1278" spans="1:6" ht="16.5" thickBot="1" x14ac:dyDescent="0.3">
      <c r="A1278" s="18"/>
      <c r="B1278" s="11"/>
      <c r="C1278" s="11"/>
      <c r="D1278" s="11"/>
      <c r="E1278" s="11"/>
      <c r="F1278" s="11"/>
    </row>
    <row r="1279" spans="1:6" ht="25.5" customHeight="1" thickBot="1" x14ac:dyDescent="0.3">
      <c r="A1279" s="12"/>
      <c r="B1279" s="108"/>
      <c r="C1279" s="109"/>
      <c r="D1279" s="110"/>
      <c r="E1279" s="111"/>
      <c r="F1279" s="1"/>
    </row>
    <row r="1280" spans="1:6" ht="16.5" thickBot="1" x14ac:dyDescent="0.3">
      <c r="A1280" s="112"/>
      <c r="B1280" s="113"/>
      <c r="C1280" s="113"/>
      <c r="D1280" s="113"/>
      <c r="E1280" s="113"/>
      <c r="F1280" s="114"/>
    </row>
    <row r="1281" spans="1:6" ht="16.5" thickBot="1" x14ac:dyDescent="0.3">
      <c r="A1281" s="2"/>
      <c r="B1281" s="12"/>
      <c r="C1281" s="12"/>
      <c r="D1281" s="12"/>
      <c r="E1281" s="13"/>
      <c r="F1281" s="12"/>
    </row>
    <row r="1282" spans="1:6" ht="18.75" x14ac:dyDescent="0.25">
      <c r="A1282" s="3"/>
      <c r="B1282" s="105"/>
      <c r="C1282" s="19"/>
      <c r="D1282" s="19"/>
      <c r="E1282" s="19"/>
      <c r="F1282" s="19"/>
    </row>
    <row r="1283" spans="1:6" x14ac:dyDescent="0.25">
      <c r="A1283" s="15"/>
      <c r="B1283" s="106"/>
      <c r="C1283" s="22"/>
      <c r="D1283" s="22"/>
      <c r="E1283" s="22"/>
      <c r="F1283" s="22"/>
    </row>
    <row r="1284" spans="1:6" x14ac:dyDescent="0.25">
      <c r="A1284" s="15"/>
      <c r="B1284" s="106"/>
      <c r="C1284" s="16"/>
      <c r="D1284" s="16"/>
      <c r="E1284" s="16"/>
      <c r="F1284" s="16"/>
    </row>
    <row r="1285" spans="1:6" ht="16.5" thickBot="1" x14ac:dyDescent="0.3">
      <c r="A1285" s="15"/>
      <c r="B1285" s="107"/>
      <c r="C1285" s="23"/>
      <c r="D1285" s="23"/>
      <c r="E1285" s="23"/>
      <c r="F1285" s="23"/>
    </row>
    <row r="1286" spans="1:6" ht="16.5" thickBot="1" x14ac:dyDescent="0.3">
      <c r="A1286" s="15"/>
      <c r="B1286" s="12"/>
      <c r="C1286" s="17"/>
      <c r="D1286" s="17"/>
      <c r="E1286" s="17"/>
      <c r="F1286" s="20"/>
    </row>
    <row r="1287" spans="1:6" ht="16.5" thickBot="1" x14ac:dyDescent="0.3">
      <c r="A1287" s="18"/>
      <c r="B1287" s="11"/>
      <c r="C1287" s="11"/>
      <c r="D1287" s="11"/>
      <c r="E1287" s="11"/>
      <c r="F1287" s="11"/>
    </row>
    <row r="1288" spans="1:6" ht="25.5" customHeight="1" thickBot="1" x14ac:dyDescent="0.3">
      <c r="A1288" s="12"/>
      <c r="B1288" s="108"/>
      <c r="C1288" s="109"/>
      <c r="D1288" s="110"/>
      <c r="E1288" s="111"/>
      <c r="F1288" s="1"/>
    </row>
    <row r="1289" spans="1:6" ht="16.5" thickBot="1" x14ac:dyDescent="0.3">
      <c r="A1289" s="112"/>
      <c r="B1289" s="113"/>
      <c r="C1289" s="113"/>
      <c r="D1289" s="113"/>
      <c r="E1289" s="113"/>
      <c r="F1289" s="114"/>
    </row>
    <row r="1290" spans="1:6" ht="16.5" thickBot="1" x14ac:dyDescent="0.3">
      <c r="A1290" s="2"/>
      <c r="B1290" s="12"/>
      <c r="C1290" s="12"/>
      <c r="D1290" s="12"/>
      <c r="E1290" s="13"/>
      <c r="F1290" s="12"/>
    </row>
    <row r="1291" spans="1:6" ht="18.75" x14ac:dyDescent="0.25">
      <c r="A1291" s="3"/>
      <c r="B1291" s="105"/>
      <c r="C1291" s="19"/>
      <c r="D1291" s="19"/>
      <c r="E1291" s="19"/>
      <c r="F1291" s="19"/>
    </row>
    <row r="1292" spans="1:6" x14ac:dyDescent="0.25">
      <c r="A1292" s="15"/>
      <c r="B1292" s="106"/>
      <c r="C1292" s="22"/>
      <c r="D1292" s="22"/>
      <c r="E1292" s="22"/>
      <c r="F1292" s="22"/>
    </row>
    <row r="1293" spans="1:6" x14ac:dyDescent="0.25">
      <c r="A1293" s="15"/>
      <c r="B1293" s="106"/>
      <c r="C1293" s="16"/>
      <c r="D1293" s="16"/>
      <c r="E1293" s="16"/>
      <c r="F1293" s="16"/>
    </row>
    <row r="1294" spans="1:6" ht="16.5" thickBot="1" x14ac:dyDescent="0.3">
      <c r="A1294" s="15"/>
      <c r="B1294" s="107"/>
      <c r="C1294" s="23"/>
      <c r="D1294" s="23"/>
      <c r="E1294" s="23"/>
      <c r="F1294" s="23"/>
    </row>
    <row r="1295" spans="1:6" ht="16.5" thickBot="1" x14ac:dyDescent="0.3">
      <c r="A1295" s="15"/>
      <c r="B1295" s="12"/>
      <c r="C1295" s="17"/>
      <c r="D1295" s="17"/>
      <c r="E1295" s="17"/>
      <c r="F1295" s="20"/>
    </row>
    <row r="1296" spans="1:6" ht="16.5" thickBot="1" x14ac:dyDescent="0.3">
      <c r="A1296" s="18"/>
      <c r="B1296" s="11"/>
      <c r="C1296" s="11"/>
      <c r="D1296" s="11"/>
      <c r="E1296" s="11"/>
      <c r="F1296" s="11"/>
    </row>
    <row r="1297" spans="1:6" ht="25.5" customHeight="1" thickBot="1" x14ac:dyDescent="0.3">
      <c r="A1297" s="21"/>
      <c r="B1297" s="117"/>
      <c r="C1297" s="118"/>
      <c r="D1297" s="119"/>
      <c r="E1297" s="120"/>
      <c r="F1297" s="1"/>
    </row>
  </sheetData>
  <mergeCells count="579">
    <mergeCell ref="B1288:C1288"/>
    <mergeCell ref="D1288:E1288"/>
    <mergeCell ref="A1289:F1289"/>
    <mergeCell ref="B1291:B1294"/>
    <mergeCell ref="B1297:C1297"/>
    <mergeCell ref="D1297:E1297"/>
    <mergeCell ref="B1264:B1267"/>
    <mergeCell ref="B1270:C1270"/>
    <mergeCell ref="D1270:E1270"/>
    <mergeCell ref="A1271:F1271"/>
    <mergeCell ref="B1273:B1276"/>
    <mergeCell ref="B1279:C1279"/>
    <mergeCell ref="D1279:E1279"/>
    <mergeCell ref="A1280:F1280"/>
    <mergeCell ref="B1282:B1285"/>
    <mergeCell ref="A1244:F1244"/>
    <mergeCell ref="B1246:B1249"/>
    <mergeCell ref="B1252:C1252"/>
    <mergeCell ref="D1252:E1252"/>
    <mergeCell ref="A1253:F1253"/>
    <mergeCell ref="B1255:B1258"/>
    <mergeCell ref="B1261:C1261"/>
    <mergeCell ref="D1261:E1261"/>
    <mergeCell ref="A1262:F1262"/>
    <mergeCell ref="B1225:C1225"/>
    <mergeCell ref="D1225:E1225"/>
    <mergeCell ref="A1226:F1226"/>
    <mergeCell ref="B1228:B1231"/>
    <mergeCell ref="B1234:C1234"/>
    <mergeCell ref="D1234:E1234"/>
    <mergeCell ref="A1235:F1235"/>
    <mergeCell ref="B1237:B1240"/>
    <mergeCell ref="B1243:C1243"/>
    <mergeCell ref="D1243:E1243"/>
    <mergeCell ref="B1201:B1204"/>
    <mergeCell ref="B1207:C1207"/>
    <mergeCell ref="D1207:E1207"/>
    <mergeCell ref="A1208:F1208"/>
    <mergeCell ref="B1210:B1213"/>
    <mergeCell ref="B1216:C1216"/>
    <mergeCell ref="D1216:E1216"/>
    <mergeCell ref="A1217:F1217"/>
    <mergeCell ref="B1219:B1222"/>
    <mergeCell ref="A1181:F1181"/>
    <mergeCell ref="B1183:B1186"/>
    <mergeCell ref="B1189:C1189"/>
    <mergeCell ref="D1189:E1189"/>
    <mergeCell ref="A1190:F1190"/>
    <mergeCell ref="B1192:B1195"/>
    <mergeCell ref="B1198:C1198"/>
    <mergeCell ref="D1198:E1198"/>
    <mergeCell ref="A1199:F1199"/>
    <mergeCell ref="B1162:C1162"/>
    <mergeCell ref="D1162:E1162"/>
    <mergeCell ref="A1163:F1163"/>
    <mergeCell ref="B1165:B1168"/>
    <mergeCell ref="B1171:C1171"/>
    <mergeCell ref="D1171:E1171"/>
    <mergeCell ref="A1172:F1172"/>
    <mergeCell ref="B1174:B1177"/>
    <mergeCell ref="B1180:C1180"/>
    <mergeCell ref="D1180:E1180"/>
    <mergeCell ref="B1138:B1141"/>
    <mergeCell ref="B1144:C1144"/>
    <mergeCell ref="D1144:E1144"/>
    <mergeCell ref="A1145:F1145"/>
    <mergeCell ref="B1147:B1150"/>
    <mergeCell ref="B1153:C1153"/>
    <mergeCell ref="D1153:E1153"/>
    <mergeCell ref="A1154:F1154"/>
    <mergeCell ref="B1156:B1159"/>
    <mergeCell ref="A1118:F1118"/>
    <mergeCell ref="B1120:B1123"/>
    <mergeCell ref="B1126:C1126"/>
    <mergeCell ref="D1126:E1126"/>
    <mergeCell ref="A1127:F1127"/>
    <mergeCell ref="B1129:B1132"/>
    <mergeCell ref="B1135:C1135"/>
    <mergeCell ref="D1135:E1135"/>
    <mergeCell ref="A1136:F1136"/>
    <mergeCell ref="B1099:C1099"/>
    <mergeCell ref="D1099:E1099"/>
    <mergeCell ref="A1100:F1100"/>
    <mergeCell ref="B1102:B1105"/>
    <mergeCell ref="B1108:C1108"/>
    <mergeCell ref="D1108:E1108"/>
    <mergeCell ref="A1109:F1109"/>
    <mergeCell ref="B1111:B1114"/>
    <mergeCell ref="B1117:C1117"/>
    <mergeCell ref="D1117:E1117"/>
    <mergeCell ref="B1075:B1078"/>
    <mergeCell ref="B1081:C1081"/>
    <mergeCell ref="D1081:E1081"/>
    <mergeCell ref="A1082:F1082"/>
    <mergeCell ref="B1084:B1087"/>
    <mergeCell ref="B1090:C1090"/>
    <mergeCell ref="D1090:E1090"/>
    <mergeCell ref="A1091:F1091"/>
    <mergeCell ref="B1093:B1096"/>
    <mergeCell ref="A1055:F1055"/>
    <mergeCell ref="B1057:B1060"/>
    <mergeCell ref="B1063:C1063"/>
    <mergeCell ref="D1063:E1063"/>
    <mergeCell ref="A1064:F1064"/>
    <mergeCell ref="B1066:B1069"/>
    <mergeCell ref="B1072:C1072"/>
    <mergeCell ref="D1072:E1072"/>
    <mergeCell ref="A1073:F1073"/>
    <mergeCell ref="B1036:C1036"/>
    <mergeCell ref="D1036:E1036"/>
    <mergeCell ref="A1037:F1037"/>
    <mergeCell ref="B1039:B1042"/>
    <mergeCell ref="B1045:C1045"/>
    <mergeCell ref="D1045:E1045"/>
    <mergeCell ref="A1046:F1046"/>
    <mergeCell ref="B1048:B1051"/>
    <mergeCell ref="B1054:C1054"/>
    <mergeCell ref="D1054:E1054"/>
    <mergeCell ref="B1012:B1015"/>
    <mergeCell ref="B1018:C1018"/>
    <mergeCell ref="D1018:E1018"/>
    <mergeCell ref="A1019:F1019"/>
    <mergeCell ref="B1021:B1024"/>
    <mergeCell ref="B1027:C1027"/>
    <mergeCell ref="D1027:E1027"/>
    <mergeCell ref="A1028:F1028"/>
    <mergeCell ref="B1030:B1033"/>
    <mergeCell ref="A992:F992"/>
    <mergeCell ref="B994:B997"/>
    <mergeCell ref="B1000:C1000"/>
    <mergeCell ref="D1000:E1000"/>
    <mergeCell ref="A1001:F1001"/>
    <mergeCell ref="B1003:B1006"/>
    <mergeCell ref="B1009:C1009"/>
    <mergeCell ref="D1009:E1009"/>
    <mergeCell ref="A1010:F1010"/>
    <mergeCell ref="B973:C973"/>
    <mergeCell ref="D973:E973"/>
    <mergeCell ref="A974:F974"/>
    <mergeCell ref="B976:B979"/>
    <mergeCell ref="B982:C982"/>
    <mergeCell ref="D982:E982"/>
    <mergeCell ref="A983:F983"/>
    <mergeCell ref="B985:B988"/>
    <mergeCell ref="B991:C991"/>
    <mergeCell ref="D991:E991"/>
    <mergeCell ref="B949:B952"/>
    <mergeCell ref="B955:C955"/>
    <mergeCell ref="D955:E955"/>
    <mergeCell ref="A956:F956"/>
    <mergeCell ref="B958:B961"/>
    <mergeCell ref="B964:C964"/>
    <mergeCell ref="D964:E964"/>
    <mergeCell ref="A965:F965"/>
    <mergeCell ref="B967:B970"/>
    <mergeCell ref="A929:F929"/>
    <mergeCell ref="B931:B934"/>
    <mergeCell ref="B937:C937"/>
    <mergeCell ref="D937:E937"/>
    <mergeCell ref="A938:F938"/>
    <mergeCell ref="B940:B943"/>
    <mergeCell ref="B946:C946"/>
    <mergeCell ref="D946:E946"/>
    <mergeCell ref="A947:F947"/>
    <mergeCell ref="B910:C910"/>
    <mergeCell ref="D910:E910"/>
    <mergeCell ref="A911:F911"/>
    <mergeCell ref="B913:B916"/>
    <mergeCell ref="B919:C919"/>
    <mergeCell ref="D919:E919"/>
    <mergeCell ref="A920:F920"/>
    <mergeCell ref="B922:B925"/>
    <mergeCell ref="B928:C928"/>
    <mergeCell ref="D928:E928"/>
    <mergeCell ref="B886:B889"/>
    <mergeCell ref="B892:C892"/>
    <mergeCell ref="D892:E892"/>
    <mergeCell ref="A893:F893"/>
    <mergeCell ref="B895:B898"/>
    <mergeCell ref="B901:C901"/>
    <mergeCell ref="D901:E901"/>
    <mergeCell ref="A902:F902"/>
    <mergeCell ref="B904:B907"/>
    <mergeCell ref="A866:F866"/>
    <mergeCell ref="B868:B871"/>
    <mergeCell ref="B874:C874"/>
    <mergeCell ref="D874:E874"/>
    <mergeCell ref="A875:F875"/>
    <mergeCell ref="B877:B880"/>
    <mergeCell ref="B883:C883"/>
    <mergeCell ref="D883:E883"/>
    <mergeCell ref="A884:F884"/>
    <mergeCell ref="B847:C847"/>
    <mergeCell ref="D847:E847"/>
    <mergeCell ref="A848:F848"/>
    <mergeCell ref="B850:B853"/>
    <mergeCell ref="B856:C856"/>
    <mergeCell ref="D856:E856"/>
    <mergeCell ref="A857:F857"/>
    <mergeCell ref="B859:B862"/>
    <mergeCell ref="B865:C865"/>
    <mergeCell ref="D865:E865"/>
    <mergeCell ref="B823:B826"/>
    <mergeCell ref="B829:C829"/>
    <mergeCell ref="D829:E829"/>
    <mergeCell ref="A830:F830"/>
    <mergeCell ref="B832:B835"/>
    <mergeCell ref="B838:C838"/>
    <mergeCell ref="D838:E838"/>
    <mergeCell ref="A839:F839"/>
    <mergeCell ref="B841:B844"/>
    <mergeCell ref="A803:F803"/>
    <mergeCell ref="B805:B808"/>
    <mergeCell ref="B811:C811"/>
    <mergeCell ref="D811:E811"/>
    <mergeCell ref="A812:F812"/>
    <mergeCell ref="B814:B817"/>
    <mergeCell ref="B820:C820"/>
    <mergeCell ref="D820:E820"/>
    <mergeCell ref="A821:F821"/>
    <mergeCell ref="B784:C784"/>
    <mergeCell ref="D784:E784"/>
    <mergeCell ref="A785:F785"/>
    <mergeCell ref="B787:B790"/>
    <mergeCell ref="B793:C793"/>
    <mergeCell ref="D793:E793"/>
    <mergeCell ref="A794:F794"/>
    <mergeCell ref="B796:B799"/>
    <mergeCell ref="B802:C802"/>
    <mergeCell ref="D802:E802"/>
    <mergeCell ref="B760:B763"/>
    <mergeCell ref="B766:C766"/>
    <mergeCell ref="D766:E766"/>
    <mergeCell ref="A767:F767"/>
    <mergeCell ref="B769:B772"/>
    <mergeCell ref="B775:C775"/>
    <mergeCell ref="D775:E775"/>
    <mergeCell ref="A776:F776"/>
    <mergeCell ref="B778:B781"/>
    <mergeCell ref="A740:F740"/>
    <mergeCell ref="B742:B745"/>
    <mergeCell ref="B748:C748"/>
    <mergeCell ref="D748:E748"/>
    <mergeCell ref="A749:F749"/>
    <mergeCell ref="B751:B754"/>
    <mergeCell ref="B757:C757"/>
    <mergeCell ref="D757:E757"/>
    <mergeCell ref="A758:F758"/>
    <mergeCell ref="B721:C721"/>
    <mergeCell ref="D721:E721"/>
    <mergeCell ref="A722:F722"/>
    <mergeCell ref="B724:B727"/>
    <mergeCell ref="B730:C730"/>
    <mergeCell ref="D730:E730"/>
    <mergeCell ref="A731:F731"/>
    <mergeCell ref="B733:B736"/>
    <mergeCell ref="B739:C739"/>
    <mergeCell ref="D739:E739"/>
    <mergeCell ref="B697:B700"/>
    <mergeCell ref="B703:C703"/>
    <mergeCell ref="D703:E703"/>
    <mergeCell ref="A704:F704"/>
    <mergeCell ref="B706:B709"/>
    <mergeCell ref="B712:C712"/>
    <mergeCell ref="D712:E712"/>
    <mergeCell ref="A713:F713"/>
    <mergeCell ref="B715:B718"/>
    <mergeCell ref="A677:F677"/>
    <mergeCell ref="B679:B682"/>
    <mergeCell ref="B685:C685"/>
    <mergeCell ref="D685:E685"/>
    <mergeCell ref="A686:F686"/>
    <mergeCell ref="B688:B691"/>
    <mergeCell ref="B694:C694"/>
    <mergeCell ref="D694:E694"/>
    <mergeCell ref="A695:F695"/>
    <mergeCell ref="B658:C658"/>
    <mergeCell ref="D658:E658"/>
    <mergeCell ref="A659:F659"/>
    <mergeCell ref="B661:B664"/>
    <mergeCell ref="B667:C667"/>
    <mergeCell ref="D667:E667"/>
    <mergeCell ref="A668:F668"/>
    <mergeCell ref="B670:B673"/>
    <mergeCell ref="B676:C676"/>
    <mergeCell ref="D676:E676"/>
    <mergeCell ref="B634:B637"/>
    <mergeCell ref="B640:C640"/>
    <mergeCell ref="D640:E640"/>
    <mergeCell ref="A641:F641"/>
    <mergeCell ref="B643:B646"/>
    <mergeCell ref="B649:C649"/>
    <mergeCell ref="D649:E649"/>
    <mergeCell ref="A650:F650"/>
    <mergeCell ref="B652:B655"/>
    <mergeCell ref="A614:F614"/>
    <mergeCell ref="B616:B619"/>
    <mergeCell ref="B622:C622"/>
    <mergeCell ref="D622:E622"/>
    <mergeCell ref="A623:F623"/>
    <mergeCell ref="B625:B628"/>
    <mergeCell ref="B631:C631"/>
    <mergeCell ref="D631:E631"/>
    <mergeCell ref="A632:F632"/>
    <mergeCell ref="B595:C595"/>
    <mergeCell ref="D595:E595"/>
    <mergeCell ref="A596:F596"/>
    <mergeCell ref="B598:B601"/>
    <mergeCell ref="B604:C604"/>
    <mergeCell ref="D604:E604"/>
    <mergeCell ref="A605:F605"/>
    <mergeCell ref="B607:B610"/>
    <mergeCell ref="B613:C613"/>
    <mergeCell ref="D613:E613"/>
    <mergeCell ref="B571:B574"/>
    <mergeCell ref="B577:C577"/>
    <mergeCell ref="D577:E577"/>
    <mergeCell ref="A578:F578"/>
    <mergeCell ref="B580:B583"/>
    <mergeCell ref="B586:C586"/>
    <mergeCell ref="D586:E586"/>
    <mergeCell ref="A587:F587"/>
    <mergeCell ref="B589:B592"/>
    <mergeCell ref="A551:F551"/>
    <mergeCell ref="B553:B556"/>
    <mergeCell ref="B559:C559"/>
    <mergeCell ref="D559:E559"/>
    <mergeCell ref="A560:F560"/>
    <mergeCell ref="B562:B565"/>
    <mergeCell ref="B568:C568"/>
    <mergeCell ref="D568:E568"/>
    <mergeCell ref="A569:F569"/>
    <mergeCell ref="B532:C532"/>
    <mergeCell ref="D532:E532"/>
    <mergeCell ref="A533:F533"/>
    <mergeCell ref="B535:B538"/>
    <mergeCell ref="B541:C541"/>
    <mergeCell ref="D541:E541"/>
    <mergeCell ref="A542:F542"/>
    <mergeCell ref="B544:B547"/>
    <mergeCell ref="B550:C550"/>
    <mergeCell ref="D550:E550"/>
    <mergeCell ref="B508:B511"/>
    <mergeCell ref="B514:C514"/>
    <mergeCell ref="D514:E514"/>
    <mergeCell ref="A515:F515"/>
    <mergeCell ref="B517:B520"/>
    <mergeCell ref="B523:C523"/>
    <mergeCell ref="D523:E523"/>
    <mergeCell ref="A524:F524"/>
    <mergeCell ref="B526:B529"/>
    <mergeCell ref="A488:F488"/>
    <mergeCell ref="B490:B493"/>
    <mergeCell ref="B496:C496"/>
    <mergeCell ref="D496:E496"/>
    <mergeCell ref="A497:F497"/>
    <mergeCell ref="B499:B502"/>
    <mergeCell ref="B505:C505"/>
    <mergeCell ref="D505:E505"/>
    <mergeCell ref="A506:F506"/>
    <mergeCell ref="B469:C469"/>
    <mergeCell ref="D469:E469"/>
    <mergeCell ref="A470:F470"/>
    <mergeCell ref="B472:B475"/>
    <mergeCell ref="B478:C478"/>
    <mergeCell ref="D478:E478"/>
    <mergeCell ref="A479:F479"/>
    <mergeCell ref="B481:B484"/>
    <mergeCell ref="B487:C487"/>
    <mergeCell ref="D487:E487"/>
    <mergeCell ref="B445:B448"/>
    <mergeCell ref="B451:C451"/>
    <mergeCell ref="D451:E451"/>
    <mergeCell ref="A452:F452"/>
    <mergeCell ref="B454:B457"/>
    <mergeCell ref="B460:C460"/>
    <mergeCell ref="D460:E460"/>
    <mergeCell ref="A461:F461"/>
    <mergeCell ref="B463:B466"/>
    <mergeCell ref="A425:F425"/>
    <mergeCell ref="B427:B430"/>
    <mergeCell ref="B433:C433"/>
    <mergeCell ref="D433:E433"/>
    <mergeCell ref="A434:F434"/>
    <mergeCell ref="B436:B439"/>
    <mergeCell ref="B442:C442"/>
    <mergeCell ref="D442:E442"/>
    <mergeCell ref="A443:F443"/>
    <mergeCell ref="B406:C406"/>
    <mergeCell ref="D406:E406"/>
    <mergeCell ref="A407:F407"/>
    <mergeCell ref="B409:B412"/>
    <mergeCell ref="B415:C415"/>
    <mergeCell ref="D415:E415"/>
    <mergeCell ref="A416:F416"/>
    <mergeCell ref="B418:B421"/>
    <mergeCell ref="B424:C424"/>
    <mergeCell ref="D424:E424"/>
    <mergeCell ref="B382:B385"/>
    <mergeCell ref="B388:C388"/>
    <mergeCell ref="D388:E388"/>
    <mergeCell ref="A389:F389"/>
    <mergeCell ref="B391:B394"/>
    <mergeCell ref="B397:C397"/>
    <mergeCell ref="D397:E397"/>
    <mergeCell ref="A398:F398"/>
    <mergeCell ref="B400:B403"/>
    <mergeCell ref="A362:F362"/>
    <mergeCell ref="B364:B367"/>
    <mergeCell ref="B370:C370"/>
    <mergeCell ref="D370:E370"/>
    <mergeCell ref="A371:F371"/>
    <mergeCell ref="B373:B376"/>
    <mergeCell ref="B379:C379"/>
    <mergeCell ref="D379:E379"/>
    <mergeCell ref="A380:F380"/>
    <mergeCell ref="B352:C352"/>
    <mergeCell ref="D352:E352"/>
    <mergeCell ref="A353:F353"/>
    <mergeCell ref="B355:B358"/>
    <mergeCell ref="B361:C361"/>
    <mergeCell ref="D361:E361"/>
    <mergeCell ref="A335:F335"/>
    <mergeCell ref="B337:B340"/>
    <mergeCell ref="B343:C343"/>
    <mergeCell ref="D343:E343"/>
    <mergeCell ref="A344:F344"/>
    <mergeCell ref="B346:B349"/>
    <mergeCell ref="B325:C325"/>
    <mergeCell ref="D325:E325"/>
    <mergeCell ref="A326:F326"/>
    <mergeCell ref="B328:B331"/>
    <mergeCell ref="B334:C334"/>
    <mergeCell ref="D334:E334"/>
    <mergeCell ref="A308:F308"/>
    <mergeCell ref="B310:B313"/>
    <mergeCell ref="B316:C316"/>
    <mergeCell ref="D316:E316"/>
    <mergeCell ref="A317:F317"/>
    <mergeCell ref="B319:B322"/>
    <mergeCell ref="B298:C298"/>
    <mergeCell ref="D298:E298"/>
    <mergeCell ref="A299:F299"/>
    <mergeCell ref="B301:B304"/>
    <mergeCell ref="B307:C307"/>
    <mergeCell ref="D307:E307"/>
    <mergeCell ref="A281:F281"/>
    <mergeCell ref="B283:B286"/>
    <mergeCell ref="B289:C289"/>
    <mergeCell ref="D289:E289"/>
    <mergeCell ref="A290:F290"/>
    <mergeCell ref="B292:B295"/>
    <mergeCell ref="B271:C271"/>
    <mergeCell ref="D271:E271"/>
    <mergeCell ref="A272:F272"/>
    <mergeCell ref="B274:B277"/>
    <mergeCell ref="B280:C280"/>
    <mergeCell ref="D280:E280"/>
    <mergeCell ref="A254:F254"/>
    <mergeCell ref="B256:B259"/>
    <mergeCell ref="B262:C262"/>
    <mergeCell ref="D262:E262"/>
    <mergeCell ref="A263:F263"/>
    <mergeCell ref="B265:B268"/>
    <mergeCell ref="B244:C244"/>
    <mergeCell ref="D244:E244"/>
    <mergeCell ref="A245:F245"/>
    <mergeCell ref="B247:B250"/>
    <mergeCell ref="B253:C253"/>
    <mergeCell ref="D253:E253"/>
    <mergeCell ref="A227:F227"/>
    <mergeCell ref="B229:B232"/>
    <mergeCell ref="B235:C235"/>
    <mergeCell ref="D235:E235"/>
    <mergeCell ref="A236:F236"/>
    <mergeCell ref="B238:B241"/>
    <mergeCell ref="B217:C217"/>
    <mergeCell ref="D217:E217"/>
    <mergeCell ref="A218:F218"/>
    <mergeCell ref="B220:B223"/>
    <mergeCell ref="B226:C226"/>
    <mergeCell ref="D226:E226"/>
    <mergeCell ref="A200:F200"/>
    <mergeCell ref="B202:B205"/>
    <mergeCell ref="B208:C208"/>
    <mergeCell ref="D208:E208"/>
    <mergeCell ref="A209:F209"/>
    <mergeCell ref="B211:B214"/>
    <mergeCell ref="B190:C190"/>
    <mergeCell ref="D190:E190"/>
    <mergeCell ref="A191:F191"/>
    <mergeCell ref="B193:B196"/>
    <mergeCell ref="B199:C199"/>
    <mergeCell ref="D199:E199"/>
    <mergeCell ref="A173:F173"/>
    <mergeCell ref="B175:B178"/>
    <mergeCell ref="B181:C181"/>
    <mergeCell ref="D181:E181"/>
    <mergeCell ref="A182:F182"/>
    <mergeCell ref="B184:B187"/>
    <mergeCell ref="B163:C163"/>
    <mergeCell ref="D163:E163"/>
    <mergeCell ref="A164:F164"/>
    <mergeCell ref="B166:B169"/>
    <mergeCell ref="B172:C172"/>
    <mergeCell ref="D172:E172"/>
    <mergeCell ref="A146:F146"/>
    <mergeCell ref="B148:B151"/>
    <mergeCell ref="B154:C154"/>
    <mergeCell ref="D154:E154"/>
    <mergeCell ref="A155:F155"/>
    <mergeCell ref="B157:B160"/>
    <mergeCell ref="B136:C136"/>
    <mergeCell ref="D136:E136"/>
    <mergeCell ref="A137:F137"/>
    <mergeCell ref="B139:B142"/>
    <mergeCell ref="B145:C145"/>
    <mergeCell ref="D145:E145"/>
    <mergeCell ref="A119:F119"/>
    <mergeCell ref="B121:B124"/>
    <mergeCell ref="B127:C127"/>
    <mergeCell ref="D127:E127"/>
    <mergeCell ref="A128:F128"/>
    <mergeCell ref="B130:B133"/>
    <mergeCell ref="B109:C109"/>
    <mergeCell ref="D109:E109"/>
    <mergeCell ref="A110:F110"/>
    <mergeCell ref="B112:B115"/>
    <mergeCell ref="B118:C118"/>
    <mergeCell ref="D118:E118"/>
    <mergeCell ref="A92:F92"/>
    <mergeCell ref="B94:B97"/>
    <mergeCell ref="B100:C100"/>
    <mergeCell ref="D100:E100"/>
    <mergeCell ref="A101:F101"/>
    <mergeCell ref="B103:B106"/>
    <mergeCell ref="B82:C82"/>
    <mergeCell ref="D82:E82"/>
    <mergeCell ref="A83:F83"/>
    <mergeCell ref="B85:B88"/>
    <mergeCell ref="B91:C91"/>
    <mergeCell ref="D91:E91"/>
    <mergeCell ref="A65:F65"/>
    <mergeCell ref="B67:B70"/>
    <mergeCell ref="B73:C73"/>
    <mergeCell ref="D73:E73"/>
    <mergeCell ref="A74:F74"/>
    <mergeCell ref="B76:B79"/>
    <mergeCell ref="B55:C55"/>
    <mergeCell ref="D55:E55"/>
    <mergeCell ref="A56:F56"/>
    <mergeCell ref="B58:B61"/>
    <mergeCell ref="B64:C64"/>
    <mergeCell ref="D64:E64"/>
    <mergeCell ref="A38:F38"/>
    <mergeCell ref="B40:B43"/>
    <mergeCell ref="B46:C46"/>
    <mergeCell ref="D46:E46"/>
    <mergeCell ref="A47:F47"/>
    <mergeCell ref="B49:B52"/>
    <mergeCell ref="A29:F29"/>
    <mergeCell ref="B31:B34"/>
    <mergeCell ref="B37:C37"/>
    <mergeCell ref="D37:E37"/>
    <mergeCell ref="A11:F11"/>
    <mergeCell ref="B13:B16"/>
    <mergeCell ref="B19:C19"/>
    <mergeCell ref="D19:E19"/>
    <mergeCell ref="A20:F20"/>
    <mergeCell ref="B22:B25"/>
    <mergeCell ref="A1:A2"/>
    <mergeCell ref="B1:B2"/>
    <mergeCell ref="C1:D1"/>
    <mergeCell ref="E1:F1"/>
    <mergeCell ref="B4:B7"/>
    <mergeCell ref="B10:C10"/>
    <mergeCell ref="D10:E10"/>
    <mergeCell ref="B28:C28"/>
    <mergeCell ref="D28:E28"/>
  </mergeCells>
  <dataValidations count="1">
    <dataValidation type="whole" operator="greaterThan" allowBlank="1" showInputMessage="1" showErrorMessage="1" errorTitle="اشتباه در ورود اطلاعات" error="لطفا در قسمت قیمت پایانی عدد مثبت وارد نمایید" sqref="H2:K61" xr:uid="{00000000-0002-0000-0000-000000000000}">
      <formula1>0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B61"/>
  <sheetViews>
    <sheetView topLeftCell="E1" zoomScale="80" zoomScaleNormal="80" workbookViewId="0">
      <pane ySplit="1" topLeftCell="A2" activePane="bottomLeft" state="frozen"/>
      <selection pane="bottomLeft" activeCell="K33" sqref="K33"/>
    </sheetView>
  </sheetViews>
  <sheetFormatPr defaultRowHeight="15" x14ac:dyDescent="0.25"/>
  <cols>
    <col min="2" max="2" width="16.7109375" style="7" customWidth="1"/>
    <col min="3" max="3" width="19.5703125" style="7" customWidth="1"/>
    <col min="4" max="4" width="26" customWidth="1"/>
    <col min="5" max="9" width="31.42578125" customWidth="1"/>
    <col min="10" max="10" width="32.140625" style="5" customWidth="1"/>
    <col min="11" max="12" width="38.28515625" style="5" customWidth="1"/>
    <col min="13" max="13" width="28.42578125" style="57" customWidth="1"/>
    <col min="14" max="18" width="31.7109375" style="57" customWidth="1"/>
    <col min="19" max="19" width="31.7109375" style="7" customWidth="1"/>
    <col min="20" max="21" width="31.7109375" style="57" customWidth="1"/>
    <col min="22" max="22" width="35" style="5" customWidth="1"/>
    <col min="23" max="23" width="36.140625" style="5" customWidth="1"/>
    <col min="24" max="24" width="13.28515625" style="6" customWidth="1"/>
    <col min="25" max="25" width="17.85546875" style="6" customWidth="1"/>
    <col min="26" max="26" width="24.28515625" style="6" customWidth="1"/>
    <col min="27" max="27" width="16.85546875" customWidth="1"/>
  </cols>
  <sheetData>
    <row r="1" spans="1:28" s="41" customFormat="1" x14ac:dyDescent="0.25">
      <c r="B1" s="52" t="s">
        <v>346</v>
      </c>
      <c r="C1" s="52" t="s">
        <v>465</v>
      </c>
      <c r="D1" s="52" t="s">
        <v>466</v>
      </c>
      <c r="E1" s="62" t="s">
        <v>495</v>
      </c>
      <c r="F1" s="100" t="s">
        <v>492</v>
      </c>
      <c r="G1" s="100" t="s">
        <v>493</v>
      </c>
      <c r="H1" s="100" t="s">
        <v>494</v>
      </c>
      <c r="I1" s="100" t="s">
        <v>496</v>
      </c>
      <c r="J1" s="51" t="s">
        <v>353</v>
      </c>
      <c r="K1" s="51" t="s">
        <v>354</v>
      </c>
      <c r="L1" s="61" t="s">
        <v>365</v>
      </c>
      <c r="M1" s="51" t="s">
        <v>355</v>
      </c>
      <c r="N1" s="51" t="s">
        <v>356</v>
      </c>
      <c r="O1" s="61" t="s">
        <v>366</v>
      </c>
      <c r="P1" s="75" t="s">
        <v>473</v>
      </c>
      <c r="Q1" s="75" t="s">
        <v>474</v>
      </c>
      <c r="R1" s="75" t="s">
        <v>475</v>
      </c>
      <c r="S1" s="92" t="s">
        <v>483</v>
      </c>
      <c r="T1" s="91" t="s">
        <v>482</v>
      </c>
      <c r="U1" s="63" t="s">
        <v>370</v>
      </c>
      <c r="V1" s="53" t="s">
        <v>368</v>
      </c>
      <c r="W1" s="61" t="s">
        <v>367</v>
      </c>
      <c r="X1" s="59" t="s">
        <v>357</v>
      </c>
      <c r="Y1" s="59" t="s">
        <v>358</v>
      </c>
      <c r="Z1" s="59" t="s">
        <v>359</v>
      </c>
      <c r="AA1" s="41" t="s">
        <v>369</v>
      </c>
      <c r="AB1" s="41">
        <f>MAX(DATA!H2:K61)</f>
        <v>555167.69999999995</v>
      </c>
    </row>
    <row r="2" spans="1:28" s="8" customFormat="1" x14ac:dyDescent="0.25">
      <c r="A2" s="8">
        <v>1</v>
      </c>
      <c r="B2" s="7">
        <f>(DATA!H3-DATA!H2)/DATA!H2</f>
        <v>1.069055186362323E-2</v>
      </c>
      <c r="C2" s="7">
        <f>(DATA!I3-DATA!I2)/DATA!I2</f>
        <v>2.3982512836018465E-3</v>
      </c>
      <c r="D2" s="7">
        <f>(DATA!J3-DATA!J2)/DATA!J2</f>
        <v>5.1127510892585576E-3</v>
      </c>
      <c r="E2" s="7">
        <f>(DATA!K3-DATA!K2)/DATA!K2</f>
        <v>3.2732052683637877E-3</v>
      </c>
      <c r="F2" s="7">
        <v>0</v>
      </c>
      <c r="G2" s="7">
        <v>0</v>
      </c>
      <c r="H2" s="7">
        <v>0</v>
      </c>
      <c r="I2" s="7">
        <v>0</v>
      </c>
      <c r="J2" s="37"/>
      <c r="K2" s="37"/>
      <c r="L2" s="37"/>
      <c r="M2" s="37"/>
      <c r="N2" s="37"/>
      <c r="O2" s="37"/>
      <c r="P2" s="37"/>
      <c r="Q2" s="37"/>
      <c r="R2" s="37"/>
      <c r="S2" s="38"/>
      <c r="T2" s="37"/>
      <c r="U2" s="38">
        <f>DATA!H2/DATA!J2</f>
        <v>0.41977739007118664</v>
      </c>
      <c r="V2" s="58">
        <f>DATA!I2/DATA!J2</f>
        <v>3.2028567963203121</v>
      </c>
      <c r="W2" s="58">
        <f>DATA!K2/DATA!J2</f>
        <v>2.8674696547027048</v>
      </c>
      <c r="X2" s="38">
        <f>DATA!H2/$AB$1</f>
        <v>8.1043980044228081E-2</v>
      </c>
      <c r="Y2" s="38">
        <f>DATA!I2/$AB$1</f>
        <v>0.61835693971389194</v>
      </c>
      <c r="Z2" s="38">
        <f>DATA!J2/$AB$1</f>
        <v>0.19306418583069584</v>
      </c>
      <c r="AA2" s="38">
        <f>DATA!K2/$AB$1</f>
        <v>0.55360569427940431</v>
      </c>
    </row>
    <row r="3" spans="1:28" s="8" customFormat="1" x14ac:dyDescent="0.25">
      <c r="A3" s="8">
        <v>2</v>
      </c>
      <c r="B3" s="7">
        <f>(DATA!H4-DATA!H3)/DATA!H3</f>
        <v>-2.1110964507190921E-2</v>
      </c>
      <c r="C3" s="7">
        <f>(DATA!I4-DATA!I3)/DATA!I3</f>
        <v>1.0824866447302081E-3</v>
      </c>
      <c r="D3" s="7">
        <f>(DATA!J4-DATA!J3)/DATA!J3</f>
        <v>8.047822817944696E-3</v>
      </c>
      <c r="E3" s="7">
        <f>(DATA!K4-DATA!K3)/DATA!K3</f>
        <v>1.0572401491811254E-3</v>
      </c>
      <c r="F3" s="7">
        <f>B2+F2</f>
        <v>1.069055186362323E-2</v>
      </c>
      <c r="G3" s="7">
        <f t="shared" ref="G3:I3" si="0">C2+G2</f>
        <v>2.3982512836018465E-3</v>
      </c>
      <c r="H3" s="7">
        <f t="shared" si="0"/>
        <v>5.1127510892585576E-3</v>
      </c>
      <c r="I3" s="7">
        <f t="shared" si="0"/>
        <v>3.2732052683637877E-3</v>
      </c>
      <c r="J3" s="37"/>
      <c r="K3" s="37"/>
      <c r="L3" s="37"/>
      <c r="M3" s="37"/>
      <c r="N3" s="37"/>
      <c r="O3" s="37"/>
      <c r="P3" s="37"/>
      <c r="Q3" s="37"/>
      <c r="R3" s="37"/>
      <c r="S3" s="38"/>
      <c r="T3" s="37"/>
      <c r="U3" s="38">
        <f>DATA!H3/DATA!J3</f>
        <v>0.42210691444431037</v>
      </c>
      <c r="V3" s="58">
        <f>DATA!I3/DATA!J3</f>
        <v>3.1942068671041759</v>
      </c>
      <c r="W3" s="58">
        <f>DATA!K3/DATA!J3</f>
        <v>2.8622216446519571</v>
      </c>
      <c r="X3" s="38">
        <f>DATA!H3/$AB$1</f>
        <v>8.1910384916125345E-2</v>
      </c>
      <c r="Y3" s="38">
        <f>DATA!I3/$AB$1</f>
        <v>0.61983991503828484</v>
      </c>
      <c r="Z3" s="38">
        <f>DATA!J3/$AB$1</f>
        <v>0.19405127495709856</v>
      </c>
      <c r="AA3" s="38">
        <f>DATA!K3/$AB$1</f>
        <v>0.55541775935451576</v>
      </c>
    </row>
    <row r="4" spans="1:28" s="8" customFormat="1" x14ac:dyDescent="0.25">
      <c r="A4" s="8">
        <v>3</v>
      </c>
      <c r="B4" s="7">
        <f>(DATA!H5-DATA!H4)/DATA!H4</f>
        <v>3.756121669587096E-2</v>
      </c>
      <c r="C4" s="7">
        <f>(DATA!I5-DATA!I4)/DATA!I4</f>
        <v>6.9178106846227126E-3</v>
      </c>
      <c r="D4" s="7">
        <f>(DATA!J5-DATA!J4)/DATA!J4</f>
        <v>1.514760861157664E-2</v>
      </c>
      <c r="E4" s="7">
        <f>(DATA!K5-DATA!K4)/DATA!K4</f>
        <v>7.3313117961875882E-3</v>
      </c>
      <c r="F4" s="7">
        <f>B3+F3</f>
        <v>-1.0420412643567691E-2</v>
      </c>
      <c r="G4" s="7">
        <f t="shared" ref="G4" si="1">C3+G3</f>
        <v>3.4807379283320547E-3</v>
      </c>
      <c r="H4" s="7">
        <f t="shared" ref="H4" si="2">D3+H3</f>
        <v>1.3160573907203254E-2</v>
      </c>
      <c r="I4" s="7">
        <f t="shared" ref="I4" si="3">E3+I3</f>
        <v>4.3304454175449132E-3</v>
      </c>
      <c r="J4" s="37"/>
      <c r="K4" s="37"/>
      <c r="L4" s="37"/>
      <c r="M4" s="37"/>
      <c r="N4" s="37"/>
      <c r="O4" s="37"/>
      <c r="P4" s="37"/>
      <c r="Q4" s="37"/>
      <c r="R4" s="37"/>
      <c r="S4" s="38"/>
      <c r="T4" s="37"/>
      <c r="U4" s="38">
        <f>DATA!H4/DATA!J4</f>
        <v>0.40989705151107753</v>
      </c>
      <c r="V4" s="58">
        <f>DATA!I4/DATA!J4</f>
        <v>3.1721357667728687</v>
      </c>
      <c r="W4" s="58">
        <f>DATA!K4/DATA!J4</f>
        <v>2.8423727877124807</v>
      </c>
      <c r="X4" s="38">
        <f>DATA!H4/$AB$1</f>
        <v>8.0181177687390678E-2</v>
      </c>
      <c r="Y4" s="38">
        <f>DATA!I4/$AB$1</f>
        <v>0.6205108834681845</v>
      </c>
      <c r="Z4" s="38">
        <f>DATA!J4/$AB$1</f>
        <v>0.19561296523554955</v>
      </c>
      <c r="AA4" s="38">
        <f>DATA!K4/$AB$1</f>
        <v>0.55600496930927368</v>
      </c>
    </row>
    <row r="5" spans="1:28" s="8" customFormat="1" x14ac:dyDescent="0.25">
      <c r="A5" s="8">
        <v>4</v>
      </c>
      <c r="B5" s="7">
        <f>(DATA!H6-DATA!H5)/DATA!H5</f>
        <v>3.2975360498852468E-2</v>
      </c>
      <c r="C5" s="7">
        <f>(DATA!I6-DATA!I5)/DATA!I5</f>
        <v>9.9515467867420486E-3</v>
      </c>
      <c r="D5" s="7">
        <f>(DATA!J6-DATA!J5)/DATA!J5</f>
        <v>6.0139872826392602E-3</v>
      </c>
      <c r="E5" s="7">
        <f>(DATA!K6-DATA!K5)/DATA!K5</f>
        <v>8.6254860278060976E-3</v>
      </c>
      <c r="F5" s="7">
        <f t="shared" ref="F5:F61" si="4">B4+F4</f>
        <v>2.714080405230327E-2</v>
      </c>
      <c r="G5" s="7">
        <f t="shared" ref="G5:G61" si="5">C4+G4</f>
        <v>1.0398548612954767E-2</v>
      </c>
      <c r="H5" s="7">
        <f t="shared" ref="H5:H61" si="6">D4+H4</f>
        <v>2.8308182518779895E-2</v>
      </c>
      <c r="I5" s="7">
        <f t="shared" ref="I5:I61" si="7">E4+I4</f>
        <v>1.1661757213732502E-2</v>
      </c>
      <c r="J5" s="37"/>
      <c r="K5" s="37"/>
      <c r="L5" s="37"/>
      <c r="M5" s="37"/>
      <c r="N5" s="37"/>
      <c r="O5" s="37"/>
      <c r="P5" s="37"/>
      <c r="Q5" s="37"/>
      <c r="R5" s="37"/>
      <c r="S5" s="38"/>
      <c r="T5" s="37"/>
      <c r="U5" s="38">
        <f>DATA!H5/DATA!J5</f>
        <v>0.41894723474506318</v>
      </c>
      <c r="V5" s="58">
        <f>DATA!I5/DATA!J5</f>
        <v>3.146419273786091</v>
      </c>
      <c r="W5" s="58">
        <f>DATA!K5/DATA!J5</f>
        <v>2.82048746859211</v>
      </c>
      <c r="X5" s="38">
        <f>DATA!H5/$AB$1</f>
        <v>8.3192880277436904E-2</v>
      </c>
      <c r="Y5" s="38">
        <f>DATA!I5/$AB$1</f>
        <v>0.62480346028776534</v>
      </c>
      <c r="Z5" s="38">
        <f>DATA!J5/$AB$1</f>
        <v>0.19857603387228762</v>
      </c>
      <c r="AA5" s="38">
        <f>DATA!K5/$AB$1</f>
        <v>0.56008121509950959</v>
      </c>
    </row>
    <row r="6" spans="1:28" s="8" customFormat="1" x14ac:dyDescent="0.25">
      <c r="A6" s="8">
        <v>5</v>
      </c>
      <c r="B6" s="7">
        <f>(DATA!H7-DATA!H6)/DATA!H6</f>
        <v>6.6025278249386907E-3</v>
      </c>
      <c r="C6" s="7">
        <f>(DATA!I7-DATA!I6)/DATA!I6</f>
        <v>1.0487761851504971E-2</v>
      </c>
      <c r="D6" s="7">
        <f>(DATA!J7-DATA!J6)/DATA!J6</f>
        <v>8.881395055272032E-3</v>
      </c>
      <c r="E6" s="7">
        <f>(DATA!K7-DATA!K6)/DATA!K6</f>
        <v>9.4636519875901173E-3</v>
      </c>
      <c r="F6" s="7">
        <f t="shared" si="4"/>
        <v>6.0116164551155739E-2</v>
      </c>
      <c r="G6" s="7">
        <f t="shared" si="5"/>
        <v>2.0350095399696816E-2</v>
      </c>
      <c r="H6" s="7">
        <f t="shared" si="6"/>
        <v>3.4322169801419153E-2</v>
      </c>
      <c r="I6" s="7">
        <f t="shared" si="7"/>
        <v>2.0287243241538598E-2</v>
      </c>
      <c r="J6" s="37"/>
      <c r="K6" s="37"/>
      <c r="L6" s="37"/>
      <c r="M6" s="37"/>
      <c r="N6" s="37"/>
      <c r="O6" s="37"/>
      <c r="P6" s="37"/>
      <c r="Q6" s="37"/>
      <c r="R6" s="37"/>
      <c r="S6" s="38">
        <f>SLOPE(DATA!H2:H6,A2:A6)/AVERAGE(DATA!H2:H6)</f>
        <v>1.3422115031720232E-2</v>
      </c>
      <c r="T6" s="37"/>
      <c r="U6" s="38">
        <f>DATA!H6/DATA!J6</f>
        <v>0.43017510324058211</v>
      </c>
      <c r="V6" s="58">
        <f>DATA!I6/DATA!J6</f>
        <v>3.1587344237462354</v>
      </c>
      <c r="W6" s="58">
        <f>DATA!K6/DATA!J6</f>
        <v>2.8278091356644364</v>
      </c>
      <c r="X6" s="38">
        <f>DATA!H6/$AB$1</f>
        <v>8.5936195495523254E-2</v>
      </c>
      <c r="Y6" s="38">
        <f>DATA!I6/$AB$1</f>
        <v>0.63102122115533743</v>
      </c>
      <c r="Z6" s="38">
        <f>DATA!J6/$AB$1</f>
        <v>0.19977026761463249</v>
      </c>
      <c r="AA6" s="38">
        <f>DATA!K6/$AB$1</f>
        <v>0.56491218779478714</v>
      </c>
    </row>
    <row r="7" spans="1:28" s="8" customFormat="1" x14ac:dyDescent="0.25">
      <c r="A7" s="8">
        <v>6</v>
      </c>
      <c r="B7" s="7">
        <f>(DATA!H8-DATA!H7)/DATA!H7</f>
        <v>1.3743128435782109E-3</v>
      </c>
      <c r="C7" s="7">
        <f>(DATA!I8-DATA!I7)/DATA!I7</f>
        <v>7.6961169412030255E-3</v>
      </c>
      <c r="D7" s="7">
        <f>(DATA!J8-DATA!J7)/DATA!J7</f>
        <v>8.6244648810002589E-3</v>
      </c>
      <c r="E7" s="7">
        <f>(DATA!K8-DATA!K7)/DATA!K7</f>
        <v>8.8884958100249843E-3</v>
      </c>
      <c r="F7" s="7">
        <f t="shared" si="4"/>
        <v>6.6718692376094429E-2</v>
      </c>
      <c r="G7" s="7">
        <f t="shared" si="5"/>
        <v>3.0837857251201785E-2</v>
      </c>
      <c r="H7" s="7">
        <f t="shared" si="6"/>
        <v>4.3203564856691183E-2</v>
      </c>
      <c r="I7" s="7">
        <f t="shared" si="7"/>
        <v>2.9750895229128715E-2</v>
      </c>
      <c r="J7" s="37"/>
      <c r="K7" s="37"/>
      <c r="L7" s="37"/>
      <c r="M7" s="37"/>
      <c r="N7" s="37"/>
      <c r="O7" s="37"/>
      <c r="P7" s="37"/>
      <c r="Q7" s="37"/>
      <c r="R7" s="37"/>
      <c r="S7" s="38">
        <f>SLOPE(DATA!H3:H7,A3:A7)/AVERAGE(DATA!H3:H7)</f>
        <v>1.7884324319662623E-2</v>
      </c>
      <c r="T7" s="37"/>
      <c r="U7" s="38">
        <f>DATA!H7/DATA!J7</f>
        <v>0.42920342118669064</v>
      </c>
      <c r="V7" s="58">
        <f>DATA!I7/DATA!J7</f>
        <v>3.1637638415958391</v>
      </c>
      <c r="W7" s="58">
        <f>DATA!K7/DATA!J7</f>
        <v>2.8294411525502499</v>
      </c>
      <c r="X7" s="38">
        <f>DATA!H7/$AB$1</f>
        <v>8.6503591617451817E-2</v>
      </c>
      <c r="Y7" s="38">
        <f>DATA!I7/$AB$1</f>
        <v>0.63763922144606044</v>
      </c>
      <c r="Z7" s="38">
        <f>DATA!J7/$AB$1</f>
        <v>0.20154450628161547</v>
      </c>
      <c r="AA7" s="38">
        <f>DATA!K7/$AB$1</f>
        <v>0.5702583201436251</v>
      </c>
    </row>
    <row r="8" spans="1:28" s="8" customFormat="1" x14ac:dyDescent="0.25">
      <c r="A8" s="8">
        <v>7</v>
      </c>
      <c r="B8" s="7">
        <f>(DATA!H9-DATA!H8)/DATA!H8</f>
        <v>-1.8652526512788523E-2</v>
      </c>
      <c r="C8" s="7">
        <f>(DATA!I9-DATA!I8)/DATA!I8</f>
        <v>7.413074247640589E-3</v>
      </c>
      <c r="D8" s="7">
        <f>(DATA!J9-DATA!J8)/DATA!J8</f>
        <v>-2.2329340043949811E-3</v>
      </c>
      <c r="E8" s="7">
        <f>(DATA!K9-DATA!K8)/DATA!K8</f>
        <v>8.6849528651891193E-3</v>
      </c>
      <c r="F8" s="7">
        <f t="shared" si="4"/>
        <v>6.8093005219672639E-2</v>
      </c>
      <c r="G8" s="7">
        <f t="shared" si="5"/>
        <v>3.8533974192404813E-2</v>
      </c>
      <c r="H8" s="7">
        <f t="shared" si="6"/>
        <v>5.182802973769144E-2</v>
      </c>
      <c r="I8" s="7">
        <f t="shared" si="7"/>
        <v>3.8639391039153703E-2</v>
      </c>
      <c r="J8" s="37"/>
      <c r="K8" s="37"/>
      <c r="L8" s="37"/>
      <c r="M8" s="37"/>
      <c r="N8" s="37"/>
      <c r="O8" s="37"/>
      <c r="P8" s="37"/>
      <c r="Q8" s="37"/>
      <c r="R8" s="37"/>
      <c r="S8" s="38">
        <f>SLOPE(DATA!H4:H8,A4:A8)/AVERAGE(DATA!H4:H8)</f>
        <v>1.9166563620625698E-2</v>
      </c>
      <c r="T8" s="37"/>
      <c r="U8" s="38">
        <f>DATA!H8/DATA!J8</f>
        <v>0.42611823917204222</v>
      </c>
      <c r="V8" s="58">
        <f>DATA!I8/DATA!J8</f>
        <v>3.1608518820443749</v>
      </c>
      <c r="W8" s="58">
        <f>DATA!K8/DATA!J8</f>
        <v>2.8301818246260724</v>
      </c>
      <c r="X8" s="38">
        <f>DATA!H8/$AB$1</f>
        <v>8.6622474614427319E-2</v>
      </c>
      <c r="Y8" s="38">
        <f>DATA!I8/$AB$1</f>
        <v>0.64254656746060701</v>
      </c>
      <c r="Z8" s="38">
        <f>DATA!J8/$AB$1</f>
        <v>0.20328271979799981</v>
      </c>
      <c r="AA8" s="38">
        <f>DATA!K8/$AB$1</f>
        <v>0.57532705883285362</v>
      </c>
    </row>
    <row r="9" spans="1:28" s="8" customFormat="1" x14ac:dyDescent="0.25">
      <c r="A9" s="8">
        <v>8</v>
      </c>
      <c r="B9" s="7">
        <f>(DATA!H10-DATA!H9)/DATA!H9</f>
        <v>1.9918208208844532E-2</v>
      </c>
      <c r="C9" s="7">
        <f>(DATA!I10-DATA!I9)/DATA!I9</f>
        <v>8.0525259102501162E-3</v>
      </c>
      <c r="D9" s="7">
        <f>(DATA!J10-DATA!J9)/DATA!J9</f>
        <v>8.6764235728748543E-3</v>
      </c>
      <c r="E9" s="7">
        <f>(DATA!K10-DATA!K9)/DATA!K9</f>
        <v>9.1657691269085E-3</v>
      </c>
      <c r="F9" s="7">
        <f t="shared" si="4"/>
        <v>4.9440478706884117E-2</v>
      </c>
      <c r="G9" s="7">
        <f t="shared" si="5"/>
        <v>4.59470484400454E-2</v>
      </c>
      <c r="H9" s="7">
        <f t="shared" si="6"/>
        <v>4.9595095733296457E-2</v>
      </c>
      <c r="I9" s="7">
        <f t="shared" si="7"/>
        <v>4.7324343904342821E-2</v>
      </c>
      <c r="J9" s="37"/>
      <c r="K9" s="37"/>
      <c r="L9" s="37"/>
      <c r="M9" s="37"/>
      <c r="N9" s="37"/>
      <c r="O9" s="37"/>
      <c r="P9" s="37"/>
      <c r="Q9" s="37"/>
      <c r="R9" s="37"/>
      <c r="S9" s="38">
        <f>SLOPE(DATA!H5:H9,A5:A9)/AVERAGE(DATA!H5:H9)</f>
        <v>5.0484397264778545E-3</v>
      </c>
      <c r="T9" s="37"/>
      <c r="U9" s="38">
        <f>DATA!H9/DATA!J9</f>
        <v>0.41910589321871339</v>
      </c>
      <c r="V9" s="58">
        <f>DATA!I9/DATA!J9</f>
        <v>3.1914097190153101</v>
      </c>
      <c r="W9" s="58">
        <f>DATA!K9/DATA!J9</f>
        <v>2.8611505807964193</v>
      </c>
      <c r="X9" s="38">
        <f>DATA!H9/$AB$1</f>
        <v>8.5006746610078371E-2</v>
      </c>
      <c r="Y9" s="38">
        <f>DATA!I9/$AB$1</f>
        <v>0.64730981287275902</v>
      </c>
      <c r="Z9" s="38">
        <f>DATA!J9/$AB$1</f>
        <v>0.20282880290045693</v>
      </c>
      <c r="AA9" s="38">
        <f>DATA!K9/$AB$1</f>
        <v>0.58032374722088487</v>
      </c>
    </row>
    <row r="10" spans="1:28" s="8" customFormat="1" x14ac:dyDescent="0.25">
      <c r="A10" s="8">
        <v>9</v>
      </c>
      <c r="B10" s="7">
        <f>(DATA!H11-DATA!H10)/DATA!H10</f>
        <v>-1.0491762408326928E-2</v>
      </c>
      <c r="C10" s="7">
        <f>(DATA!I11-DATA!I10)/DATA!I10</f>
        <v>-3.232215156380982E-3</v>
      </c>
      <c r="D10" s="7">
        <f>(DATA!J11-DATA!J10)/DATA!J10</f>
        <v>6.3126755355209056E-3</v>
      </c>
      <c r="E10" s="7">
        <f>(DATA!K11-DATA!K10)/DATA!K10</f>
        <v>-3.6108633469689047E-3</v>
      </c>
      <c r="F10" s="7">
        <f t="shared" si="4"/>
        <v>6.9358686915728648E-2</v>
      </c>
      <c r="G10" s="7">
        <f t="shared" si="5"/>
        <v>5.3999574350295516E-2</v>
      </c>
      <c r="H10" s="7">
        <f t="shared" si="6"/>
        <v>5.8271519306171311E-2</v>
      </c>
      <c r="I10" s="7">
        <f t="shared" si="7"/>
        <v>5.6490113031251322E-2</v>
      </c>
      <c r="J10" s="37"/>
      <c r="K10" s="37"/>
      <c r="L10" s="37"/>
      <c r="M10" s="37"/>
      <c r="N10" s="37"/>
      <c r="O10" s="37"/>
      <c r="P10" s="37"/>
      <c r="Q10" s="37"/>
      <c r="R10" s="37"/>
      <c r="S10" s="38">
        <f>SLOPE(DATA!H6:H10,A6:A10)/AVERAGE(DATA!H6:H10)</f>
        <v>3.5542695139850046E-5</v>
      </c>
      <c r="T10" s="37"/>
      <c r="U10" s="38">
        <f>DATA!H10/DATA!J10</f>
        <v>0.42377686408818377</v>
      </c>
      <c r="V10" s="58">
        <f>DATA!I10/DATA!J10</f>
        <v>3.189435733089161</v>
      </c>
      <c r="W10" s="58">
        <f>DATA!K10/DATA!J10</f>
        <v>2.8625386288199612</v>
      </c>
      <c r="X10" s="38">
        <f>DATA!H10/$AB$1</f>
        <v>8.6699928688214398E-2</v>
      </c>
      <c r="Y10" s="38">
        <f>DATA!I10/$AB$1</f>
        <v>0.65252229191287614</v>
      </c>
      <c r="Z10" s="38">
        <f>DATA!J10/$AB$1</f>
        <v>0.20458863150720044</v>
      </c>
      <c r="AA10" s="38">
        <f>DATA!K10/$AB$1</f>
        <v>0.58564286070677385</v>
      </c>
    </row>
    <row r="11" spans="1:28" s="8" customFormat="1" x14ac:dyDescent="0.25">
      <c r="A11" s="8">
        <v>10</v>
      </c>
      <c r="B11" s="7">
        <f>(DATA!H12-DATA!H11)/DATA!H11</f>
        <v>4.5372469975644578E-2</v>
      </c>
      <c r="C11" s="7">
        <f>(DATA!I12-DATA!I11)/DATA!I11</f>
        <v>1.8122155128771661E-2</v>
      </c>
      <c r="D11" s="7">
        <f>(DATA!J12-DATA!J11)/DATA!J11</f>
        <v>2.5092302577472921E-2</v>
      </c>
      <c r="E11" s="7">
        <f>(DATA!K12-DATA!K11)/DATA!K11</f>
        <v>1.6946745854375285E-2</v>
      </c>
      <c r="F11" s="7">
        <f t="shared" si="4"/>
        <v>5.8866924507401719E-2</v>
      </c>
      <c r="G11" s="7">
        <f t="shared" si="5"/>
        <v>5.0767359193914535E-2</v>
      </c>
      <c r="H11" s="7">
        <f t="shared" si="6"/>
        <v>6.4584194841692213E-2</v>
      </c>
      <c r="I11" s="7">
        <f t="shared" si="7"/>
        <v>5.2879249684282419E-2</v>
      </c>
      <c r="J11" s="37"/>
      <c r="K11" s="37"/>
      <c r="L11" s="37"/>
      <c r="M11" s="37"/>
      <c r="N11" s="37"/>
      <c r="O11" s="37"/>
      <c r="P11" s="37"/>
      <c r="Q11" s="37"/>
      <c r="R11" s="37"/>
      <c r="S11" s="38">
        <f>SLOPE(DATA!H7:H11,A7:A11)/AVERAGE(DATA!H7:H11)</f>
        <v>-1.5664999079759735E-3</v>
      </c>
      <c r="T11" s="37"/>
      <c r="U11" s="38">
        <f>DATA!H11/DATA!J11</f>
        <v>0.41670020472799174</v>
      </c>
      <c r="V11" s="58">
        <f>DATA!I11/DATA!J11</f>
        <v>3.1591838877320688</v>
      </c>
      <c r="W11" s="58">
        <f>DATA!K11/DATA!J11</f>
        <v>2.8343103116414987</v>
      </c>
      <c r="X11" s="38">
        <f>DATA!H11/$AB$1</f>
        <v>8.5790293635598758E-2</v>
      </c>
      <c r="Y11" s="38">
        <f>DATA!I11/$AB$1</f>
        <v>0.65041319947107878</v>
      </c>
      <c r="Z11" s="38">
        <f>DATA!J11/$AB$1</f>
        <v>0.20588013315616166</v>
      </c>
      <c r="AA11" s="38">
        <f>DATA!K11/$AB$1</f>
        <v>0.58352818436663378</v>
      </c>
    </row>
    <row r="12" spans="1:28" s="8" customFormat="1" x14ac:dyDescent="0.25">
      <c r="A12" s="8">
        <v>11</v>
      </c>
      <c r="B12" s="7">
        <f>(DATA!H13-DATA!H12)/DATA!H12</f>
        <v>1.1207294783988431E-2</v>
      </c>
      <c r="C12" s="7">
        <f>(DATA!I13-DATA!I12)/DATA!I12</f>
        <v>5.7062481758259048E-3</v>
      </c>
      <c r="D12" s="7">
        <f>(DATA!J13-DATA!J12)/DATA!J12</f>
        <v>8.5690387996517764E-3</v>
      </c>
      <c r="E12" s="7">
        <f>(DATA!K13-DATA!K12)/DATA!K12</f>
        <v>5.6276294142287358E-3</v>
      </c>
      <c r="F12" s="7">
        <f t="shared" si="4"/>
        <v>0.1042393944830463</v>
      </c>
      <c r="G12" s="7">
        <f t="shared" si="5"/>
        <v>6.8889514322686196E-2</v>
      </c>
      <c r="H12" s="7">
        <f t="shared" si="6"/>
        <v>8.9676497419165141E-2</v>
      </c>
      <c r="I12" s="7">
        <f t="shared" si="7"/>
        <v>6.9825995538657704E-2</v>
      </c>
      <c r="J12" s="37"/>
      <c r="K12" s="37"/>
      <c r="L12" s="37"/>
      <c r="M12" s="37"/>
      <c r="N12" s="37"/>
      <c r="O12" s="37"/>
      <c r="P12" s="37"/>
      <c r="Q12" s="37"/>
      <c r="R12" s="37"/>
      <c r="S12" s="38">
        <f>SLOPE(DATA!H8:H12,A8:A12)/AVERAGE(DATA!H8:H12)</f>
        <v>7.9577964813792139E-3</v>
      </c>
      <c r="T12" s="37"/>
      <c r="U12" s="38">
        <f>DATA!H12/DATA!J12</f>
        <v>0.42494409641022141</v>
      </c>
      <c r="V12" s="58">
        <f>DATA!I12/DATA!J12</f>
        <v>3.1377029172285473</v>
      </c>
      <c r="W12" s="58">
        <f>DATA!K12/DATA!J12</f>
        <v>2.811788402778963</v>
      </c>
      <c r="X12" s="38">
        <f>DATA!H12/$AB$1</f>
        <v>8.9682811157781706E-2</v>
      </c>
      <c r="Y12" s="38">
        <f>DATA!I12/$AB$1</f>
        <v>0.66220008836969446</v>
      </c>
      <c r="Z12" s="38">
        <f>DATA!J12/$AB$1</f>
        <v>0.21104613975200648</v>
      </c>
      <c r="AA12" s="38">
        <f>DATA!K12/$AB$1</f>
        <v>0.59341708820596017</v>
      </c>
    </row>
    <row r="13" spans="1:28" s="8" customFormat="1" x14ac:dyDescent="0.25">
      <c r="A13" s="8">
        <v>12</v>
      </c>
      <c r="B13" s="7">
        <f>(DATA!H14-DATA!H13)/DATA!H13</f>
        <v>1.3605577293582537E-2</v>
      </c>
      <c r="C13" s="7">
        <f>(DATA!I14-DATA!I13)/DATA!I13</f>
        <v>1.5735270531271578E-2</v>
      </c>
      <c r="D13" s="7">
        <f>(DATA!J14-DATA!J13)/DATA!J13</f>
        <v>1.8524160108318526E-2</v>
      </c>
      <c r="E13" s="7">
        <f>(DATA!K14-DATA!K13)/DATA!K13</f>
        <v>1.6196800482945969E-2</v>
      </c>
      <c r="F13" s="7">
        <f t="shared" si="4"/>
        <v>0.11544668926703473</v>
      </c>
      <c r="G13" s="7">
        <f t="shared" si="5"/>
        <v>7.4595762498512103E-2</v>
      </c>
      <c r="H13" s="7">
        <f t="shared" si="6"/>
        <v>9.8245536218816917E-2</v>
      </c>
      <c r="I13" s="7">
        <f t="shared" si="7"/>
        <v>7.5453624952886433E-2</v>
      </c>
      <c r="J13" s="37"/>
      <c r="K13" s="37"/>
      <c r="L13" s="37"/>
      <c r="M13" s="37"/>
      <c r="N13" s="37"/>
      <c r="O13" s="37"/>
      <c r="P13" s="37"/>
      <c r="Q13" s="37"/>
      <c r="R13" s="37"/>
      <c r="S13" s="38">
        <f>SLOPE(DATA!H9:H13,A9:A13)/AVERAGE(DATA!H9:H13)</f>
        <v>1.6380764325969806E-2</v>
      </c>
      <c r="T13" s="37"/>
      <c r="U13" s="38">
        <f>DATA!H13/DATA!J13</f>
        <v>0.42605568249132608</v>
      </c>
      <c r="V13" s="58">
        <f>DATA!I13/DATA!J13</f>
        <v>3.1287966488956589</v>
      </c>
      <c r="W13" s="58">
        <f>DATA!K13/DATA!J13</f>
        <v>2.8035880511128037</v>
      </c>
      <c r="X13" s="38">
        <f>DATA!H13/$AB$1</f>
        <v>9.068791285948373E-2</v>
      </c>
      <c r="Y13" s="38">
        <f>DATA!I13/$AB$1</f>
        <v>0.66597876641598575</v>
      </c>
      <c r="Z13" s="38">
        <f>DATA!J13/$AB$1</f>
        <v>0.21285460231205816</v>
      </c>
      <c r="AA13" s="38">
        <f>DATA!K13/$AB$1</f>
        <v>0.59675661966645399</v>
      </c>
    </row>
    <row r="14" spans="1:28" s="8" customFormat="1" x14ac:dyDescent="0.25">
      <c r="A14" s="8">
        <v>13</v>
      </c>
      <c r="B14" s="7">
        <f>(DATA!H15-DATA!H14)/DATA!H14</f>
        <v>-1.2188430788524848E-2</v>
      </c>
      <c r="C14" s="7">
        <f>(DATA!I15-DATA!I14)/DATA!I14</f>
        <v>3.9007028934006653E-3</v>
      </c>
      <c r="D14" s="7">
        <f>(DATA!J15-DATA!J14)/DATA!J14</f>
        <v>-3.2319976071585837E-3</v>
      </c>
      <c r="E14" s="7">
        <f>(DATA!K15-DATA!K14)/DATA!K14</f>
        <v>6.017833698680591E-3</v>
      </c>
      <c r="F14" s="7">
        <f t="shared" si="4"/>
        <v>0.12905226656061727</v>
      </c>
      <c r="G14" s="7">
        <f t="shared" si="5"/>
        <v>9.0331033029783681E-2</v>
      </c>
      <c r="H14" s="7">
        <f t="shared" si="6"/>
        <v>0.11676969632713544</v>
      </c>
      <c r="I14" s="7">
        <f t="shared" si="7"/>
        <v>9.1650425435832406E-2</v>
      </c>
      <c r="J14" s="37"/>
      <c r="K14" s="37"/>
      <c r="L14" s="37"/>
      <c r="M14" s="37"/>
      <c r="N14" s="37"/>
      <c r="O14" s="37"/>
      <c r="P14" s="37"/>
      <c r="Q14" s="37"/>
      <c r="R14" s="37"/>
      <c r="S14" s="38">
        <f>SLOPE(DATA!H10:H14,A10:A14)/AVERAGE(DATA!H10:H14)</f>
        <v>1.7245847996792601E-2</v>
      </c>
      <c r="T14" s="37"/>
      <c r="U14" s="38">
        <f>DATA!H14/DATA!J14</f>
        <v>0.42399820536893795</v>
      </c>
      <c r="V14" s="58">
        <f>DATA!I14/DATA!J14</f>
        <v>3.1202294801385855</v>
      </c>
      <c r="W14" s="58">
        <f>DATA!K14/DATA!J14</f>
        <v>2.7971817645543746</v>
      </c>
      <c r="X14" s="38">
        <f>DATA!H14/$AB$1</f>
        <v>9.1921774267487114E-2</v>
      </c>
      <c r="Y14" s="38">
        <f>DATA!I14/$AB$1</f>
        <v>0.6764581224736238</v>
      </c>
      <c r="Z14" s="38">
        <f>DATA!J14/$AB$1</f>
        <v>0.21679755504507919</v>
      </c>
      <c r="AA14" s="38">
        <f>DATA!K14/$AB$1</f>
        <v>0.60642216757206879</v>
      </c>
    </row>
    <row r="15" spans="1:28" s="8" customFormat="1" x14ac:dyDescent="0.25">
      <c r="A15" s="8">
        <v>14</v>
      </c>
      <c r="B15" s="7">
        <f>(DATA!H16-DATA!H15)/DATA!H15</f>
        <v>-1.1505653640150764E-3</v>
      </c>
      <c r="C15" s="7">
        <f>(DATA!I16-DATA!I15)/DATA!I15</f>
        <v>1.8797780233339681E-2</v>
      </c>
      <c r="D15" s="7">
        <f>(DATA!J16-DATA!J15)/DATA!J15</f>
        <v>1.2653163290822706E-2</v>
      </c>
      <c r="E15" s="7">
        <f>(DATA!K16-DATA!K15)/DATA!K15</f>
        <v>2.0263248024754054E-2</v>
      </c>
      <c r="F15" s="7">
        <f t="shared" si="4"/>
        <v>0.11686383577209243</v>
      </c>
      <c r="G15" s="7">
        <f t="shared" si="5"/>
        <v>9.4231735923184345E-2</v>
      </c>
      <c r="H15" s="7">
        <f t="shared" si="6"/>
        <v>0.11353769871997685</v>
      </c>
      <c r="I15" s="7">
        <f t="shared" si="7"/>
        <v>9.7668259134512991E-2</v>
      </c>
      <c r="J15" s="37"/>
      <c r="K15" s="37"/>
      <c r="L15" s="37"/>
      <c r="M15" s="37"/>
      <c r="N15" s="37"/>
      <c r="O15" s="37"/>
      <c r="P15" s="37"/>
      <c r="Q15" s="37"/>
      <c r="R15" s="37"/>
      <c r="S15" s="38">
        <f>SLOPE(DATA!H11:H15,A11:A15)/AVERAGE(DATA!H11:H15)</f>
        <v>1.3657375825622178E-2</v>
      </c>
      <c r="T15" s="37"/>
      <c r="U15" s="38">
        <f>DATA!H15/DATA!J15</f>
        <v>0.42018838042844042</v>
      </c>
      <c r="V15" s="58">
        <f>DATA!I15/DATA!J15</f>
        <v>3.1425573059931646</v>
      </c>
      <c r="W15" s="58">
        <f>DATA!K15/DATA!J15</f>
        <v>2.8231391181128616</v>
      </c>
      <c r="X15" s="38">
        <f>DATA!H15/$AB$1</f>
        <v>9.0801392083869434E-2</v>
      </c>
      <c r="Y15" s="38">
        <f>DATA!I15/$AB$1</f>
        <v>0.67909678462922107</v>
      </c>
      <c r="Z15" s="38">
        <f>DATA!J15/$AB$1</f>
        <v>0.21609686586593566</v>
      </c>
      <c r="AA15" s="38">
        <f>DATA!K15/$AB$1</f>
        <v>0.61007151532771098</v>
      </c>
    </row>
    <row r="16" spans="1:28" s="8" customFormat="1" x14ac:dyDescent="0.25">
      <c r="A16" s="8">
        <v>15</v>
      </c>
      <c r="B16" s="7">
        <f>(DATA!H17-DATA!H16)/DATA!H16</f>
        <v>-3.9005401970130284E-2</v>
      </c>
      <c r="C16" s="7">
        <f>(DATA!I17-DATA!I16)/DATA!I16</f>
        <v>-4.3648574484326373E-2</v>
      </c>
      <c r="D16" s="7">
        <f>(DATA!J17-DATA!J16)/DATA!J16</f>
        <v>-3.949361253786382E-2</v>
      </c>
      <c r="E16" s="7">
        <f>(DATA!K17-DATA!K16)/DATA!K16</f>
        <v>-4.3448944451679183E-2</v>
      </c>
      <c r="F16" s="7">
        <f t="shared" si="4"/>
        <v>0.11571327040807736</v>
      </c>
      <c r="G16" s="7">
        <f t="shared" si="5"/>
        <v>0.11302951615652403</v>
      </c>
      <c r="H16" s="7">
        <f t="shared" si="6"/>
        <v>0.12619086201079954</v>
      </c>
      <c r="I16" s="7">
        <f t="shared" si="7"/>
        <v>0.11793150715926705</v>
      </c>
      <c r="J16" s="37"/>
      <c r="K16" s="37"/>
      <c r="L16" s="37"/>
      <c r="M16" s="37"/>
      <c r="N16" s="37"/>
      <c r="O16" s="37"/>
      <c r="P16" s="37"/>
      <c r="Q16" s="37"/>
      <c r="R16" s="37"/>
      <c r="S16" s="38">
        <f>SLOPE(DATA!H12:H16,A12:A16)/AVERAGE(DATA!H12:H16)</f>
        <v>2.359782479260112E-3</v>
      </c>
      <c r="T16" s="37"/>
      <c r="U16" s="38">
        <f>DATA!H16/DATA!J16</f>
        <v>0.41446068747530618</v>
      </c>
      <c r="V16" s="58">
        <f>DATA!I16/DATA!J16</f>
        <v>3.161625839589095</v>
      </c>
      <c r="W16" s="58">
        <f>DATA!K16/DATA!J16</f>
        <v>2.8443549980244964</v>
      </c>
      <c r="X16" s="38">
        <f>DATA!H16/$AB$1</f>
        <v>9.069691914713339E-2</v>
      </c>
      <c r="Y16" s="38">
        <f>DATA!I16/$AB$1</f>
        <v>0.6918622967438488</v>
      </c>
      <c r="Z16" s="38">
        <f>DATA!J16/$AB$1</f>
        <v>0.21883117479637235</v>
      </c>
      <c r="AA16" s="38">
        <f>DATA!K16/$AB$1</f>
        <v>0.62243354575563392</v>
      </c>
    </row>
    <row r="17" spans="1:27" s="8" customFormat="1" x14ac:dyDescent="0.25">
      <c r="A17" s="8">
        <v>16</v>
      </c>
      <c r="B17" s="7">
        <f>(DATA!H18-DATA!H17)/DATA!H17</f>
        <v>-1.8062329503182609E-2</v>
      </c>
      <c r="C17" s="7">
        <f>(DATA!I18-DATA!I17)/DATA!I17</f>
        <v>-4.1343822600781836E-3</v>
      </c>
      <c r="D17" s="7">
        <f>(DATA!J18-DATA!J17)/DATA!J17</f>
        <v>-3.032822007027166E-2</v>
      </c>
      <c r="E17" s="7">
        <f>(DATA!K18-DATA!K17)/DATA!K17</f>
        <v>-5.5968851065374642E-4</v>
      </c>
      <c r="F17" s="7">
        <f t="shared" si="4"/>
        <v>7.670786843794708E-2</v>
      </c>
      <c r="G17" s="7">
        <f t="shared" si="5"/>
        <v>6.938094167219766E-2</v>
      </c>
      <c r="H17" s="7">
        <f t="shared" si="6"/>
        <v>8.6697249472935722E-2</v>
      </c>
      <c r="I17" s="7">
        <f t="shared" si="7"/>
        <v>7.4482562707587865E-2</v>
      </c>
      <c r="J17" s="37"/>
      <c r="K17" s="37"/>
      <c r="L17" s="37"/>
      <c r="M17" s="37"/>
      <c r="N17" s="37"/>
      <c r="O17" s="37"/>
      <c r="P17" s="37"/>
      <c r="Q17" s="37"/>
      <c r="R17" s="37"/>
      <c r="S17" s="38">
        <f>SLOPE(DATA!H13:H17,A13:A17)/AVERAGE(DATA!H13:H17)</f>
        <v>-9.1765823517437096E-3</v>
      </c>
      <c r="T17" s="37"/>
      <c r="U17" s="38">
        <f>DATA!H17/DATA!J17</f>
        <v>0.41467135144399692</v>
      </c>
      <c r="V17" s="58">
        <f>DATA!I17/DATA!J17</f>
        <v>3.1479492672893992</v>
      </c>
      <c r="W17" s="58">
        <f>DATA!K17/DATA!J17</f>
        <v>2.8326420430199675</v>
      </c>
      <c r="X17" s="38">
        <f>DATA!H17/$AB$1</f>
        <v>8.7159249358347041E-2</v>
      </c>
      <c r="Y17" s="38">
        <f>DATA!I17/$AB$1</f>
        <v>0.66166349375152778</v>
      </c>
      <c r="Z17" s="38">
        <f>DATA!J17/$AB$1</f>
        <v>0.21018874116775887</v>
      </c>
      <c r="AA17" s="38">
        <f>DATA!K17/$AB$1</f>
        <v>0.59538946520123559</v>
      </c>
    </row>
    <row r="18" spans="1:27" s="8" customFormat="1" x14ac:dyDescent="0.25">
      <c r="A18" s="8">
        <v>17</v>
      </c>
      <c r="B18" s="7">
        <f>(DATA!H19-DATA!H18)/DATA!H18</f>
        <v>1.9994107000042092E-2</v>
      </c>
      <c r="C18" s="7">
        <f>(DATA!I19-DATA!I18)/DATA!I18</f>
        <v>-1.9059607917105724E-2</v>
      </c>
      <c r="D18" s="7">
        <f>(DATA!J19-DATA!J18)/DATA!J18</f>
        <v>-3.1382842396443691E-2</v>
      </c>
      <c r="E18" s="7">
        <f>(DATA!K19-DATA!K18)/DATA!K18</f>
        <v>-1.7856494206250226E-2</v>
      </c>
      <c r="F18" s="7">
        <f t="shared" si="4"/>
        <v>5.8645538934764471E-2</v>
      </c>
      <c r="G18" s="7">
        <f t="shared" si="5"/>
        <v>6.5246559412119473E-2</v>
      </c>
      <c r="H18" s="7">
        <f t="shared" si="6"/>
        <v>5.6369029402664063E-2</v>
      </c>
      <c r="I18" s="7">
        <f t="shared" si="7"/>
        <v>7.3922874196934121E-2</v>
      </c>
      <c r="J18" s="37"/>
      <c r="K18" s="37"/>
      <c r="L18" s="37"/>
      <c r="M18" s="37"/>
      <c r="N18" s="37"/>
      <c r="O18" s="37"/>
      <c r="P18" s="37"/>
      <c r="Q18" s="37"/>
      <c r="R18" s="37"/>
      <c r="S18" s="38">
        <f>SLOPE(DATA!H14:H18,A14:A18)/AVERAGE(DATA!H14:H18)</f>
        <v>-1.8284510044570764E-2</v>
      </c>
      <c r="T18" s="37"/>
      <c r="U18" s="38">
        <f>DATA!H18/DATA!J18</f>
        <v>0.41991674841583371</v>
      </c>
      <c r="V18" s="58">
        <f>DATA!I18/DATA!J18</f>
        <v>3.2329851260704721</v>
      </c>
      <c r="W18" s="58">
        <f>DATA!K18/DATA!J18</f>
        <v>2.9196030083693469</v>
      </c>
      <c r="X18" s="38">
        <f>DATA!H18/$AB$1</f>
        <v>8.5584950277186517E-2</v>
      </c>
      <c r="Y18" s="38">
        <f>DATA!I18/$AB$1</f>
        <v>0.65892792394082011</v>
      </c>
      <c r="Z18" s="38">
        <f>DATA!J18/$AB$1</f>
        <v>0.20381409076932971</v>
      </c>
      <c r="AA18" s="38">
        <f>DATA!K18/$AB$1</f>
        <v>0.59505623255819828</v>
      </c>
    </row>
    <row r="19" spans="1:27" s="8" customFormat="1" x14ac:dyDescent="0.25">
      <c r="A19" s="8">
        <v>18</v>
      </c>
      <c r="B19" s="7">
        <f>(DATA!H20-DATA!H19)/DATA!H19</f>
        <v>4.9995873225486959E-2</v>
      </c>
      <c r="C19" s="7">
        <f>(DATA!I20-DATA!I19)/DATA!I19</f>
        <v>-1.4032591393678353E-2</v>
      </c>
      <c r="D19" s="7">
        <f>(DATA!J20-DATA!J19)/DATA!J19</f>
        <v>-1.302007299270073E-2</v>
      </c>
      <c r="E19" s="7">
        <f>(DATA!K20-DATA!K19)/DATA!K19</f>
        <v>-1.3863162144752618E-2</v>
      </c>
      <c r="F19" s="7">
        <f t="shared" si="4"/>
        <v>7.863964593480656E-2</v>
      </c>
      <c r="G19" s="7">
        <f t="shared" si="5"/>
        <v>4.6186951495013749E-2</v>
      </c>
      <c r="H19" s="7">
        <f t="shared" si="6"/>
        <v>2.4986187006220371E-2</v>
      </c>
      <c r="I19" s="7">
        <f t="shared" si="7"/>
        <v>5.6066379990683896E-2</v>
      </c>
      <c r="J19" s="37"/>
      <c r="K19" s="37"/>
      <c r="L19" s="37"/>
      <c r="M19" s="37"/>
      <c r="N19" s="37"/>
      <c r="O19" s="37"/>
      <c r="P19" s="37"/>
      <c r="Q19" s="37"/>
      <c r="R19" s="37"/>
      <c r="S19" s="38">
        <f>SLOPE(DATA!H15:H19,A15:A19)/AVERAGE(DATA!H15:H19)</f>
        <v>-1.3727521947717111E-2</v>
      </c>
      <c r="T19" s="37"/>
      <c r="U19" s="38">
        <f>DATA!H19/DATA!J19</f>
        <v>0.44218978102189782</v>
      </c>
      <c r="V19" s="58">
        <f>DATA!I19/DATA!J19</f>
        <v>3.2741167883211681</v>
      </c>
      <c r="W19" s="58">
        <f>DATA!K19/DATA!J19</f>
        <v>2.9603740875912408</v>
      </c>
      <c r="X19" s="38">
        <f>DATA!H19/$AB$1</f>
        <v>8.7296144930621877E-2</v>
      </c>
      <c r="Y19" s="38">
        <f>DATA!I19/$AB$1</f>
        <v>0.64636901606487562</v>
      </c>
      <c r="Z19" s="38">
        <f>DATA!J19/$AB$1</f>
        <v>0.19741782528054139</v>
      </c>
      <c r="AA19" s="38">
        <f>DATA!K19/$AB$1</f>
        <v>0.58443061438912969</v>
      </c>
    </row>
    <row r="20" spans="1:27" s="8" customFormat="1" x14ac:dyDescent="0.25">
      <c r="A20" s="8">
        <v>19</v>
      </c>
      <c r="B20" s="7">
        <f>(DATA!H21-DATA!H20)/DATA!H20</f>
        <v>4.9993122015445986E-2</v>
      </c>
      <c r="C20" s="7">
        <f>(DATA!I21-DATA!I20)/DATA!I20</f>
        <v>1.6957516752744532E-2</v>
      </c>
      <c r="D20" s="7">
        <f>(DATA!J21-DATA!J20)/DATA!J20</f>
        <v>1.664925628391558E-2</v>
      </c>
      <c r="E20" s="7">
        <f>(DATA!K21-DATA!K20)/DATA!K20</f>
        <v>1.7058435612062797E-2</v>
      </c>
      <c r="F20" s="7">
        <f t="shared" si="4"/>
        <v>0.12863551916029353</v>
      </c>
      <c r="G20" s="7">
        <f t="shared" si="5"/>
        <v>3.2154360101335398E-2</v>
      </c>
      <c r="H20" s="7">
        <f t="shared" si="6"/>
        <v>1.1966114013519642E-2</v>
      </c>
      <c r="I20" s="7">
        <f t="shared" si="7"/>
        <v>4.2203217845931278E-2</v>
      </c>
      <c r="J20" s="37"/>
      <c r="K20" s="37"/>
      <c r="L20" s="37"/>
      <c r="M20" s="38"/>
      <c r="N20" s="37"/>
      <c r="O20" s="37"/>
      <c r="P20" s="37"/>
      <c r="Q20" s="37"/>
      <c r="R20" s="37"/>
      <c r="S20" s="38">
        <f>SLOPE(DATA!H16:H20,A16:A20)/AVERAGE(DATA!H16:H20)</f>
        <v>2.3330143930294579E-3</v>
      </c>
      <c r="T20" s="37"/>
      <c r="U20" s="38">
        <f>DATA!H20/DATA!J20</f>
        <v>0.47042237896702505</v>
      </c>
      <c r="V20" s="58">
        <f>DATA!I20/DATA!J20</f>
        <v>3.2707579525389887</v>
      </c>
      <c r="W20" s="58">
        <f>DATA!K20/DATA!J20</f>
        <v>2.9578453033566601</v>
      </c>
      <c r="X20" s="38">
        <f>DATA!H20/$AB$1</f>
        <v>9.1660591925646975E-2</v>
      </c>
      <c r="Y20" s="38">
        <f>DATA!I20/$AB$1</f>
        <v>0.63729878377290328</v>
      </c>
      <c r="Z20" s="38">
        <f>DATA!J20/$AB$1</f>
        <v>0.19484743078532848</v>
      </c>
      <c r="AA20" s="38">
        <f>DATA!K20/$AB$1</f>
        <v>0.57632855801949578</v>
      </c>
    </row>
    <row r="21" spans="1:27" s="8" customFormat="1" x14ac:dyDescent="0.25">
      <c r="A21" s="8">
        <v>20</v>
      </c>
      <c r="B21" s="7">
        <f>(DATA!H22-DATA!H21)/DATA!H21</f>
        <v>4.6527296887574628E-2</v>
      </c>
      <c r="C21" s="7">
        <f>(DATA!I22-DATA!I21)/DATA!I21</f>
        <v>4.4031334541757582E-2</v>
      </c>
      <c r="D21" s="7">
        <f>(DATA!J22-DATA!J21)/DATA!J21</f>
        <v>4.1655300343717609E-2</v>
      </c>
      <c r="E21" s="7">
        <f>(DATA!K22-DATA!K21)/DATA!K21</f>
        <v>4.3869865434196735E-2</v>
      </c>
      <c r="F21" s="7">
        <f t="shared" si="4"/>
        <v>0.17862864117573951</v>
      </c>
      <c r="G21" s="7">
        <f t="shared" si="5"/>
        <v>4.9111876854079931E-2</v>
      </c>
      <c r="H21" s="7">
        <f t="shared" si="6"/>
        <v>2.8615370297435223E-2</v>
      </c>
      <c r="I21" s="7">
        <f t="shared" si="7"/>
        <v>5.9261653457994071E-2</v>
      </c>
      <c r="J21" s="38">
        <f>CORREL(B2:B21,C2:C21)</f>
        <v>0.49264292705894985</v>
      </c>
      <c r="K21" s="38">
        <f>CORREL(B2:B21,D2:D21)</f>
        <v>0.52571333762819872</v>
      </c>
      <c r="L21" s="38">
        <f>CORREL(B2:B21,E2:E21)</f>
        <v>0.4685503521425457</v>
      </c>
      <c r="M21" s="38">
        <f>SLOPE(B2:B21,C2:C21)</f>
        <v>0.75369197821569545</v>
      </c>
      <c r="N21" s="38">
        <f>SLOPE(B2:B21,D2:D21)</f>
        <v>0.71368050752819323</v>
      </c>
      <c r="O21" s="38">
        <f>SLOPE(B2:B21,E2:E21)</f>
        <v>0.72406986895002012</v>
      </c>
      <c r="P21" s="38">
        <f>AVERAGE(B2:B21)-M21*AVERAGE(C2:C21)</f>
        <v>7.7477323404511319E-3</v>
      </c>
      <c r="Q21" s="38">
        <f>AVERAGE(B2:B21)-N21*AVERAGE(D2:D21)</f>
        <v>8.7502565087894824E-3</v>
      </c>
      <c r="R21" s="38">
        <f>AVERAGE(B2:B21)-O21*AVERAGE(E2:E21)</f>
        <v>7.5240756347214506E-3</v>
      </c>
      <c r="S21" s="38">
        <f>SLOPE(DATA!H17:H21,A17:A21)/AVERAGE(DATA!H17:H21)</f>
        <v>2.7060446188737514E-2</v>
      </c>
      <c r="T21" s="38">
        <f>SLOPE(DATA!H2:H21,A2:A21)/AVERAGE(DATA!H2:H21)</f>
        <v>6.2338389507558293E-3</v>
      </c>
      <c r="U21" s="38">
        <f>DATA!H21/DATA!J21</f>
        <v>0.48585120119300923</v>
      </c>
      <c r="V21" s="58">
        <f>DATA!I21/DATA!J21</f>
        <v>3.2717496862894868</v>
      </c>
      <c r="W21" s="58">
        <f>DATA!K21/DATA!J21</f>
        <v>2.9590357720915854</v>
      </c>
      <c r="X21" s="38">
        <f>DATA!H21/$AB$1</f>
        <v>9.6242991081793849E-2</v>
      </c>
      <c r="Y21" s="38">
        <f>DATA!I21/$AB$1</f>
        <v>0.64810578857523604</v>
      </c>
      <c r="Z21" s="38">
        <f>DATA!J21/$AB$1</f>
        <v>0.19809149559673592</v>
      </c>
      <c r="AA21" s="38">
        <f>DATA!K21/$AB$1</f>
        <v>0.5861598216178644</v>
      </c>
    </row>
    <row r="22" spans="1:27" x14ac:dyDescent="0.25">
      <c r="A22" s="8">
        <v>21</v>
      </c>
      <c r="B22" s="7">
        <f>(DATA!H23-DATA!H22)/DATA!H22</f>
        <v>3.7394710016631791E-2</v>
      </c>
      <c r="C22" s="7">
        <f>(DATA!I23-DATA!I22)/DATA!I22</f>
        <v>4.3626224610022864E-2</v>
      </c>
      <c r="D22" s="7">
        <f>(DATA!J23-DATA!J22)/DATA!J22</f>
        <v>3.8138885251625856E-2</v>
      </c>
      <c r="E22" s="7">
        <f>(DATA!K23-DATA!K22)/DATA!K22</f>
        <v>4.3839584566064065E-2</v>
      </c>
      <c r="F22" s="7">
        <f t="shared" si="4"/>
        <v>0.22515593806331413</v>
      </c>
      <c r="G22" s="7">
        <f t="shared" si="5"/>
        <v>9.3143211395837505E-2</v>
      </c>
      <c r="H22" s="7">
        <f t="shared" si="6"/>
        <v>7.0270670641152833E-2</v>
      </c>
      <c r="I22" s="7">
        <f t="shared" si="7"/>
        <v>0.1031315188921908</v>
      </c>
      <c r="J22" s="38">
        <f t="shared" ref="J22:J60" si="8">CORREL(B3:B22,C3:C22)</f>
        <v>0.52654108148940115</v>
      </c>
      <c r="K22" s="38">
        <f>CORREL(B3:B22,D3:D22)</f>
        <v>0.55672169847627306</v>
      </c>
      <c r="L22" s="38">
        <f>CORREL(B3:B22,E3:E22)</f>
        <v>0.50544826895225192</v>
      </c>
      <c r="M22" s="38">
        <f>SLOPE(B3:B22,C3:C22)</f>
        <v>0.7376495272463911</v>
      </c>
      <c r="N22" s="38">
        <f>SLOPE(B3:B22,D3:D22)</f>
        <v>0.71927365418880351</v>
      </c>
      <c r="O22" s="38">
        <f t="shared" ref="O22:O60" si="9">SLOPE(B3:B22,E3:E22)</f>
        <v>0.71471425254676513</v>
      </c>
      <c r="P22" s="38">
        <f t="shared" ref="P22:P60" si="10">AVERAGE(B3:B22)-M22*AVERAGE(C3:C22)</f>
        <v>7.6370627665205588E-3</v>
      </c>
      <c r="Q22" s="38">
        <f t="shared" ref="Q22:Q60" si="11">AVERAGE(B3:B22)-N22*AVERAGE(D3:D22)</f>
        <v>8.8780712979633584E-3</v>
      </c>
      <c r="R22" s="38">
        <f t="shared" ref="R22:R60" si="12">AVERAGE(B3:B22)-O22*AVERAGE(E3:E22)</f>
        <v>7.4578580159496742E-3</v>
      </c>
      <c r="S22" s="38">
        <f>SLOPE(DATA!H18:H22,A18:A22)/AVERAGE(DATA!H18:H22)</f>
        <v>4.2490037585914846E-2</v>
      </c>
      <c r="T22" s="38">
        <f>SLOPE(DATA!H3:H22,A3:A22)/AVERAGE(DATA!H3:H22)</f>
        <v>7.2414522987161861E-3</v>
      </c>
      <c r="U22" s="38">
        <f>DATA!H22/DATA!J22</f>
        <v>0.48812360874689015</v>
      </c>
      <c r="V22" s="58">
        <f>DATA!I22/DATA!J22</f>
        <v>3.2792126052987647</v>
      </c>
      <c r="W22" s="58">
        <f>DATA!K22/DATA!J22</f>
        <v>2.9653266989655624</v>
      </c>
      <c r="X22" s="38">
        <f>DATA!H22/$AB$1</f>
        <v>0.10072091730120467</v>
      </c>
      <c r="Y22" s="38">
        <f>DATA!I22/$AB$1</f>
        <v>0.67664275137044183</v>
      </c>
      <c r="Z22" s="38">
        <f>DATA!J22/$AB$1</f>
        <v>0.20634305634135416</v>
      </c>
      <c r="AA22" s="38">
        <f>DATA!K22/$AB$1</f>
        <v>0.61187457411517276</v>
      </c>
    </row>
    <row r="23" spans="1:27" x14ac:dyDescent="0.25">
      <c r="A23" s="8">
        <v>22</v>
      </c>
      <c r="B23" s="7">
        <f>(DATA!H24-DATA!H23)/DATA!H23</f>
        <v>3.4322852020410979E-2</v>
      </c>
      <c r="C23" s="7">
        <f>(DATA!I24-DATA!I23)/DATA!I23</f>
        <v>9.8821952135299835E-3</v>
      </c>
      <c r="D23" s="7">
        <f>(DATA!J24-DATA!J23)/DATA!J23</f>
        <v>1.4000538158824122E-2</v>
      </c>
      <c r="E23" s="7">
        <f>(DATA!K24-DATA!K23)/DATA!K23</f>
        <v>7.8204097748071685E-3</v>
      </c>
      <c r="F23" s="7">
        <f t="shared" si="4"/>
        <v>0.26255064807994594</v>
      </c>
      <c r="G23" s="7">
        <f t="shared" si="5"/>
        <v>0.13676943600586036</v>
      </c>
      <c r="H23" s="7">
        <f t="shared" si="6"/>
        <v>0.10840955589277869</v>
      </c>
      <c r="I23" s="7">
        <f t="shared" si="7"/>
        <v>0.14697110345825487</v>
      </c>
      <c r="J23" s="38">
        <f t="shared" si="8"/>
        <v>0.5285555033329814</v>
      </c>
      <c r="K23" s="38">
        <f t="shared" ref="K23:K60" si="13">CORREL(B4:B23,D4:D23)</f>
        <v>0.59723462881131173</v>
      </c>
      <c r="L23" s="38">
        <f t="shared" ref="L23:L60" si="14">CORREL(B4:B23,E4:E23)</f>
        <v>0.50028424124403648</v>
      </c>
      <c r="M23" s="38">
        <f t="shared" ref="M23:M60" si="15">SLOPE(B4:B23,C4:C23)</f>
        <v>0.71982558528776186</v>
      </c>
      <c r="N23" s="38">
        <f t="shared" ref="N23:N60" si="16">SLOPE(B4:B23,D4:D23)</f>
        <v>0.74573651827455534</v>
      </c>
      <c r="O23" s="38">
        <f t="shared" si="9"/>
        <v>0.68839252084873315</v>
      </c>
      <c r="P23" s="38">
        <f t="shared" si="10"/>
        <v>1.0211792034225842E-2</v>
      </c>
      <c r="Q23" s="38">
        <f t="shared" si="11"/>
        <v>1.1291127798413706E-2</v>
      </c>
      <c r="R23" s="38">
        <f t="shared" si="12"/>
        <v>1.0185881949040427E-2</v>
      </c>
      <c r="S23" s="38">
        <f>SLOPE(DATA!H19:H23,A19:A23)/AVERAGE(DATA!H19:H23)</f>
        <v>4.5214411320287806E-2</v>
      </c>
      <c r="T23" s="38">
        <f>SLOPE(DATA!H4:H23,A4:A23)/AVERAGE(DATA!H4:H23)</f>
        <v>8.6376547649668033E-3</v>
      </c>
      <c r="U23" s="38">
        <f>DATA!H23/DATA!J23</f>
        <v>0.48777370421445632</v>
      </c>
      <c r="V23" s="58">
        <f>DATA!I23/DATA!J23</f>
        <v>3.2965456930476611</v>
      </c>
      <c r="W23" s="58">
        <f>DATA!K23/DATA!J23</f>
        <v>2.9816101039319229</v>
      </c>
      <c r="X23" s="38">
        <f>DATA!H23/$AB$1</f>
        <v>0.10448734679629237</v>
      </c>
      <c r="Y23" s="38">
        <f>DATA!I23/$AB$1</f>
        <v>0.70616212002247258</v>
      </c>
      <c r="Z23" s="38">
        <f>DATA!J23/$AB$1</f>
        <v>0.21421275048962685</v>
      </c>
      <c r="AA23" s="38">
        <f>DATA!K23/$AB$1</f>
        <v>0.63869890125091933</v>
      </c>
    </row>
    <row r="24" spans="1:27" x14ac:dyDescent="0.25">
      <c r="A24" s="8">
        <v>23</v>
      </c>
      <c r="B24" s="7">
        <f>(DATA!H25-DATA!H24)/DATA!H24</f>
        <v>-3.6167269454490908E-3</v>
      </c>
      <c r="C24" s="7">
        <f>(DATA!I25-DATA!I24)/DATA!I24</f>
        <v>8.9229289494701901E-3</v>
      </c>
      <c r="D24" s="7">
        <f>(DATA!J25-DATA!J24)/DATA!J24</f>
        <v>1.1833583494348572E-2</v>
      </c>
      <c r="E24" s="7">
        <f>(DATA!K25-DATA!K24)/DATA!K24</f>
        <v>7.1133149390806977E-3</v>
      </c>
      <c r="F24" s="7">
        <f t="shared" si="4"/>
        <v>0.2968735001003569</v>
      </c>
      <c r="G24" s="7">
        <f t="shared" si="5"/>
        <v>0.14665163121939034</v>
      </c>
      <c r="H24" s="7">
        <f t="shared" si="6"/>
        <v>0.12241009405160282</v>
      </c>
      <c r="I24" s="7">
        <f t="shared" si="7"/>
        <v>0.15479151323306203</v>
      </c>
      <c r="J24" s="38">
        <f t="shared" si="8"/>
        <v>0.53035513712100735</v>
      </c>
      <c r="K24" s="38">
        <f t="shared" si="13"/>
        <v>0.57130299322951006</v>
      </c>
      <c r="L24" s="38">
        <f t="shared" si="14"/>
        <v>0.50567088194707754</v>
      </c>
      <c r="M24" s="38">
        <f t="shared" si="15"/>
        <v>0.71615906821545883</v>
      </c>
      <c r="N24" s="38">
        <f t="shared" si="16"/>
        <v>0.7097168233564437</v>
      </c>
      <c r="O24" s="38">
        <f t="shared" si="9"/>
        <v>0.69004348074192212</v>
      </c>
      <c r="P24" s="38">
        <f t="shared" si="10"/>
        <v>8.1073425969745185E-3</v>
      </c>
      <c r="Q24" s="38">
        <f t="shared" si="11"/>
        <v>9.5465883045614021E-3</v>
      </c>
      <c r="R24" s="38">
        <f t="shared" si="12"/>
        <v>8.1220858730553791E-3</v>
      </c>
      <c r="S24" s="38">
        <f>SLOPE(DATA!H20:H24,A20:A24)/AVERAGE(DATA!H20:H24)</f>
        <v>4.0973325378627239E-2</v>
      </c>
      <c r="T24" s="38">
        <f>SLOPE(DATA!H5:H24,A5:A24)/AVERAGE(DATA!H5:H24)</f>
        <v>9.8592935593123498E-3</v>
      </c>
      <c r="U24" s="38">
        <f>DATA!H24/DATA!J24</f>
        <v>0.49754952773470218</v>
      </c>
      <c r="V24" s="58">
        <f>DATA!I24/DATA!J24</f>
        <v>3.2831568385176091</v>
      </c>
      <c r="W24" s="58">
        <f>DATA!K24/DATA!J24</f>
        <v>2.9634377928335089</v>
      </c>
      <c r="X24" s="38">
        <f>DATA!H24/$AB$1</f>
        <v>0.10807365053838688</v>
      </c>
      <c r="Y24" s="38">
        <f>DATA!I24/$AB$1</f>
        <v>0.71314055194493486</v>
      </c>
      <c r="Z24" s="38">
        <f>DATA!J24/$AB$1</f>
        <v>0.21721184427696355</v>
      </c>
      <c r="AA24" s="38">
        <f>DATA!K24/$AB$1</f>
        <v>0.64369378838142066</v>
      </c>
    </row>
    <row r="25" spans="1:27" x14ac:dyDescent="0.25">
      <c r="A25" s="8">
        <v>24</v>
      </c>
      <c r="B25" s="7">
        <f>(DATA!H26-DATA!H25)/DATA!H25</f>
        <v>-2.8603927603626511E-3</v>
      </c>
      <c r="C25" s="7">
        <f>(DATA!I26-DATA!I25)/DATA!I25</f>
        <v>2.6329512451391996E-2</v>
      </c>
      <c r="D25" s="7">
        <f>(DATA!J26-DATA!J25)/DATA!J25</f>
        <v>3.2766194597429847E-2</v>
      </c>
      <c r="E25" s="7">
        <f>(DATA!K26-DATA!K25)/DATA!K25</f>
        <v>2.4706863017504861E-2</v>
      </c>
      <c r="F25" s="7">
        <f t="shared" si="4"/>
        <v>0.29325677315490783</v>
      </c>
      <c r="G25" s="7">
        <f t="shared" si="5"/>
        <v>0.15557456016886054</v>
      </c>
      <c r="H25" s="7">
        <f t="shared" si="6"/>
        <v>0.1342436775459514</v>
      </c>
      <c r="I25" s="7">
        <f t="shared" si="7"/>
        <v>0.16190482817214275</v>
      </c>
      <c r="J25" s="38">
        <f t="shared" si="8"/>
        <v>0.48782962741029834</v>
      </c>
      <c r="K25" s="38">
        <f t="shared" si="13"/>
        <v>0.51439827381177161</v>
      </c>
      <c r="L25" s="38">
        <f t="shared" si="14"/>
        <v>0.47124410252987115</v>
      </c>
      <c r="M25" s="38">
        <f t="shared" si="15"/>
        <v>0.63867458306646818</v>
      </c>
      <c r="N25" s="38">
        <f t="shared" si="16"/>
        <v>0.60884190818653594</v>
      </c>
      <c r="O25" s="38">
        <f t="shared" si="9"/>
        <v>0.62581758065166437</v>
      </c>
      <c r="P25" s="38">
        <f t="shared" si="10"/>
        <v>6.3549898399660638E-3</v>
      </c>
      <c r="Q25" s="38">
        <f t="shared" si="11"/>
        <v>7.4747190978311047E-3</v>
      </c>
      <c r="R25" s="38">
        <f t="shared" si="12"/>
        <v>6.3095726112640076E-3</v>
      </c>
      <c r="S25" s="38">
        <f>SLOPE(DATA!H21:H25,A21:A25)/AVERAGE(DATA!H21:H25)</f>
        <v>2.9226466808526939E-2</v>
      </c>
      <c r="T25" s="38">
        <f>SLOPE(DATA!H6:H25,A6:A25)/AVERAGE(DATA!H6:H25)</f>
        <v>1.1064659112272302E-2</v>
      </c>
      <c r="U25" s="38">
        <f>DATA!H25/DATA!J25</f>
        <v>0.48995213742460003</v>
      </c>
      <c r="V25" s="58">
        <f>DATA!I25/DATA!J25</f>
        <v>3.2737124639391553</v>
      </c>
      <c r="W25" s="58">
        <f>DATA!K25/DATA!J25</f>
        <v>2.9496131654864937</v>
      </c>
      <c r="X25" s="38">
        <f>DATA!H25/$AB$1</f>
        <v>0.10768277765439165</v>
      </c>
      <c r="Y25" s="38">
        <f>DATA!I25/$AB$1</f>
        <v>0.71950385442092546</v>
      </c>
      <c r="Z25" s="38">
        <f>DATA!J25/$AB$1</f>
        <v>0.21978223877217642</v>
      </c>
      <c r="AA25" s="38">
        <f>DATA!K25/$AB$1</f>
        <v>0.64827258502250762</v>
      </c>
    </row>
    <row r="26" spans="1:27" x14ac:dyDescent="0.25">
      <c r="A26" s="8">
        <v>25</v>
      </c>
      <c r="B26" s="7">
        <f>(DATA!H27-DATA!H26)/DATA!H26</f>
        <v>-9.1258324805824423E-3</v>
      </c>
      <c r="C26" s="7">
        <f>(DATA!I27-DATA!I26)/DATA!I26</f>
        <v>1.785529164252828E-3</v>
      </c>
      <c r="D26" s="7">
        <f>(DATA!J27-DATA!J26)/DATA!J26</f>
        <v>6.1342390528036569E-3</v>
      </c>
      <c r="E26" s="7">
        <f>(DATA!K27-DATA!K26)/DATA!K26</f>
        <v>1.4533937829454002E-3</v>
      </c>
      <c r="F26" s="7">
        <f t="shared" si="4"/>
        <v>0.29039638039454518</v>
      </c>
      <c r="G26" s="7">
        <f t="shared" si="5"/>
        <v>0.18190407262025254</v>
      </c>
      <c r="H26" s="7">
        <f t="shared" si="6"/>
        <v>0.16700987214338125</v>
      </c>
      <c r="I26" s="7">
        <f t="shared" si="7"/>
        <v>0.1866116911896476</v>
      </c>
      <c r="J26" s="38">
        <f t="shared" si="8"/>
        <v>0.49318137166455278</v>
      </c>
      <c r="K26" s="38">
        <f t="shared" si="13"/>
        <v>0.50862854996750007</v>
      </c>
      <c r="L26" s="38">
        <f t="shared" si="14"/>
        <v>0.47725625246864278</v>
      </c>
      <c r="M26" s="38">
        <f t="shared" si="15"/>
        <v>0.65413449223371689</v>
      </c>
      <c r="N26" s="38">
        <f t="shared" si="16"/>
        <v>0.61129387661019952</v>
      </c>
      <c r="O26" s="38">
        <f t="shared" si="9"/>
        <v>0.64150806263954885</v>
      </c>
      <c r="P26" s="38">
        <f t="shared" si="10"/>
        <v>5.7283128620268953E-3</v>
      </c>
      <c r="Q26" s="38">
        <f t="shared" si="11"/>
        <v>6.7559997618575939E-3</v>
      </c>
      <c r="R26" s="38">
        <f t="shared" si="12"/>
        <v>5.6496013193594275E-3</v>
      </c>
      <c r="S26" s="38">
        <f>SLOPE(DATA!H22:H26,A22:A26)/AVERAGE(DATA!H22:H26)</f>
        <v>1.5617915088453789E-2</v>
      </c>
      <c r="T26" s="38">
        <f>SLOPE(DATA!H7:H26,A7:A26)/AVERAGE(DATA!H7:H26)</f>
        <v>1.2280864067392009E-2</v>
      </c>
      <c r="U26" s="38">
        <f>DATA!H26/DATA!J26</f>
        <v>0.47305061342390525</v>
      </c>
      <c r="V26" s="58">
        <f>DATA!I26/DATA!J26</f>
        <v>3.2533091561255101</v>
      </c>
      <c r="W26" s="58">
        <f>DATA!K26/DATA!J26</f>
        <v>2.9265954576475628</v>
      </c>
      <c r="X26" s="38">
        <f>DATA!H26/$AB$1</f>
        <v>0.10737476261677328</v>
      </c>
      <c r="Y26" s="38">
        <f>DATA!I26/$AB$1</f>
        <v>0.73844804011472576</v>
      </c>
      <c r="Z26" s="38">
        <f>DATA!J26/$AB$1</f>
        <v>0.22698366637684436</v>
      </c>
      <c r="AA26" s="38">
        <f>DATA!K26/$AB$1</f>
        <v>0.66428936697866259</v>
      </c>
    </row>
    <row r="27" spans="1:27" x14ac:dyDescent="0.25">
      <c r="A27" s="8">
        <v>26</v>
      </c>
      <c r="B27" s="7">
        <f>(DATA!H28-DATA!H27)/DATA!H27</f>
        <v>-1.3611661333739651E-2</v>
      </c>
      <c r="C27" s="7">
        <f>(DATA!I28-DATA!I27)/DATA!I27</f>
        <v>-2.1590257478490988E-3</v>
      </c>
      <c r="D27" s="7">
        <f>(DATA!J28-DATA!J27)/DATA!J27</f>
        <v>1.0277078880326848E-2</v>
      </c>
      <c r="E27" s="7">
        <f>(DATA!K28-DATA!K27)/DATA!K27</f>
        <v>-4.3700992072087681E-3</v>
      </c>
      <c r="F27" s="7">
        <f t="shared" si="4"/>
        <v>0.28127054791396272</v>
      </c>
      <c r="G27" s="7">
        <f t="shared" si="5"/>
        <v>0.18368960178450539</v>
      </c>
      <c r="H27" s="7">
        <f t="shared" si="6"/>
        <v>0.17314411119618492</v>
      </c>
      <c r="I27" s="7">
        <f t="shared" si="7"/>
        <v>0.188065084972593</v>
      </c>
      <c r="J27" s="38">
        <f t="shared" si="8"/>
        <v>0.50403865921476776</v>
      </c>
      <c r="K27" s="38">
        <f t="shared" si="13"/>
        <v>0.49274181155871605</v>
      </c>
      <c r="L27" s="38">
        <f t="shared" si="14"/>
        <v>0.49367992303223218</v>
      </c>
      <c r="M27" s="38">
        <f t="shared" si="15"/>
        <v>0.6768415515755597</v>
      </c>
      <c r="N27" s="38">
        <f t="shared" si="16"/>
        <v>0.60288262136170279</v>
      </c>
      <c r="O27" s="38">
        <f t="shared" si="9"/>
        <v>0.66945559904085061</v>
      </c>
      <c r="P27" s="38">
        <f t="shared" si="10"/>
        <v>5.1389919749127329E-3</v>
      </c>
      <c r="Q27" s="38">
        <f t="shared" si="11"/>
        <v>6.0115325951105745E-3</v>
      </c>
      <c r="R27" s="38">
        <f t="shared" si="12"/>
        <v>5.1228800649437429E-3</v>
      </c>
      <c r="S27" s="38">
        <f>SLOPE(DATA!H23:H27,A23:A27)/AVERAGE(DATA!H23:H27)</f>
        <v>2.9176940435191776E-3</v>
      </c>
      <c r="T27" s="38">
        <f>SLOPE(DATA!H8:H27,A8:A27)/AVERAGE(DATA!H8:H27)</f>
        <v>1.3083995281323701E-2</v>
      </c>
      <c r="U27" s="38">
        <f>DATA!H27/DATA!J27</f>
        <v>0.46587583900557628</v>
      </c>
      <c r="V27" s="58">
        <f>DATA!I27/DATA!J27</f>
        <v>3.2392477146710625</v>
      </c>
      <c r="W27" s="58">
        <f>DATA!K27/DATA!J27</f>
        <v>2.9129800373855366</v>
      </c>
      <c r="X27" s="38">
        <f>DATA!H27/$AB$1</f>
        <v>0.1063948785204903</v>
      </c>
      <c r="Y27" s="38">
        <f>DATA!I27/$AB$1</f>
        <v>0.73976656062663593</v>
      </c>
      <c r="Z27" s="38">
        <f>DATA!J27/$AB$1</f>
        <v>0.22837603844748175</v>
      </c>
      <c r="AA27" s="38">
        <f>DATA!K27/$AB$1</f>
        <v>0.66525484101470611</v>
      </c>
    </row>
    <row r="28" spans="1:27" x14ac:dyDescent="0.25">
      <c r="A28" s="8">
        <v>27</v>
      </c>
      <c r="B28" s="7">
        <f>(DATA!H29-DATA!H28)/DATA!H28</f>
        <v>-2.0184336542917462E-2</v>
      </c>
      <c r="C28" s="7">
        <f>(DATA!I29-DATA!I28)/DATA!I28</f>
        <v>-9.2699553302791338E-3</v>
      </c>
      <c r="D28" s="7">
        <f>(DATA!J29-DATA!J28)/DATA!J28</f>
        <v>1.0383324225154188E-2</v>
      </c>
      <c r="E28" s="7">
        <f>(DATA!K29-DATA!K28)/DATA!K28</f>
        <v>-9.8718025421931175E-3</v>
      </c>
      <c r="F28" s="7">
        <f t="shared" si="4"/>
        <v>0.26765888658022308</v>
      </c>
      <c r="G28" s="7">
        <f t="shared" si="5"/>
        <v>0.18153057603665629</v>
      </c>
      <c r="H28" s="7">
        <f t="shared" si="6"/>
        <v>0.18342119007651175</v>
      </c>
      <c r="I28" s="7">
        <f t="shared" si="7"/>
        <v>0.18369498576538423</v>
      </c>
      <c r="J28" s="38">
        <f t="shared" si="8"/>
        <v>0.54245137432282731</v>
      </c>
      <c r="K28" s="38">
        <f t="shared" si="13"/>
        <v>0.46024372186093121</v>
      </c>
      <c r="L28" s="38">
        <f t="shared" si="14"/>
        <v>0.53726892807730564</v>
      </c>
      <c r="M28" s="38">
        <f t="shared" si="15"/>
        <v>0.71879091697617548</v>
      </c>
      <c r="N28" s="38">
        <f t="shared" si="16"/>
        <v>0.56718690888841194</v>
      </c>
      <c r="O28" s="38">
        <f t="shared" si="9"/>
        <v>0.71784106248384127</v>
      </c>
      <c r="P28" s="38">
        <f t="shared" si="10"/>
        <v>5.3620511447284233E-3</v>
      </c>
      <c r="Q28" s="38">
        <f t="shared" si="11"/>
        <v>5.812018849001642E-3</v>
      </c>
      <c r="R28" s="38">
        <f t="shared" si="12"/>
        <v>5.361400505540335E-3</v>
      </c>
      <c r="S28" s="38">
        <f>SLOPE(DATA!H24:H28,A24:A28)/AVERAGE(DATA!H24:H28)</f>
        <v>-7.0554256172444237E-3</v>
      </c>
      <c r="T28" s="38">
        <f>SLOPE(DATA!H9:H28,A9:A28)/AVERAGE(DATA!H9:H28)</f>
        <v>1.3368590298044169E-2</v>
      </c>
      <c r="U28" s="38">
        <f>DATA!H28/DATA!J28</f>
        <v>0.45485986415801388</v>
      </c>
      <c r="V28" s="58">
        <f>DATA!I28/DATA!J28</f>
        <v>3.1993738777422123</v>
      </c>
      <c r="W28" s="58">
        <f>DATA!K28/DATA!J28</f>
        <v>2.8707471309235695</v>
      </c>
      <c r="X28" s="38">
        <f>DATA!H28/$AB$1</f>
        <v>0.10494666746642502</v>
      </c>
      <c r="Y28" s="38">
        <f>DATA!I28/$AB$1</f>
        <v>0.73816938557484524</v>
      </c>
      <c r="Z28" s="38">
        <f>DATA!J28/$AB$1</f>
        <v>0.23072307700898306</v>
      </c>
      <c r="AA28" s="38">
        <f>DATA!K28/$AB$1</f>
        <v>0.66234761136139586</v>
      </c>
    </row>
    <row r="29" spans="1:27" x14ac:dyDescent="0.25">
      <c r="A29" s="8">
        <v>28</v>
      </c>
      <c r="B29" s="7">
        <f>(DATA!H30-DATA!H29)/DATA!H29</f>
        <v>1.8270359276192479E-2</v>
      </c>
      <c r="C29" s="7">
        <f>(DATA!I30-DATA!I29)/DATA!I29</f>
        <v>1.2814004816150524E-2</v>
      </c>
      <c r="D29" s="7">
        <f>(DATA!J30-DATA!J29)/DATA!J29</f>
        <v>1.8776077885952713E-2</v>
      </c>
      <c r="E29" s="7">
        <f>(DATA!K30-DATA!K29)/DATA!K29</f>
        <v>1.2810230606123862E-2</v>
      </c>
      <c r="F29" s="7">
        <f t="shared" si="4"/>
        <v>0.24747455003730562</v>
      </c>
      <c r="G29" s="7">
        <f t="shared" si="5"/>
        <v>0.17226062070637715</v>
      </c>
      <c r="H29" s="7">
        <f t="shared" si="6"/>
        <v>0.19380451430166595</v>
      </c>
      <c r="I29" s="7">
        <f t="shared" si="7"/>
        <v>0.17382318322319112</v>
      </c>
      <c r="J29" s="38">
        <f t="shared" si="8"/>
        <v>0.54533446946708852</v>
      </c>
      <c r="K29" s="38">
        <f t="shared" si="13"/>
        <v>0.46495813429555966</v>
      </c>
      <c r="L29" s="38">
        <f t="shared" si="14"/>
        <v>0.53923995548380577</v>
      </c>
      <c r="M29" s="38">
        <f t="shared" si="15"/>
        <v>0.72006263755785649</v>
      </c>
      <c r="N29" s="38">
        <f t="shared" si="16"/>
        <v>0.56840473277210291</v>
      </c>
      <c r="O29" s="38">
        <f t="shared" si="9"/>
        <v>0.71812500640146593</v>
      </c>
      <c r="P29" s="38">
        <f t="shared" si="10"/>
        <v>5.1001987666330429E-3</v>
      </c>
      <c r="Q29" s="38">
        <f t="shared" si="11"/>
        <v>5.4338107531139669E-3</v>
      </c>
      <c r="R29" s="38">
        <f t="shared" si="12"/>
        <v>5.146353183952599E-3</v>
      </c>
      <c r="S29" s="38">
        <f>SLOPE(DATA!H25:H29,A25:A29)/AVERAGE(DATA!H25:H29)</f>
        <v>-1.1466594057384023E-2</v>
      </c>
      <c r="T29" s="38">
        <f>SLOPE(DATA!H10:H29,A10:A29)/AVERAGE(DATA!H10:H29)</f>
        <v>1.2781846780253453E-2</v>
      </c>
      <c r="U29" s="38">
        <f>DATA!H29/DATA!J29</f>
        <v>0.44109874826147427</v>
      </c>
      <c r="V29" s="58">
        <f>DATA!I29/DATA!J29</f>
        <v>3.1371418636995831</v>
      </c>
      <c r="W29" s="58">
        <f>DATA!K29/DATA!J29</f>
        <v>2.813197341987328</v>
      </c>
      <c r="X29" s="38">
        <f>DATA!H29/$AB$1</f>
        <v>0.10282838861122505</v>
      </c>
      <c r="Y29" s="38">
        <f>DATA!I29/$AB$1</f>
        <v>0.73132658834438691</v>
      </c>
      <c r="Z29" s="38">
        <f>DATA!J29/$AB$1</f>
        <v>0.23311874952379255</v>
      </c>
      <c r="AA29" s="38">
        <f>DATA!K29/$AB$1</f>
        <v>0.65580904652774297</v>
      </c>
    </row>
    <row r="30" spans="1:27" x14ac:dyDescent="0.25">
      <c r="A30" s="8">
        <v>29</v>
      </c>
      <c r="B30" s="7">
        <f>(DATA!H31-DATA!H30)/DATA!H30</f>
        <v>-1.0442112506451058E-2</v>
      </c>
      <c r="C30" s="7">
        <f>(DATA!I31-DATA!I30)/DATA!I30</f>
        <v>1.408131825107037E-2</v>
      </c>
      <c r="D30" s="7">
        <f>(DATA!J31-DATA!J30)/DATA!J30</f>
        <v>2.7993932499051952E-2</v>
      </c>
      <c r="E30" s="7">
        <f>(DATA!K31-DATA!K30)/DATA!K30</f>
        <v>1.4334993003351882E-2</v>
      </c>
      <c r="F30" s="7">
        <f t="shared" si="4"/>
        <v>0.26574490931349809</v>
      </c>
      <c r="G30" s="7">
        <f t="shared" si="5"/>
        <v>0.18507462552252768</v>
      </c>
      <c r="H30" s="7">
        <f t="shared" si="6"/>
        <v>0.21258059218761866</v>
      </c>
      <c r="I30" s="7">
        <f t="shared" si="7"/>
        <v>0.18663341382931498</v>
      </c>
      <c r="J30" s="38">
        <f t="shared" si="8"/>
        <v>0.51332672717307037</v>
      </c>
      <c r="K30" s="38">
        <f t="shared" si="13"/>
        <v>0.4171607601295777</v>
      </c>
      <c r="L30" s="38">
        <f t="shared" si="14"/>
        <v>0.50580246067539936</v>
      </c>
      <c r="M30" s="38">
        <f t="shared" si="15"/>
        <v>0.68009103307962659</v>
      </c>
      <c r="N30" s="38">
        <f t="shared" si="16"/>
        <v>0.49954834023953787</v>
      </c>
      <c r="O30" s="38">
        <f t="shared" si="9"/>
        <v>0.67604982010075099</v>
      </c>
      <c r="P30" s="38">
        <f t="shared" si="10"/>
        <v>4.7759063257812387E-3</v>
      </c>
      <c r="Q30" s="38">
        <f t="shared" si="11"/>
        <v>5.4260097563688754E-3</v>
      </c>
      <c r="R30" s="38">
        <f t="shared" si="12"/>
        <v>4.8160112125304067E-3</v>
      </c>
      <c r="S30" s="38">
        <f>SLOPE(DATA!H26:H30,A26:A30)/AVERAGE(DATA!H26:H30)</f>
        <v>-8.4577523121050942E-3</v>
      </c>
      <c r="T30" s="38">
        <f>SLOPE(DATA!H11:H30,A11:A30)/AVERAGE(DATA!H11:H30)</f>
        <v>1.2481511289773572E-2</v>
      </c>
      <c r="U30" s="38">
        <f>DATA!H30/DATA!J30</f>
        <v>0.44087978763746682</v>
      </c>
      <c r="V30" s="58">
        <f>DATA!I30/DATA!J30</f>
        <v>3.118782707622298</v>
      </c>
      <c r="W30" s="58">
        <f>DATA!K30/DATA!J30</f>
        <v>2.7967235494880547</v>
      </c>
      <c r="X30" s="38">
        <f>DATA!H30/$AB$1</f>
        <v>0.10470710021494407</v>
      </c>
      <c r="Y30" s="38">
        <f>DATA!I30/$AB$1</f>
        <v>0.74069781076961072</v>
      </c>
      <c r="Z30" s="38">
        <f>DATA!J30/$AB$1</f>
        <v>0.2374958053215272</v>
      </c>
      <c r="AA30" s="38">
        <f>DATA!K30/$AB$1</f>
        <v>0.66421011164734556</v>
      </c>
    </row>
    <row r="31" spans="1:27" x14ac:dyDescent="0.25">
      <c r="A31" s="8">
        <v>30</v>
      </c>
      <c r="B31" s="7">
        <f>(DATA!H32-DATA!H31)/DATA!H31</f>
        <v>5.0066929749839192E-3</v>
      </c>
      <c r="C31" s="7">
        <f>(DATA!I32-DATA!I31)/DATA!I31</f>
        <v>3.1429113392528346E-3</v>
      </c>
      <c r="D31" s="7">
        <f>(DATA!J32-DATA!J31)/DATA!J31</f>
        <v>1.3221091772969065E-2</v>
      </c>
      <c r="E31" s="7">
        <f>(DATA!K32-DATA!K31)/DATA!K31</f>
        <v>2.9997272975184073E-3</v>
      </c>
      <c r="F31" s="7">
        <f t="shared" si="4"/>
        <v>0.25530279680704704</v>
      </c>
      <c r="G31" s="7">
        <f t="shared" si="5"/>
        <v>0.19915594377359805</v>
      </c>
      <c r="H31" s="7">
        <f t="shared" si="6"/>
        <v>0.24057452468667062</v>
      </c>
      <c r="I31" s="7">
        <f t="shared" si="7"/>
        <v>0.20096840683266687</v>
      </c>
      <c r="J31" s="38">
        <f t="shared" si="8"/>
        <v>0.50384826582967712</v>
      </c>
      <c r="K31" s="38">
        <f t="shared" si="13"/>
        <v>0.38664343542936885</v>
      </c>
      <c r="L31" s="38">
        <f t="shared" si="14"/>
        <v>0.49926376749407808</v>
      </c>
      <c r="M31" s="38">
        <f t="shared" si="15"/>
        <v>0.63895793659248801</v>
      </c>
      <c r="N31" s="38">
        <f t="shared" si="16"/>
        <v>0.44606299861878068</v>
      </c>
      <c r="O31" s="38">
        <f t="shared" si="9"/>
        <v>0.63772536579630967</v>
      </c>
      <c r="P31" s="38">
        <f t="shared" si="10"/>
        <v>3.5413569092768481E-3</v>
      </c>
      <c r="Q31" s="38">
        <f t="shared" si="11"/>
        <v>4.143131446455897E-3</v>
      </c>
      <c r="R31" s="38">
        <f t="shared" si="12"/>
        <v>3.5262125448501727E-3</v>
      </c>
      <c r="S31" s="38">
        <f>SLOPE(DATA!H27:H31,A27:A31)/AVERAGE(DATA!H27:H31)</f>
        <v>-5.5521081118350751E-3</v>
      </c>
      <c r="T31" s="38">
        <f>SLOPE(DATA!H12:H31,A12:A31)/AVERAGE(DATA!H12:H31)</f>
        <v>1.1603393562887773E-2</v>
      </c>
      <c r="U31" s="38">
        <f>DATA!H31/DATA!J31</f>
        <v>0.42439557034402875</v>
      </c>
      <c r="V31" s="58">
        <f>DATA!I31/DATA!J31</f>
        <v>3.0765738780147704</v>
      </c>
      <c r="W31" s="58">
        <f>DATA!K31/DATA!J31</f>
        <v>2.7595635269032988</v>
      </c>
      <c r="X31" s="38">
        <f>DATA!H31/$AB$1</f>
        <v>0.10361373689427537</v>
      </c>
      <c r="Y31" s="38">
        <f>DATA!I31/$AB$1</f>
        <v>0.75112781237092874</v>
      </c>
      <c r="Z31" s="38">
        <f>DATA!J31/$AB$1</f>
        <v>0.244144246864506</v>
      </c>
      <c r="AA31" s="38">
        <f>DATA!K31/$AB$1</f>
        <v>0.6737315589505658</v>
      </c>
    </row>
    <row r="32" spans="1:27" x14ac:dyDescent="0.25">
      <c r="A32" s="8">
        <v>31</v>
      </c>
      <c r="B32" s="7">
        <f>(DATA!H33-DATA!H32)/DATA!H32</f>
        <v>-2.7555309543166526E-2</v>
      </c>
      <c r="C32" s="7">
        <f>(DATA!I33-DATA!I32)/DATA!I32</f>
        <v>5.63095771701778E-3</v>
      </c>
      <c r="D32" s="7">
        <f>(DATA!J33-DATA!J32)/DATA!J32</f>
        <v>6.5679771067405504E-3</v>
      </c>
      <c r="E32" s="7">
        <f>(DATA!K33-DATA!K32)/DATA!K32</f>
        <v>4.8726396485728601E-3</v>
      </c>
      <c r="F32" s="7">
        <f t="shared" si="4"/>
        <v>0.26030948978203095</v>
      </c>
      <c r="G32" s="7">
        <f t="shared" si="5"/>
        <v>0.20229885511285089</v>
      </c>
      <c r="H32" s="7">
        <f t="shared" si="6"/>
        <v>0.25379561645963966</v>
      </c>
      <c r="I32" s="7">
        <f t="shared" si="7"/>
        <v>0.20396813413018527</v>
      </c>
      <c r="J32" s="38">
        <f t="shared" si="8"/>
        <v>0.48564255501805065</v>
      </c>
      <c r="K32" s="38">
        <f t="shared" si="13"/>
        <v>0.37433355380994188</v>
      </c>
      <c r="L32" s="38">
        <f t="shared" si="14"/>
        <v>0.48390136924491156</v>
      </c>
      <c r="M32" s="38">
        <f t="shared" si="15"/>
        <v>0.64412105826249677</v>
      </c>
      <c r="N32" s="38">
        <f t="shared" si="16"/>
        <v>0.45161879845886432</v>
      </c>
      <c r="O32" s="38">
        <f t="shared" si="9"/>
        <v>0.64636962400775688</v>
      </c>
      <c r="P32" s="38">
        <f t="shared" si="10"/>
        <v>1.5712110684985639E-3</v>
      </c>
      <c r="Q32" s="38">
        <f t="shared" si="11"/>
        <v>2.2045964352018924E-3</v>
      </c>
      <c r="R32" s="38">
        <f t="shared" si="12"/>
        <v>1.5545044868892121E-3</v>
      </c>
      <c r="S32" s="38">
        <f>SLOPE(DATA!H28:H32,A28:A32)/AVERAGE(DATA!H28:H32)</f>
        <v>-8.1021003136967033E-4</v>
      </c>
      <c r="T32" s="38">
        <f>SLOPE(DATA!H13:H32,A13:A32)/AVERAGE(DATA!H13:H32)</f>
        <v>1.1187334944107563E-2</v>
      </c>
      <c r="U32" s="38">
        <f>DATA!H32/DATA!J32</f>
        <v>0.42095490523035251</v>
      </c>
      <c r="V32" s="58">
        <f>DATA!I32/DATA!J32</f>
        <v>3.0459721989616479</v>
      </c>
      <c r="W32" s="58">
        <f>DATA!K32/DATA!J32</f>
        <v>2.731725077002614</v>
      </c>
      <c r="X32" s="38">
        <f>DATA!H32/$AB$1</f>
        <v>0.10413249906289578</v>
      </c>
      <c r="Y32" s="38">
        <f>DATA!I32/$AB$1</f>
        <v>0.75348854048965752</v>
      </c>
      <c r="Z32" s="38">
        <f>DATA!J32/$AB$1</f>
        <v>0.24737210035814405</v>
      </c>
      <c r="AA32" s="38">
        <f>DATA!K32/$AB$1</f>
        <v>0.67575256989914945</v>
      </c>
    </row>
    <row r="33" spans="1:27" x14ac:dyDescent="0.25">
      <c r="A33" s="8">
        <v>32</v>
      </c>
      <c r="B33" s="7">
        <f>(DATA!H34-DATA!H33)/DATA!H33</f>
        <v>-4.3936105873563624E-3</v>
      </c>
      <c r="C33" s="7">
        <f>(DATA!I34-DATA!I33)/DATA!I33</f>
        <v>1.5383627944127015E-2</v>
      </c>
      <c r="D33" s="7">
        <f>(DATA!J34-DATA!J33)/DATA!J33</f>
        <v>1.2485984012731943E-2</v>
      </c>
      <c r="E33" s="7">
        <f>(DATA!K34-DATA!K33)/DATA!K33</f>
        <v>1.3987331027311504E-2</v>
      </c>
      <c r="F33" s="7">
        <f t="shared" si="4"/>
        <v>0.23275418023886441</v>
      </c>
      <c r="G33" s="7">
        <f t="shared" si="5"/>
        <v>0.20792981282986867</v>
      </c>
      <c r="H33" s="7">
        <f t="shared" si="6"/>
        <v>0.26036359356638022</v>
      </c>
      <c r="I33" s="7">
        <f t="shared" si="7"/>
        <v>0.20884077377875815</v>
      </c>
      <c r="J33" s="38">
        <f t="shared" si="8"/>
        <v>0.46968429662082511</v>
      </c>
      <c r="K33" s="38">
        <f t="shared" si="13"/>
        <v>0.36407359717467697</v>
      </c>
      <c r="L33" s="38">
        <f t="shared" si="14"/>
        <v>0.46970069343148935</v>
      </c>
      <c r="M33" s="38">
        <f>SLOPE(B14:B33,C14:C33)</f>
        <v>0.62387758773334112</v>
      </c>
      <c r="N33" s="38">
        <f t="shared" si="16"/>
        <v>0.44188012815459909</v>
      </c>
      <c r="O33" s="38">
        <f t="shared" si="9"/>
        <v>0.62962878347332352</v>
      </c>
      <c r="P33" s="38">
        <f t="shared" si="10"/>
        <v>8.171779668230102E-4</v>
      </c>
      <c r="Q33" s="38">
        <f t="shared" si="11"/>
        <v>1.5169852580456341E-3</v>
      </c>
      <c r="R33" s="38">
        <f t="shared" si="12"/>
        <v>8.3575302050773077E-4</v>
      </c>
      <c r="S33" s="38">
        <f>SLOPE(DATA!H29:H33,A29:A33)/AVERAGE(DATA!H29:H33)</f>
        <v>-3.5865103968699542E-3</v>
      </c>
      <c r="T33" s="38">
        <f>SLOPE(DATA!H14:H33,A14:A33)/AVERAGE(DATA!H14:H33)</f>
        <v>1.032464738950448E-2</v>
      </c>
      <c r="U33" s="38">
        <f>DATA!H33/DATA!J33</f>
        <v>0.40668426954099901</v>
      </c>
      <c r="V33" s="58">
        <f>DATA!I33/DATA!J33</f>
        <v>3.0431366875248669</v>
      </c>
      <c r="W33" s="58">
        <f>DATA!K33/DATA!J33</f>
        <v>2.7271241002640432</v>
      </c>
      <c r="X33" s="38">
        <f>DATA!H33/$AB$1</f>
        <v>0.10126309581771419</v>
      </c>
      <c r="Y33" s="38">
        <f>DATA!I33/$AB$1</f>
        <v>0.75773140260141225</v>
      </c>
      <c r="Z33" s="38">
        <f>DATA!J33/$AB$1</f>
        <v>0.24899683465014266</v>
      </c>
      <c r="AA33" s="38">
        <f>DATA!K33/$AB$1</f>
        <v>0.67904526866386505</v>
      </c>
    </row>
    <row r="34" spans="1:27" x14ac:dyDescent="0.25">
      <c r="A34" s="8">
        <v>33</v>
      </c>
      <c r="B34" s="7">
        <f>(DATA!H35-DATA!H34)/DATA!H34</f>
        <v>3.4750138464562007E-2</v>
      </c>
      <c r="C34" s="7">
        <f>(DATA!I35-DATA!I34)/DATA!I34</f>
        <v>-2.2346334709464873E-3</v>
      </c>
      <c r="D34" s="7">
        <f>(DATA!J35-DATA!J34)/DATA!J34</f>
        <v>1.7147633983752616E-3</v>
      </c>
      <c r="E34" s="7">
        <f>(DATA!K35-DATA!K34)/DATA!K34</f>
        <v>-2.7154505999890128E-3</v>
      </c>
      <c r="F34" s="7">
        <f t="shared" si="4"/>
        <v>0.22836056965150806</v>
      </c>
      <c r="G34" s="7">
        <f t="shared" si="5"/>
        <v>0.22331344077399568</v>
      </c>
      <c r="H34" s="7">
        <f t="shared" si="6"/>
        <v>0.27284957757911216</v>
      </c>
      <c r="I34" s="7">
        <f t="shared" si="7"/>
        <v>0.22282810480606965</v>
      </c>
      <c r="J34" s="38">
        <f t="shared" si="8"/>
        <v>0.43105325752077744</v>
      </c>
      <c r="K34" s="38">
        <f t="shared" si="13"/>
        <v>0.32573943130956168</v>
      </c>
      <c r="L34" s="38">
        <f t="shared" si="14"/>
        <v>0.43353973677278052</v>
      </c>
      <c r="M34" s="38">
        <f t="shared" si="15"/>
        <v>0.58003491903634241</v>
      </c>
      <c r="N34" s="38">
        <f t="shared" si="16"/>
        <v>0.40420198755143832</v>
      </c>
      <c r="O34" s="38">
        <f t="shared" si="9"/>
        <v>0.58821101459942393</v>
      </c>
      <c r="P34" s="38">
        <f t="shared" si="10"/>
        <v>3.633557078308031E-3</v>
      </c>
      <c r="Q34" s="38">
        <f t="shared" si="11"/>
        <v>4.0579791747378732E-3</v>
      </c>
      <c r="R34" s="38">
        <f t="shared" si="12"/>
        <v>3.7111865243459083E-3</v>
      </c>
      <c r="S34" s="38">
        <f>SLOPE(DATA!H30:H34,A30:A34)/AVERAGE(DATA!H30:H34)</f>
        <v>-9.8423611864744982E-3</v>
      </c>
      <c r="T34" s="38">
        <f>SLOPE(DATA!H15:H34,A15:A34)/AVERAGE(DATA!H15:H34)</f>
        <v>9.4511886267158469E-3</v>
      </c>
      <c r="U34" s="38">
        <f>DATA!H34/DATA!J34</f>
        <v>0.39990425904359073</v>
      </c>
      <c r="V34" s="58">
        <f>DATA!I34/DATA!J34</f>
        <v>3.0518458713498764</v>
      </c>
      <c r="W34" s="58">
        <f>DATA!K34/DATA!J34</f>
        <v>2.7311679682197183</v>
      </c>
      <c r="X34" s="38">
        <f>DATA!H34/$AB$1</f>
        <v>0.100818185207821</v>
      </c>
      <c r="Y34" s="38">
        <f>DATA!I34/$AB$1</f>
        <v>0.76938806058061382</v>
      </c>
      <c r="Z34" s="38">
        <f>DATA!J34/$AB$1</f>
        <v>0.2521058051468052</v>
      </c>
      <c r="AA34" s="38">
        <f>DATA!K34/$AB$1</f>
        <v>0.68854329961919625</v>
      </c>
    </row>
    <row r="35" spans="1:27" x14ac:dyDescent="0.25">
      <c r="A35" s="8">
        <v>34</v>
      </c>
      <c r="B35" s="7">
        <f>(DATA!H36-DATA!H35)/DATA!H35</f>
        <v>-1.4106637198701567E-2</v>
      </c>
      <c r="C35" s="7">
        <f>(DATA!I36-DATA!I35)/DATA!I35</f>
        <v>4.7681182510219784E-3</v>
      </c>
      <c r="D35" s="7">
        <f>(DATA!J36-DATA!J35)/DATA!J35</f>
        <v>1.1847276410296646E-2</v>
      </c>
      <c r="E35" s="7">
        <f>(DATA!K36-DATA!K35)/DATA!K35</f>
        <v>4.6403773159260165E-3</v>
      </c>
      <c r="F35" s="7">
        <f t="shared" si="4"/>
        <v>0.26311070811607007</v>
      </c>
      <c r="G35" s="7">
        <f t="shared" si="5"/>
        <v>0.22107880730304919</v>
      </c>
      <c r="H35" s="7">
        <f t="shared" si="6"/>
        <v>0.27456434097748744</v>
      </c>
      <c r="I35" s="7">
        <f t="shared" si="7"/>
        <v>0.22011265420608064</v>
      </c>
      <c r="J35" s="38">
        <f t="shared" si="8"/>
        <v>0.44228700508930879</v>
      </c>
      <c r="K35" s="38">
        <f t="shared" si="13"/>
        <v>0.31782829986994471</v>
      </c>
      <c r="L35" s="38">
        <f t="shared" si="14"/>
        <v>0.44745286508900195</v>
      </c>
      <c r="M35" s="38">
        <f t="shared" si="15"/>
        <v>0.60951488780122054</v>
      </c>
      <c r="N35" s="38">
        <f t="shared" si="16"/>
        <v>0.39980685467736893</v>
      </c>
      <c r="O35" s="38">
        <f t="shared" si="9"/>
        <v>0.62383247954651389</v>
      </c>
      <c r="P35" s="38">
        <f t="shared" si="10"/>
        <v>3.2263454939160407E-3</v>
      </c>
      <c r="Q35" s="38">
        <f t="shared" si="11"/>
        <v>3.4616722123993397E-3</v>
      </c>
      <c r="R35" s="38">
        <f t="shared" si="12"/>
        <v>3.332603204857247E-3</v>
      </c>
      <c r="S35" s="38">
        <f>SLOPE(DATA!H31:H35,A31:A35)/AVERAGE(DATA!H31:H35)</f>
        <v>-1.8462788897102358E-3</v>
      </c>
      <c r="T35" s="38">
        <f>SLOPE(DATA!H16:H35,A16:A35)/AVERAGE(DATA!H16:H35)</f>
        <v>8.7554781667404744E-3</v>
      </c>
      <c r="U35" s="38">
        <f>DATA!H35/DATA!J35</f>
        <v>0.41309263129364271</v>
      </c>
      <c r="V35" s="58">
        <f>DATA!I35/DATA!J35</f>
        <v>3.0398135533983353</v>
      </c>
      <c r="W35" s="58">
        <f>DATA!K35/DATA!J35</f>
        <v>2.7190890221895705</v>
      </c>
      <c r="X35" s="38">
        <f>DATA!H35/$AB$1</f>
        <v>0.10432163110353863</v>
      </c>
      <c r="Y35" s="38">
        <f>DATA!I35/$AB$1</f>
        <v>0.76766876026829378</v>
      </c>
      <c r="Z35" s="38">
        <f>DATA!J35/$AB$1</f>
        <v>0.25253810695398887</v>
      </c>
      <c r="AA35" s="38">
        <f>DATA!K35/$AB$1</f>
        <v>0.6866735943031268</v>
      </c>
    </row>
    <row r="36" spans="1:27" x14ac:dyDescent="0.25">
      <c r="A36" s="8">
        <v>35</v>
      </c>
      <c r="B36" s="7">
        <f>(DATA!H37-DATA!H36)/DATA!H36</f>
        <v>8.8618014325995195E-3</v>
      </c>
      <c r="C36" s="7">
        <f>(DATA!I37-DATA!I36)/DATA!I36</f>
        <v>2.4901393452385151E-2</v>
      </c>
      <c r="D36" s="7">
        <f>(DATA!J37-DATA!J36)/DATA!J36</f>
        <v>2.5940702936656752E-2</v>
      </c>
      <c r="E36" s="7">
        <f>(DATA!K37-DATA!K36)/DATA!K36</f>
        <v>2.4021640364711164E-2</v>
      </c>
      <c r="F36" s="7">
        <f t="shared" si="4"/>
        <v>0.24900407091736851</v>
      </c>
      <c r="G36" s="7">
        <f t="shared" si="5"/>
        <v>0.22584692555407115</v>
      </c>
      <c r="H36" s="7">
        <f t="shared" si="6"/>
        <v>0.28641161738778409</v>
      </c>
      <c r="I36" s="7">
        <f t="shared" si="7"/>
        <v>0.22475303152200665</v>
      </c>
      <c r="J36" s="38">
        <f t="shared" si="8"/>
        <v>0.28061432695674143</v>
      </c>
      <c r="K36" s="38">
        <f t="shared" si="13"/>
        <v>0.14746858083483172</v>
      </c>
      <c r="L36" s="38">
        <f t="shared" si="14"/>
        <v>0.28742394371851637</v>
      </c>
      <c r="M36" s="38">
        <f t="shared" si="15"/>
        <v>0.42608815565532382</v>
      </c>
      <c r="N36" s="38">
        <f t="shared" si="16"/>
        <v>0.19536451790220108</v>
      </c>
      <c r="O36" s="38">
        <f t="shared" si="9"/>
        <v>0.44230295090968208</v>
      </c>
      <c r="P36" s="38">
        <f t="shared" si="10"/>
        <v>5.1939756303811743E-3</v>
      </c>
      <c r="Q36" s="38">
        <f t="shared" si="11"/>
        <v>6.8536504891464813E-3</v>
      </c>
      <c r="R36" s="38">
        <f t="shared" si="12"/>
        <v>5.2034044850909639E-3</v>
      </c>
      <c r="S36" s="38">
        <f>SLOPE(DATA!H32:H36,A32:A36)/AVERAGE(DATA!H32:H36)</f>
        <v>4.8067645562514252E-4</v>
      </c>
      <c r="T36" s="38">
        <f>SLOPE(DATA!H17:H36,A17:A36)/AVERAGE(DATA!H17:H36)</f>
        <v>7.6471518896391796E-3</v>
      </c>
      <c r="U36" s="38">
        <f>DATA!H36/DATA!J36</f>
        <v>0.4024967926576532</v>
      </c>
      <c r="V36" s="58">
        <f>DATA!I36/DATA!J36</f>
        <v>3.0185461927788979</v>
      </c>
      <c r="W36" s="58">
        <f>DATA!K36/DATA!J36</f>
        <v>2.6997222653000805</v>
      </c>
      <c r="X36" s="38">
        <f>DATA!H36/$AB$1</f>
        <v>0.10285000370158423</v>
      </c>
      <c r="Y36" s="38">
        <f>DATA!I36/$AB$1</f>
        <v>0.77132909569486852</v>
      </c>
      <c r="Z36" s="38">
        <f>DATA!J36/$AB$1</f>
        <v>0.25552999571120583</v>
      </c>
      <c r="AA36" s="38">
        <f>DATA!K36/$AB$1</f>
        <v>0.68986001887357651</v>
      </c>
    </row>
    <row r="37" spans="1:27" x14ac:dyDescent="0.25">
      <c r="A37" s="8">
        <v>36</v>
      </c>
      <c r="B37" s="7">
        <f>(DATA!H38-DATA!H37)/DATA!H37</f>
        <v>1.7307525388421143E-2</v>
      </c>
      <c r="C37" s="7">
        <f>(DATA!I38-DATA!I37)/DATA!I37</f>
        <v>3.005148101919305E-3</v>
      </c>
      <c r="D37" s="7">
        <f>(DATA!J38-DATA!J37)/DATA!J37</f>
        <v>-3.3873383628093608E-3</v>
      </c>
      <c r="E37" s="7">
        <f>(DATA!K38-DATA!K37)/DATA!K37</f>
        <v>2.1418299387028671E-4</v>
      </c>
      <c r="F37" s="7">
        <f t="shared" si="4"/>
        <v>0.25786587234996805</v>
      </c>
      <c r="G37" s="7">
        <f t="shared" si="5"/>
        <v>0.25074831900645633</v>
      </c>
      <c r="H37" s="7">
        <f t="shared" si="6"/>
        <v>0.31235232032444082</v>
      </c>
      <c r="I37" s="7">
        <f t="shared" si="7"/>
        <v>0.24877467188671781</v>
      </c>
      <c r="J37" s="38">
        <f t="shared" si="8"/>
        <v>0.23877775255698278</v>
      </c>
      <c r="K37" s="38">
        <f t="shared" si="13"/>
        <v>8.4564453131977593E-3</v>
      </c>
      <c r="L37" s="38">
        <f t="shared" si="14"/>
        <v>0.25489853318183808</v>
      </c>
      <c r="M37" s="38">
        <f t="shared" si="15"/>
        <v>0.35632543573902092</v>
      </c>
      <c r="N37" s="38">
        <f t="shared" si="16"/>
        <v>1.2319916444532814E-2</v>
      </c>
      <c r="O37" s="38">
        <f t="shared" si="9"/>
        <v>0.38089580051493283</v>
      </c>
      <c r="P37" s="38">
        <f t="shared" si="10"/>
        <v>7.4679026389470413E-3</v>
      </c>
      <c r="Q37" s="38">
        <f t="shared" si="11"/>
        <v>1.0670794888693552E-2</v>
      </c>
      <c r="R37" s="38">
        <f t="shared" si="12"/>
        <v>7.4922980974096269E-3</v>
      </c>
      <c r="S37" s="38">
        <f>SLOPE(DATA!H33:H37,A33:A37)/AVERAGE(DATA!H33:H37)</f>
        <v>6.8502048741437239E-3</v>
      </c>
      <c r="T37" s="38">
        <f>SLOPE(DATA!H18:H37,A18:A37)/AVERAGE(DATA!H18:H37)</f>
        <v>5.9353010410351853E-3</v>
      </c>
      <c r="U37" s="38">
        <f>DATA!H37/DATA!J37</f>
        <v>0.39579640241304914</v>
      </c>
      <c r="V37" s="58">
        <f>DATA!I37/DATA!J37</f>
        <v>3.015488312652018</v>
      </c>
      <c r="W37" s="58">
        <f>DATA!K37/DATA!J37</f>
        <v>2.6946723282626319</v>
      </c>
      <c r="X37" s="38">
        <f>DATA!H37/$AB$1</f>
        <v>0.10376144001172979</v>
      </c>
      <c r="Y37" s="38">
        <f>DATA!I37/$AB$1</f>
        <v>0.79053626498803886</v>
      </c>
      <c r="Z37" s="38">
        <f>DATA!J37/$AB$1</f>
        <v>0.26215862342135543</v>
      </c>
      <c r="AA37" s="38">
        <f>DATA!K37/$AB$1</f>
        <v>0.70643158814895035</v>
      </c>
    </row>
    <row r="38" spans="1:27" x14ac:dyDescent="0.25">
      <c r="A38" s="8">
        <v>37</v>
      </c>
      <c r="B38" s="7">
        <f>(DATA!H39-DATA!H38)/DATA!H38</f>
        <v>-1.238865567728064E-2</v>
      </c>
      <c r="C38" s="7">
        <f>(DATA!I39-DATA!I38)/DATA!I38</f>
        <v>1.2937327677407792E-2</v>
      </c>
      <c r="D38" s="7">
        <f>(DATA!J39-DATA!J38)/DATA!J38</f>
        <v>1.0493005811829105E-2</v>
      </c>
      <c r="E38" s="7">
        <f>(DATA!K39-DATA!K38)/DATA!K38</f>
        <v>1.082667128930946E-2</v>
      </c>
      <c r="F38" s="7">
        <f t="shared" si="4"/>
        <v>0.27517339773838917</v>
      </c>
      <c r="G38" s="7">
        <f t="shared" si="5"/>
        <v>0.25375346710837565</v>
      </c>
      <c r="H38" s="7">
        <f t="shared" si="6"/>
        <v>0.30896498196163147</v>
      </c>
      <c r="I38" s="7">
        <f t="shared" si="7"/>
        <v>0.24898885488058811</v>
      </c>
      <c r="J38" s="38">
        <f t="shared" si="8"/>
        <v>0.28897608009605946</v>
      </c>
      <c r="K38" s="38">
        <f t="shared" si="13"/>
        <v>9.217951361724154E-2</v>
      </c>
      <c r="L38" s="38">
        <f>CORREL(B19:B38,E19:E38)</f>
        <v>0.30425255692435194</v>
      </c>
      <c r="M38" s="38">
        <f t="shared" si="15"/>
        <v>0.47989329215384224</v>
      </c>
      <c r="N38" s="38">
        <f t="shared" si="16"/>
        <v>0.17240735644840047</v>
      </c>
      <c r="O38" s="38">
        <f t="shared" si="9"/>
        <v>0.50000704654028272</v>
      </c>
      <c r="P38" s="38">
        <f t="shared" si="10"/>
        <v>3.9163390418459777E-3</v>
      </c>
      <c r="Q38" s="38">
        <f t="shared" si="11"/>
        <v>6.6687995703710989E-3</v>
      </c>
      <c r="R38" s="38">
        <f t="shared" si="12"/>
        <v>4.1134543655064488E-3</v>
      </c>
      <c r="S38" s="38">
        <f>SLOPE(DATA!H34:H38,A34:A38)/AVERAGE(DATA!H34:H38)</f>
        <v>8.6196390580550366E-3</v>
      </c>
      <c r="T38" s="38">
        <f>SLOPE(DATA!H19:H38,A19:A38)/AVERAGE(DATA!H19:H38)</f>
        <v>4.0083160112845779E-3</v>
      </c>
      <c r="U38" s="38">
        <f>DATA!H38/DATA!J38</f>
        <v>0.4040151948651835</v>
      </c>
      <c r="V38" s="58">
        <f>DATA!I38/DATA!J38</f>
        <v>3.0348302987266371</v>
      </c>
      <c r="W38" s="58">
        <f>DATA!K38/DATA!J38</f>
        <v>2.7044102337830664</v>
      </c>
      <c r="X38" s="38">
        <f>DATA!H38/$AB$1</f>
        <v>0.10555729376907196</v>
      </c>
      <c r="Y38" s="38">
        <f>DATA!I38/$AB$1</f>
        <v>0.79291194354426597</v>
      </c>
      <c r="Z38" s="38">
        <f>DATA!J38/$AB$1</f>
        <v>0.26127060345909897</v>
      </c>
      <c r="AA38" s="38">
        <f>DATA!K38/$AB$1</f>
        <v>0.70658289378146466</v>
      </c>
    </row>
    <row r="39" spans="1:27" x14ac:dyDescent="0.25">
      <c r="A39" s="8">
        <v>38</v>
      </c>
      <c r="B39" s="7">
        <f>(DATA!H40-DATA!H39)/DATA!H39</f>
        <v>2.7126961089225239E-3</v>
      </c>
      <c r="C39" s="7">
        <f>(DATA!I40-DATA!I39)/DATA!I39</f>
        <v>1.5582623766495255E-2</v>
      </c>
      <c r="D39" s="7">
        <f>(DATA!J40-DATA!J39)/DATA!J39</f>
        <v>3.7183344590676192E-3</v>
      </c>
      <c r="E39" s="7">
        <f>(DATA!K40-DATA!K39)/DATA!K39</f>
        <v>1.5943750488627281E-2</v>
      </c>
      <c r="F39" s="7">
        <f t="shared" si="4"/>
        <v>0.26278474206110852</v>
      </c>
      <c r="G39" s="7">
        <f t="shared" si="5"/>
        <v>0.26669079478578345</v>
      </c>
      <c r="H39" s="7">
        <f t="shared" si="6"/>
        <v>0.31945798777346057</v>
      </c>
      <c r="I39" s="7">
        <f t="shared" si="7"/>
        <v>0.25981552616989756</v>
      </c>
      <c r="J39" s="38">
        <f t="shared" si="8"/>
        <v>0.51277615434310853</v>
      </c>
      <c r="K39" s="38">
        <f t="shared" si="13"/>
        <v>0.34593809868968667</v>
      </c>
      <c r="L39" s="38">
        <f t="shared" si="14"/>
        <v>0.51593674312311921</v>
      </c>
      <c r="M39" s="38">
        <f t="shared" si="15"/>
        <v>0.85415061487733357</v>
      </c>
      <c r="N39" s="38">
        <f t="shared" si="16"/>
        <v>0.66641515389698569</v>
      </c>
      <c r="O39" s="38">
        <f t="shared" si="9"/>
        <v>0.84209850521067608</v>
      </c>
      <c r="P39" s="38">
        <f t="shared" si="10"/>
        <v>-3.8388714279337724E-3</v>
      </c>
      <c r="Q39" s="38">
        <f t="shared" si="11"/>
        <v>-3.5266639897423031E-3</v>
      </c>
      <c r="R39" s="38">
        <f t="shared" si="12"/>
        <v>-2.9907644499622132E-3</v>
      </c>
      <c r="S39" s="38">
        <f>SLOPE(DATA!H35:H39,A35:A39)/AVERAGE(DATA!H35:H39)</f>
        <v>2.4611031553314106E-3</v>
      </c>
      <c r="T39" s="38">
        <f>SLOPE(DATA!H20:H39,A20:A39)/AVERAGE(DATA!H20:H39)</f>
        <v>1.9115711144126798E-3</v>
      </c>
      <c r="U39" s="38">
        <f>DATA!H39/DATA!J39</f>
        <v>0.39486665165687618</v>
      </c>
      <c r="V39" s="58">
        <f>DATA!I39/DATA!J39</f>
        <v>3.0421713708714546</v>
      </c>
      <c r="W39" s="58">
        <f>DATA!K39/DATA!J39</f>
        <v>2.7053032318807948</v>
      </c>
      <c r="X39" s="38">
        <f>DATA!H39/$AB$1</f>
        <v>0.10424958080234135</v>
      </c>
      <c r="Y39" s="38">
        <f>DATA!I39/$AB$1</f>
        <v>0.80317010517722842</v>
      </c>
      <c r="Z39" s="38">
        <f>DATA!J39/$AB$1</f>
        <v>0.26401211741965536</v>
      </c>
      <c r="AA39" s="38">
        <f>DATA!K39/$AB$1</f>
        <v>0.71423283451108566</v>
      </c>
    </row>
    <row r="40" spans="1:27" x14ac:dyDescent="0.25">
      <c r="A40" s="8">
        <v>39</v>
      </c>
      <c r="B40" s="7">
        <f>(DATA!H41-DATA!H40)/DATA!H40</f>
        <v>4.1166233005359022E-2</v>
      </c>
      <c r="C40" s="7">
        <f>(DATA!I41-DATA!I40)/DATA!I40</f>
        <v>3.922336760501419E-3</v>
      </c>
      <c r="D40" s="7">
        <f>(DATA!J41-DATA!J40)/DATA!J40</f>
        <v>2.4198591587590744E-3</v>
      </c>
      <c r="E40" s="7">
        <f>(DATA!K41-DATA!K40)/DATA!K40</f>
        <v>4.962255579744862E-3</v>
      </c>
      <c r="F40" s="7">
        <f t="shared" si="4"/>
        <v>0.26549743817003102</v>
      </c>
      <c r="G40" s="7">
        <f t="shared" si="5"/>
        <v>0.28227341855227872</v>
      </c>
      <c r="H40" s="7">
        <f t="shared" si="6"/>
        <v>0.32317632223252818</v>
      </c>
      <c r="I40" s="7">
        <f t="shared" si="7"/>
        <v>0.27575927665852484</v>
      </c>
      <c r="J40" s="38">
        <f t="shared" si="8"/>
        <v>0.44492794777566563</v>
      </c>
      <c r="K40" s="38">
        <f t="shared" si="13"/>
        <v>0.2522383257522729</v>
      </c>
      <c r="L40" s="38">
        <f t="shared" si="14"/>
        <v>0.45614578355660956</v>
      </c>
      <c r="M40" s="38">
        <f t="shared" si="15"/>
        <v>0.7113156929256006</v>
      </c>
      <c r="N40" s="38">
        <f t="shared" si="16"/>
        <v>0.45602883168676883</v>
      </c>
      <c r="O40" s="38">
        <f t="shared" si="9"/>
        <v>0.71812608532741107</v>
      </c>
      <c r="P40" s="38">
        <f t="shared" si="10"/>
        <v>-2.0303226643844314E-3</v>
      </c>
      <c r="Q40" s="38">
        <f t="shared" si="11"/>
        <v>-3.6983911584338985E-4</v>
      </c>
      <c r="R40" s="38">
        <f t="shared" si="12"/>
        <v>-1.5500542902955874E-3</v>
      </c>
      <c r="S40" s="38">
        <f>SLOPE(DATA!H36:H40,A36:A40)/AVERAGE(DATA!H36:H40)</f>
        <v>3.6979409781650332E-3</v>
      </c>
      <c r="T40" s="38">
        <f>SLOPE(DATA!H21:H40,A21:A40)/AVERAGE(DATA!H21:H40)</f>
        <v>3.0531313729955501E-4</v>
      </c>
      <c r="U40" s="38">
        <f>DATA!H40/DATA!J40</f>
        <v>0.39447102966366676</v>
      </c>
      <c r="V40" s="58">
        <f>DATA!I40/DATA!J40</f>
        <v>3.0781308627205743</v>
      </c>
      <c r="W40" s="58">
        <f>DATA!K40/DATA!J40</f>
        <v>2.738254166779956</v>
      </c>
      <c r="X40" s="38">
        <f>DATA!H40/$AB$1</f>
        <v>0.10453237823454067</v>
      </c>
      <c r="Y40" s="38">
        <f>DATA!I40/$AB$1</f>
        <v>0.81568560274670165</v>
      </c>
      <c r="Z40" s="38">
        <f>DATA!J40/$AB$1</f>
        <v>0.26499380277346829</v>
      </c>
      <c r="AA40" s="38">
        <f>DATA!K40/$AB$1</f>
        <v>0.72562038461531542</v>
      </c>
    </row>
    <row r="41" spans="1:27" x14ac:dyDescent="0.25">
      <c r="A41" s="8">
        <v>40</v>
      </c>
      <c r="B41" s="7">
        <f>(DATA!H42-DATA!H41)/DATA!H41</f>
        <v>4.9965244447386717E-2</v>
      </c>
      <c r="C41" s="7">
        <f>(DATA!I42-DATA!I41)/DATA!I41</f>
        <v>-1.6423880682374291E-2</v>
      </c>
      <c r="D41" s="7">
        <f>(DATA!J42-DATA!J41)/DATA!J41</f>
        <v>-1.4551914939785179E-2</v>
      </c>
      <c r="E41" s="7">
        <f>(DATA!K42-DATA!K41)/DATA!K41</f>
        <v>-1.6082896946942003E-2</v>
      </c>
      <c r="F41" s="7">
        <f t="shared" si="4"/>
        <v>0.30666367117539006</v>
      </c>
      <c r="G41" s="7">
        <f t="shared" si="5"/>
        <v>0.28619575531278013</v>
      </c>
      <c r="H41" s="7">
        <f t="shared" si="6"/>
        <v>0.32559618139128726</v>
      </c>
      <c r="I41" s="7">
        <f t="shared" si="7"/>
        <v>0.28072153223826968</v>
      </c>
      <c r="J41" s="38">
        <f t="shared" si="8"/>
        <v>2.3352871390663242E-2</v>
      </c>
      <c r="K41" s="38">
        <f t="shared" si="13"/>
        <v>-0.19164675624673294</v>
      </c>
      <c r="L41" s="38">
        <f t="shared" si="14"/>
        <v>4.6566580441131322E-2</v>
      </c>
      <c r="M41" s="38">
        <f t="shared" si="15"/>
        <v>4.0224969077758951E-2</v>
      </c>
      <c r="N41" s="38">
        <f t="shared" si="16"/>
        <v>-0.35241298409660798</v>
      </c>
      <c r="O41" s="38">
        <f t="shared" si="9"/>
        <v>8.0008572259427965E-2</v>
      </c>
      <c r="P41" s="38">
        <f t="shared" si="10"/>
        <v>6.2184047521303114E-3</v>
      </c>
      <c r="Q41" s="38">
        <f t="shared" si="11"/>
        <v>1.0816235947532917E-2</v>
      </c>
      <c r="R41" s="38">
        <f t="shared" si="12"/>
        <v>5.9275511883315219E-3</v>
      </c>
      <c r="S41" s="38">
        <f>SLOPE(DATA!H37:H41,A37:A41)/AVERAGE(DATA!H37:H41)</f>
        <v>8.6569949886852304E-3</v>
      </c>
      <c r="T41" s="38">
        <f>SLOPE(DATA!H22:H41,A22:A41)/AVERAGE(DATA!H22:H41)</f>
        <v>-1.8652243301415977E-4</v>
      </c>
      <c r="U41" s="38">
        <f>DATA!H41/DATA!J41</f>
        <v>0.40971845502875121</v>
      </c>
      <c r="V41" s="58">
        <f>DATA!I41/DATA!J41</f>
        <v>3.0827445209938156</v>
      </c>
      <c r="W41" s="58">
        <f>DATA!K41/DATA!J41</f>
        <v>2.7451990886405553</v>
      </c>
      <c r="X41" s="38">
        <f>DATA!H41/$AB$1</f>
        <v>0.10883558247354809</v>
      </c>
      <c r="Y41" s="38">
        <f>DATA!I41/$AB$1</f>
        <v>0.8188849963713668</v>
      </c>
      <c r="Z41" s="38">
        <f>DATA!J41/$AB$1</f>
        <v>0.26563505045412406</v>
      </c>
      <c r="AA41" s="38">
        <f>DATA!K41/$AB$1</f>
        <v>0.72922109841764937</v>
      </c>
    </row>
    <row r="42" spans="1:27" x14ac:dyDescent="0.25">
      <c r="A42" s="8">
        <v>41</v>
      </c>
      <c r="B42" s="7">
        <f>(DATA!H43-DATA!H42)/DATA!H42</f>
        <v>4.9967686511877177E-2</v>
      </c>
      <c r="C42" s="7">
        <f>(DATA!I43-DATA!I42)/DATA!I42</f>
        <v>2.6674827949964997E-2</v>
      </c>
      <c r="D42" s="7">
        <f>(DATA!J43-DATA!J42)/DATA!J42</f>
        <v>2.4799416484318017E-2</v>
      </c>
      <c r="E42" s="7">
        <f>(DATA!K43-DATA!K42)/DATA!K42</f>
        <v>2.6806986184786948E-2</v>
      </c>
      <c r="F42" s="7">
        <f t="shared" si="4"/>
        <v>0.35662891562277677</v>
      </c>
      <c r="G42" s="7">
        <f t="shared" si="5"/>
        <v>0.26977187463040586</v>
      </c>
      <c r="H42" s="7">
        <f t="shared" si="6"/>
        <v>0.31104426645150207</v>
      </c>
      <c r="I42" s="7">
        <f t="shared" si="7"/>
        <v>0.2646386352913277</v>
      </c>
      <c r="J42" s="38">
        <f t="shared" si="8"/>
        <v>-3.0540100582512549E-2</v>
      </c>
      <c r="K42" s="38">
        <f t="shared" si="13"/>
        <v>-0.25064486004742126</v>
      </c>
      <c r="L42" s="38">
        <f t="shared" si="14"/>
        <v>-2.64391919228455E-3</v>
      </c>
      <c r="M42" s="38">
        <f t="shared" si="15"/>
        <v>-6.4620560011637587E-2</v>
      </c>
      <c r="N42" s="38">
        <f t="shared" si="16"/>
        <v>-0.53315799170702882</v>
      </c>
      <c r="O42" s="38">
        <f t="shared" si="9"/>
        <v>-5.6171346489737733E-3</v>
      </c>
      <c r="P42" s="38">
        <f t="shared" si="10"/>
        <v>7.718219422094023E-3</v>
      </c>
      <c r="Q42" s="38">
        <f t="shared" si="11"/>
        <v>1.3265213823730863E-2</v>
      </c>
      <c r="R42" s="38">
        <f t="shared" si="12"/>
        <v>7.2428743437879979E-3</v>
      </c>
      <c r="S42" s="38">
        <f>SLOPE(DATA!H38:H42,A38:A42)/AVERAGE(DATA!H38:H42)</f>
        <v>2.0484358556710706E-2</v>
      </c>
      <c r="T42" s="38">
        <f>SLOPE(DATA!H23:H42,A23:A42)/AVERAGE(DATA!H23:H42)</f>
        <v>5.5797176875969662E-4</v>
      </c>
      <c r="U42" s="38">
        <f>DATA!H42/DATA!J42</f>
        <v>0.43654266958424509</v>
      </c>
      <c r="V42" s="58">
        <f>DATA!I42/DATA!J42</f>
        <v>3.0768885127231194</v>
      </c>
      <c r="W42" s="58">
        <f>DATA!K42/DATA!J42</f>
        <v>2.7409341755776668</v>
      </c>
      <c r="X42" s="38">
        <f>DATA!H42/$AB$1</f>
        <v>0.11427357895641264</v>
      </c>
      <c r="Y42" s="38">
        <f>DATA!I42/$AB$1</f>
        <v>0.80543572689837695</v>
      </c>
      <c r="Z42" s="38">
        <f>DATA!J42/$AB$1</f>
        <v>0.26176955179489009</v>
      </c>
      <c r="AA42" s="38">
        <f>DATA!K42/$AB$1</f>
        <v>0.71749311064026244</v>
      </c>
    </row>
    <row r="43" spans="1:27" x14ac:dyDescent="0.25">
      <c r="A43" s="8">
        <v>42</v>
      </c>
      <c r="B43" s="7">
        <f>(DATA!H44-DATA!H43)/DATA!H43</f>
        <v>4.183993634684962E-2</v>
      </c>
      <c r="C43" s="7">
        <f>(DATA!I44-DATA!I43)/DATA!I43</f>
        <v>6.33615608273608E-3</v>
      </c>
      <c r="D43" s="7">
        <f>(DATA!J44-DATA!J43)/DATA!J43</f>
        <v>7.3994494057610955E-3</v>
      </c>
      <c r="E43" s="7">
        <f>(DATA!K44-DATA!K43)/DATA!K43</f>
        <v>9.503504829990685E-3</v>
      </c>
      <c r="F43" s="7">
        <f t="shared" si="4"/>
        <v>0.40659660213465393</v>
      </c>
      <c r="G43" s="7">
        <f t="shared" si="5"/>
        <v>0.29644670258037087</v>
      </c>
      <c r="H43" s="7">
        <f t="shared" si="6"/>
        <v>0.33584368293582006</v>
      </c>
      <c r="I43" s="7">
        <f t="shared" si="7"/>
        <v>0.29144562147611464</v>
      </c>
      <c r="J43" s="38">
        <f t="shared" si="8"/>
        <v>-5.0646107813849803E-2</v>
      </c>
      <c r="K43" s="38">
        <f t="shared" si="13"/>
        <v>-0.28512585155386855</v>
      </c>
      <c r="L43" s="38">
        <f t="shared" si="14"/>
        <v>9.464940266543426E-3</v>
      </c>
      <c r="M43" s="38">
        <f t="shared" si="15"/>
        <v>-0.1094805301543561</v>
      </c>
      <c r="N43" s="38">
        <f t="shared" si="16"/>
        <v>-0.61854915330107296</v>
      </c>
      <c r="O43" s="38">
        <f t="shared" si="9"/>
        <v>2.0516725297995992E-2</v>
      </c>
      <c r="P43" s="38">
        <f t="shared" si="10"/>
        <v>8.4328183967667548E-3</v>
      </c>
      <c r="Q43" s="38">
        <f t="shared" si="11"/>
        <v>1.4407956361815811E-2</v>
      </c>
      <c r="R43" s="38">
        <f t="shared" si="12"/>
        <v>7.4282181391758127E-3</v>
      </c>
      <c r="S43" s="38">
        <f>SLOPE(DATA!H39:H43,A39:A43)/AVERAGE(DATA!H39:H43)</f>
        <v>3.7335622407248449E-2</v>
      </c>
      <c r="T43" s="38">
        <f>SLOPE(DATA!H24:H43,A24:A43)/AVERAGE(DATA!H24:H43)</f>
        <v>2.4299598611716875E-3</v>
      </c>
      <c r="U43" s="38">
        <f>DATA!H43/DATA!J43</f>
        <v>0.44726381521520175</v>
      </c>
      <c r="V43" s="58">
        <f>DATA!I43/DATA!J43</f>
        <v>3.0825193043711812</v>
      </c>
      <c r="W43" s="58">
        <f>DATA!K43/DATA!J43</f>
        <v>2.746303632579064</v>
      </c>
      <c r="X43" s="38">
        <f>DATA!H43/$AB$1</f>
        <v>0.11998356532629691</v>
      </c>
      <c r="Y43" s="38">
        <f>DATA!I43/$AB$1</f>
        <v>0.82692058633814614</v>
      </c>
      <c r="Z43" s="38">
        <f>DATA!J43/$AB$1</f>
        <v>0.26826128393276483</v>
      </c>
      <c r="AA43" s="38">
        <f>DATA!K43/$AB$1</f>
        <v>0.73672693854487581</v>
      </c>
    </row>
    <row r="44" spans="1:27" x14ac:dyDescent="0.25">
      <c r="A44" s="8">
        <v>43</v>
      </c>
      <c r="B44" s="7">
        <f>(DATA!H45-DATA!H44)/DATA!H44</f>
        <v>-5.4756621228277472E-3</v>
      </c>
      <c r="C44" s="7">
        <f>(DATA!I45-DATA!I44)/DATA!I44</f>
        <v>2.3293874911144954E-2</v>
      </c>
      <c r="D44" s="7">
        <f>(DATA!J45-DATA!J44)/DATA!J44</f>
        <v>1.6169883758131599E-2</v>
      </c>
      <c r="E44" s="7">
        <f>(DATA!K45-DATA!K44)/DATA!K44</f>
        <v>2.5960658183456286E-2</v>
      </c>
      <c r="F44" s="7">
        <f t="shared" si="4"/>
        <v>0.44843653848150355</v>
      </c>
      <c r="G44" s="7">
        <f t="shared" si="5"/>
        <v>0.30278285866310695</v>
      </c>
      <c r="H44" s="7">
        <f t="shared" si="6"/>
        <v>0.34324313234158116</v>
      </c>
      <c r="I44" s="7">
        <f t="shared" si="7"/>
        <v>0.30094912630610532</v>
      </c>
      <c r="J44" s="38">
        <f t="shared" si="8"/>
        <v>-8.30187520722728E-2</v>
      </c>
      <c r="K44" s="38">
        <f t="shared" si="13"/>
        <v>-0.2941970268001266</v>
      </c>
      <c r="L44" s="38">
        <f t="shared" si="14"/>
        <v>-3.5379990981014187E-2</v>
      </c>
      <c r="M44" s="38">
        <f t="shared" si="15"/>
        <v>-0.17180935772409908</v>
      </c>
      <c r="N44" s="38">
        <f t="shared" si="16"/>
        <v>-0.63620522970505744</v>
      </c>
      <c r="O44" s="38">
        <f t="shared" si="9"/>
        <v>-7.2011700090547928E-2</v>
      </c>
      <c r="P44" s="38">
        <f t="shared" si="10"/>
        <v>8.9498986053555638E-3</v>
      </c>
      <c r="Q44" s="38">
        <f t="shared" si="11"/>
        <v>1.4647900698044983E-2</v>
      </c>
      <c r="R44" s="38">
        <f t="shared" si="12"/>
        <v>8.0793195315775976E-3</v>
      </c>
      <c r="S44" s="38">
        <f>SLOPE(DATA!H40:H44,A40:A44)/AVERAGE(DATA!H40:H44)</f>
        <v>4.5483713688051465E-2</v>
      </c>
      <c r="T44" s="38">
        <f>SLOPE(DATA!H25:H44,A25:A44)/AVERAGE(DATA!H25:H44)</f>
        <v>5.2549056755888772E-3</v>
      </c>
      <c r="U44" s="38">
        <f>DATA!H44/DATA!J44</f>
        <v>0.46255465500693188</v>
      </c>
      <c r="V44" s="58">
        <f>DATA!I44/DATA!J44</f>
        <v>3.0792657566385837</v>
      </c>
      <c r="W44" s="58">
        <f>DATA!K44/DATA!J44</f>
        <v>2.7520395648928226</v>
      </c>
      <c r="X44" s="38">
        <f>DATA!H44/$AB$1</f>
        <v>0.12500367006221724</v>
      </c>
      <c r="Y44" s="38">
        <f>DATA!I44/$AB$1</f>
        <v>0.83216008424121224</v>
      </c>
      <c r="Z44" s="38">
        <f>DATA!J44/$AB$1</f>
        <v>0.27024626973074983</v>
      </c>
      <c r="AA44" s="38">
        <f>DATA!K44/$AB$1</f>
        <v>0.74372842656372129</v>
      </c>
    </row>
    <row r="45" spans="1:27" x14ac:dyDescent="0.25">
      <c r="A45" s="8">
        <v>44</v>
      </c>
      <c r="B45" s="7">
        <f>(DATA!H46-DATA!H45)/DATA!H45</f>
        <v>1.096815323538787E-2</v>
      </c>
      <c r="C45" s="7">
        <f>(DATA!I46-DATA!I45)/DATA!I45</f>
        <v>8.5939732615490528E-3</v>
      </c>
      <c r="D45" s="7">
        <f>(DATA!J46-DATA!J45)/DATA!J45</f>
        <v>1.5610856760550447E-3</v>
      </c>
      <c r="E45" s="7">
        <f>(DATA!K46-DATA!K45)/DATA!K45</f>
        <v>9.6833666577749028E-3</v>
      </c>
      <c r="F45" s="7">
        <f t="shared" si="4"/>
        <v>0.44296087635867581</v>
      </c>
      <c r="G45" s="7">
        <f t="shared" si="5"/>
        <v>0.32607673357425188</v>
      </c>
      <c r="H45" s="7">
        <f t="shared" si="6"/>
        <v>0.35941301609971277</v>
      </c>
      <c r="I45" s="7">
        <f t="shared" si="7"/>
        <v>0.32690978448956159</v>
      </c>
      <c r="J45" s="38">
        <f t="shared" si="8"/>
        <v>-5.0269235574927115E-2</v>
      </c>
      <c r="K45" s="38">
        <f t="shared" si="13"/>
        <v>-0.28040052731214421</v>
      </c>
      <c r="L45" s="38">
        <f t="shared" si="14"/>
        <v>-1.8221291140863623E-3</v>
      </c>
      <c r="M45" s="38">
        <f t="shared" si="15"/>
        <v>-0.11082186924685174</v>
      </c>
      <c r="N45" s="38">
        <f t="shared" si="16"/>
        <v>-0.66400992586552232</v>
      </c>
      <c r="O45" s="38">
        <f t="shared" si="9"/>
        <v>-3.8984003274979595E-3</v>
      </c>
      <c r="P45" s="38">
        <f t="shared" si="10"/>
        <v>9.0231266580917836E-3</v>
      </c>
      <c r="Q45" s="38">
        <f t="shared" si="11"/>
        <v>1.4616341146914135E-2</v>
      </c>
      <c r="R45" s="38">
        <f t="shared" si="12"/>
        <v>8.2058668486068107E-3</v>
      </c>
      <c r="S45" s="38">
        <f>SLOPE(DATA!H41:H45,A41:A45)/AVERAGE(DATA!H41:H45)</f>
        <v>3.5192617592508135E-2</v>
      </c>
      <c r="T45" s="38">
        <f>SLOPE(DATA!H26:H45,A26:A45)/AVERAGE(DATA!H26:H45)</f>
        <v>7.6520185084464742E-3</v>
      </c>
      <c r="U45" s="38">
        <f>DATA!H45/DATA!J45</f>
        <v>0.45270172768893729</v>
      </c>
      <c r="V45" s="58">
        <f>DATA!I45/DATA!J45</f>
        <v>3.1008533497750204</v>
      </c>
      <c r="W45" s="58">
        <f>DATA!K45/DATA!J45</f>
        <v>2.7785554054231327</v>
      </c>
      <c r="X45" s="38">
        <f>DATA!H45/$AB$1</f>
        <v>0.1243191922008431</v>
      </c>
      <c r="Y45" s="38">
        <f>DATA!I45/$AB$1</f>
        <v>0.8515443171495749</v>
      </c>
      <c r="Z45" s="38">
        <f>DATA!J45/$AB$1</f>
        <v>0.27461612049836476</v>
      </c>
      <c r="AA45" s="38">
        <f>DATA!K45/$AB$1</f>
        <v>0.76303610602706184</v>
      </c>
    </row>
    <row r="46" spans="1:27" x14ac:dyDescent="0.25">
      <c r="A46" s="8">
        <v>45</v>
      </c>
      <c r="B46" s="7">
        <f>(DATA!H47-DATA!H46)/DATA!H46</f>
        <v>1.9333572196345395E-2</v>
      </c>
      <c r="C46" s="7">
        <f>(DATA!I47-DATA!I46)/DATA!I46</f>
        <v>-9.8409710982949664E-3</v>
      </c>
      <c r="D46" s="7">
        <f>(DATA!J47-DATA!J46)/DATA!J46</f>
        <v>-3.3334206528003352E-3</v>
      </c>
      <c r="E46" s="7">
        <f>(DATA!K47-DATA!K46)/DATA!K46</f>
        <v>-9.3426697684205612E-3</v>
      </c>
      <c r="F46" s="7">
        <f t="shared" si="4"/>
        <v>0.45392902959406367</v>
      </c>
      <c r="G46" s="7">
        <f t="shared" si="5"/>
        <v>0.33467070683580091</v>
      </c>
      <c r="H46" s="7">
        <f t="shared" si="6"/>
        <v>0.36097410177576783</v>
      </c>
      <c r="I46" s="7">
        <f t="shared" si="7"/>
        <v>0.33659315114733651</v>
      </c>
      <c r="J46" s="38">
        <f t="shared" si="8"/>
        <v>-0.10108563067359243</v>
      </c>
      <c r="K46" s="38">
        <f t="shared" si="13"/>
        <v>-0.31296594934480643</v>
      </c>
      <c r="L46" s="38">
        <f t="shared" si="14"/>
        <v>-5.3113175615718926E-2</v>
      </c>
      <c r="M46" s="38">
        <f t="shared" si="15"/>
        <v>-0.20893372918114758</v>
      </c>
      <c r="N46" s="38">
        <f t="shared" si="16"/>
        <v>-0.70719924731163819</v>
      </c>
      <c r="O46" s="38">
        <f t="shared" si="9"/>
        <v>-0.10732493923020299</v>
      </c>
      <c r="P46" s="38">
        <f t="shared" si="10"/>
        <v>1.1074049420018677E-2</v>
      </c>
      <c r="Q46" s="38">
        <f t="shared" si="11"/>
        <v>1.6123394463012305E-2</v>
      </c>
      <c r="R46" s="38">
        <f t="shared" si="12"/>
        <v>1.0346505904374338E-2</v>
      </c>
      <c r="S46" s="38">
        <f>SLOPE(DATA!H42:H46,A42:A46)/AVERAGE(DATA!H42:H46)</f>
        <v>2.2284274914780199E-2</v>
      </c>
      <c r="T46" s="38">
        <f>SLOPE(DATA!H27:H46,A27:A46)/AVERAGE(DATA!H27:H46)</f>
        <v>9.908905326193115E-3</v>
      </c>
      <c r="U46" s="38">
        <f>DATA!H46/DATA!J46</f>
        <v>0.45695368575470213</v>
      </c>
      <c r="V46" s="58">
        <f>DATA!I46/DATA!J46</f>
        <v>3.1226273117828889</v>
      </c>
      <c r="W46" s="58">
        <f>DATA!K46/DATA!J46</f>
        <v>2.8010884371561797</v>
      </c>
      <c r="X46" s="38">
        <f>DATA!H46/$AB$1</f>
        <v>0.12568274415100159</v>
      </c>
      <c r="Y46" s="38">
        <f>DATA!I46/$AB$1</f>
        <v>0.85886246624218243</v>
      </c>
      <c r="Z46" s="38">
        <f>DATA!J46/$AB$1</f>
        <v>0.27504481979048856</v>
      </c>
      <c r="AA46" s="38">
        <f>DATA!K46/$AB$1</f>
        <v>0.77042486441484259</v>
      </c>
    </row>
    <row r="47" spans="1:27" x14ac:dyDescent="0.25">
      <c r="A47" s="8">
        <v>46</v>
      </c>
      <c r="B47" s="7">
        <f>(DATA!H48-DATA!H47)/DATA!H47</f>
        <v>4.4612226533940723E-2</v>
      </c>
      <c r="C47" s="7">
        <f>(DATA!I48-DATA!I47)/DATA!I47</f>
        <v>1.4054253957253252E-2</v>
      </c>
      <c r="D47" s="7">
        <f>(DATA!J48-DATA!J47)/DATA!J47</f>
        <v>2.2984880443139032E-2</v>
      </c>
      <c r="E47" s="7">
        <f>(DATA!K48-DATA!K47)/DATA!K47</f>
        <v>1.3962083361850661E-2</v>
      </c>
      <c r="F47" s="7">
        <f t="shared" si="4"/>
        <v>0.47326260179040908</v>
      </c>
      <c r="G47" s="7">
        <f t="shared" si="5"/>
        <v>0.32482973573750595</v>
      </c>
      <c r="H47" s="7">
        <f t="shared" si="6"/>
        <v>0.35764068112296749</v>
      </c>
      <c r="I47" s="7">
        <f t="shared" si="7"/>
        <v>0.32725048137891594</v>
      </c>
      <c r="J47" s="38">
        <f t="shared" si="8"/>
        <v>-0.10274816918517353</v>
      </c>
      <c r="K47" s="38">
        <f t="shared" si="13"/>
        <v>-0.2024228679758884</v>
      </c>
      <c r="L47" s="38">
        <f t="shared" si="14"/>
        <v>-6.5976752497688418E-2</v>
      </c>
      <c r="M47" s="38">
        <f t="shared" si="15"/>
        <v>-0.21947409912309931</v>
      </c>
      <c r="N47" s="38">
        <f t="shared" si="16"/>
        <v>-0.44956022101103005</v>
      </c>
      <c r="O47" s="38">
        <f t="shared" si="9"/>
        <v>-0.13896958812885316</v>
      </c>
      <c r="P47" s="38">
        <f t="shared" si="10"/>
        <v>1.4237547022534165E-2</v>
      </c>
      <c r="Q47" s="38">
        <f t="shared" si="11"/>
        <v>1.6943559128766515E-2</v>
      </c>
      <c r="R47" s="38">
        <f t="shared" si="12"/>
        <v>1.3605304740869488E-2</v>
      </c>
      <c r="S47" s="38">
        <f>SLOPE(DATA!H43:H47,A43:A47)/AVERAGE(DATA!H43:H47)</f>
        <v>1.3591057046882859E-2</v>
      </c>
      <c r="T47" s="38">
        <f>SLOPE(DATA!H28:H47,A28:A47)/AVERAGE(DATA!H28:H47)</f>
        <v>1.2033638508166735E-2</v>
      </c>
      <c r="U47" s="38">
        <f>DATA!H47/DATA!J47</f>
        <v>0.46734609395020599</v>
      </c>
      <c r="V47" s="58">
        <f>DATA!I47/DATA!J47</f>
        <v>3.1022386931866719</v>
      </c>
      <c r="W47" s="58">
        <f>DATA!K47/DATA!J47</f>
        <v>2.7841997016827982</v>
      </c>
      <c r="X47" s="38">
        <f>DATA!H47/$AB$1</f>
        <v>0.12811264055887978</v>
      </c>
      <c r="Y47" s="38">
        <f>DATA!I47/$AB$1</f>
        <v>0.85041042553448276</v>
      </c>
      <c r="Z47" s="38">
        <f>DATA!J47/$AB$1</f>
        <v>0.27412797970775321</v>
      </c>
      <c r="AA47" s="38">
        <f>DATA!K47/$AB$1</f>
        <v>0.76322703932523461</v>
      </c>
    </row>
    <row r="48" spans="1:27" x14ac:dyDescent="0.25">
      <c r="A48" s="8">
        <v>47</v>
      </c>
      <c r="B48" s="7">
        <f>(DATA!H49-DATA!H48)/DATA!H48</f>
        <v>2.1589027820773384E-2</v>
      </c>
      <c r="C48" s="7">
        <f>(DATA!I49-DATA!I48)/DATA!I48</f>
        <v>6.3545979713661646E-3</v>
      </c>
      <c r="D48" s="7">
        <f>(DATA!J49-DATA!J48)/DATA!J48</f>
        <v>9.8532292770658701E-3</v>
      </c>
      <c r="E48" s="7">
        <f>(DATA!K49-DATA!K48)/DATA!K48</f>
        <v>9.6803100306073753E-3</v>
      </c>
      <c r="F48" s="7">
        <f t="shared" si="4"/>
        <v>0.51787482832434983</v>
      </c>
      <c r="G48" s="7">
        <f t="shared" si="5"/>
        <v>0.33888398969475919</v>
      </c>
      <c r="H48" s="7">
        <f t="shared" si="6"/>
        <v>0.3806255615661065</v>
      </c>
      <c r="I48" s="7">
        <f t="shared" si="7"/>
        <v>0.34121256474076661</v>
      </c>
      <c r="J48" s="38">
        <f t="shared" si="8"/>
        <v>-0.2423171886180224</v>
      </c>
      <c r="K48" s="38">
        <f t="shared" si="13"/>
        <v>-0.20897222862136972</v>
      </c>
      <c r="L48" s="38">
        <f t="shared" si="14"/>
        <v>-0.19975337087274656</v>
      </c>
      <c r="M48" s="38">
        <f t="shared" si="15"/>
        <v>-0.52556945958037815</v>
      </c>
      <c r="N48" s="38">
        <f t="shared" si="16"/>
        <v>-0.44177865913600972</v>
      </c>
      <c r="O48" s="38">
        <f t="shared" si="9"/>
        <v>-0.42899538876472004</v>
      </c>
      <c r="P48" s="38">
        <f t="shared" si="10"/>
        <v>1.9145062136108247E-2</v>
      </c>
      <c r="Q48" s="38">
        <f t="shared" si="11"/>
        <v>1.8943790214243455E-2</v>
      </c>
      <c r="R48" s="38">
        <f t="shared" si="12"/>
        <v>1.8397569363598969E-2</v>
      </c>
      <c r="S48" s="38">
        <f>SLOPE(DATA!H44:H48,A44:A48)/AVERAGE(DATA!H44:H48)</f>
        <v>1.6832007963530651E-2</v>
      </c>
      <c r="T48" s="38">
        <f>SLOPE(DATA!H29:H48,A29:A48)/AVERAGE(DATA!H29:H48)</f>
        <v>1.4306283238285176E-2</v>
      </c>
      <c r="U48" s="38">
        <f>DATA!H48/DATA!J48</f>
        <v>0.47722645084626009</v>
      </c>
      <c r="V48" s="58">
        <f>DATA!I48/DATA!J48</f>
        <v>3.0751562449818546</v>
      </c>
      <c r="W48" s="58">
        <f>DATA!K48/DATA!J48</f>
        <v>2.7596428686129042</v>
      </c>
      <c r="X48" s="38">
        <f>DATA!H48/$AB$1</f>
        <v>0.13382803070135385</v>
      </c>
      <c r="Y48" s="38">
        <f>DATA!I48/$AB$1</f>
        <v>0.86236230962284022</v>
      </c>
      <c r="Z48" s="38">
        <f>DATA!J48/$AB$1</f>
        <v>0.28042877854745513</v>
      </c>
      <c r="AA48" s="38">
        <f>DATA!K48/$AB$1</f>
        <v>0.77388327887231201</v>
      </c>
    </row>
    <row r="49" spans="1:27" x14ac:dyDescent="0.25">
      <c r="A49" s="8">
        <v>48</v>
      </c>
      <c r="B49" s="7">
        <f>(DATA!H50-DATA!H49)/DATA!H49</f>
        <v>3.9261669806721911E-3</v>
      </c>
      <c r="C49" s="7">
        <f>(DATA!I50-DATA!I49)/DATA!I49</f>
        <v>3.550554381711838E-2</v>
      </c>
      <c r="D49" s="7">
        <f>(DATA!J50-DATA!J49)/DATA!J49</f>
        <v>3.8818463417271451E-2</v>
      </c>
      <c r="E49" s="7">
        <f>(DATA!K50-DATA!K49)/DATA!K49</f>
        <v>3.5724329981511961E-2</v>
      </c>
      <c r="F49" s="7">
        <f t="shared" si="4"/>
        <v>0.53946385614512327</v>
      </c>
      <c r="G49" s="7">
        <f t="shared" si="5"/>
        <v>0.34523858766612536</v>
      </c>
      <c r="H49" s="7">
        <f t="shared" si="6"/>
        <v>0.39047879084317239</v>
      </c>
      <c r="I49" s="7">
        <f t="shared" si="7"/>
        <v>0.35089287477137399</v>
      </c>
      <c r="J49" s="38">
        <f t="shared" si="8"/>
        <v>-0.26305367305940908</v>
      </c>
      <c r="K49" s="38">
        <f t="shared" si="13"/>
        <v>-0.23917197065918289</v>
      </c>
      <c r="L49" s="38">
        <f t="shared" si="14"/>
        <v>-0.22579650200816093</v>
      </c>
      <c r="M49" s="38">
        <f t="shared" si="15"/>
        <v>-0.50097871262102134</v>
      </c>
      <c r="N49" s="38">
        <f t="shared" si="16"/>
        <v>-0.44206334448694523</v>
      </c>
      <c r="O49" s="38">
        <f t="shared" si="9"/>
        <v>-0.42664116135061886</v>
      </c>
      <c r="P49" s="38">
        <f t="shared" si="10"/>
        <v>1.8783568550384402E-2</v>
      </c>
      <c r="Q49" s="38">
        <f t="shared" si="11"/>
        <v>1.8672380312712875E-2</v>
      </c>
      <c r="R49" s="38">
        <f t="shared" si="12"/>
        <v>1.8148321531161447E-2</v>
      </c>
      <c r="S49" s="38">
        <f>SLOPE(DATA!H45:H49,A45:A49)/AVERAGE(DATA!H45:H49)</f>
        <v>2.5391888702220124E-2</v>
      </c>
      <c r="T49" s="38">
        <f>SLOPE(DATA!H30:H49,A30:A49)/AVERAGE(DATA!H30:H49)</f>
        <v>1.6168416500917306E-2</v>
      </c>
      <c r="U49" s="38">
        <f>DATA!H49/DATA!J49</f>
        <v>0.48277243844573492</v>
      </c>
      <c r="V49" s="58">
        <f>DATA!I49/DATA!J49</f>
        <v>3.0645023820276176</v>
      </c>
      <c r="W49" s="58">
        <f>DATA!K49/DATA!J49</f>
        <v>2.7591703292859004</v>
      </c>
      <c r="X49" s="38">
        <f>DATA!H49/$AB$1</f>
        <v>0.1367172477793647</v>
      </c>
      <c r="Y49" s="38">
        <f>DATA!I49/$AB$1</f>
        <v>0.86784227540615211</v>
      </c>
      <c r="Z49" s="38">
        <f>DATA!J49/$AB$1</f>
        <v>0.28319190759837076</v>
      </c>
      <c r="AA49" s="38">
        <f>DATA!K49/$AB$1</f>
        <v>0.78137470893929895</v>
      </c>
    </row>
    <row r="50" spans="1:27" x14ac:dyDescent="0.25">
      <c r="A50" s="8">
        <v>49</v>
      </c>
      <c r="B50" s="7">
        <f>(DATA!H51-DATA!H50)/DATA!H50</f>
        <v>-2.5735245869368366E-2</v>
      </c>
      <c r="C50" s="7">
        <f>(DATA!I51-DATA!I50)/DATA!I50</f>
        <v>9.6838172435806617E-3</v>
      </c>
      <c r="D50" s="7">
        <f>(DATA!J51-DATA!J50)/DATA!J50</f>
        <v>1.7823685725131946E-2</v>
      </c>
      <c r="E50" s="7">
        <f>(DATA!K51-DATA!K50)/DATA!K50</f>
        <v>9.7843046043655443E-3</v>
      </c>
      <c r="F50" s="7">
        <f t="shared" si="4"/>
        <v>0.54339002312579543</v>
      </c>
      <c r="G50" s="7">
        <f t="shared" si="5"/>
        <v>0.38074413148324376</v>
      </c>
      <c r="H50" s="7">
        <f t="shared" si="6"/>
        <v>0.42929725426044385</v>
      </c>
      <c r="I50" s="7">
        <f t="shared" si="7"/>
        <v>0.38661720475288597</v>
      </c>
      <c r="J50" s="38">
        <f t="shared" si="8"/>
        <v>-0.23410538416442483</v>
      </c>
      <c r="K50" s="38">
        <f t="shared" si="13"/>
        <v>-0.21535489627649765</v>
      </c>
      <c r="L50" s="38">
        <f t="shared" si="14"/>
        <v>-0.1975536226309616</v>
      </c>
      <c r="M50" s="38">
        <f t="shared" si="15"/>
        <v>-0.46760611822025144</v>
      </c>
      <c r="N50" s="38">
        <f t="shared" si="16"/>
        <v>-0.43425577632143114</v>
      </c>
      <c r="O50" s="38">
        <f t="shared" si="9"/>
        <v>-0.3914968012821618</v>
      </c>
      <c r="P50" s="38">
        <f t="shared" si="10"/>
        <v>1.7589597010488144E-2</v>
      </c>
      <c r="Q50" s="38">
        <f t="shared" si="11"/>
        <v>1.760229771857074E-2</v>
      </c>
      <c r="R50" s="38">
        <f t="shared" si="12"/>
        <v>1.6943170747620185E-2</v>
      </c>
      <c r="S50" s="38">
        <f>SLOPE(DATA!H46:H50,A46:A50)/AVERAGE(DATA!H46:H50)</f>
        <v>2.3992910350235232E-2</v>
      </c>
      <c r="T50" s="38">
        <f>SLOPE(DATA!H31:H50,A31:A50)/AVERAGE(DATA!H31:H50)</f>
        <v>1.7866910832524955E-2</v>
      </c>
      <c r="U50" s="38">
        <f>DATA!H50/DATA!J50</f>
        <v>0.46655686312927835</v>
      </c>
      <c r="V50" s="58">
        <f>DATA!I50/DATA!J50</f>
        <v>3.0547293077478845</v>
      </c>
      <c r="W50" s="58">
        <f>DATA!K50/DATA!J50</f>
        <v>2.7509521068808858</v>
      </c>
      <c r="X50" s="38">
        <f>DATA!H50/$AB$1</f>
        <v>0.13725402252328442</v>
      </c>
      <c r="Y50" s="38">
        <f>DATA!I50/$AB$1</f>
        <v>0.89865548734193301</v>
      </c>
      <c r="Z50" s="38">
        <f>DATA!J50/$AB$1</f>
        <v>0.29418498230354539</v>
      </c>
      <c r="AA50" s="38">
        <f>DATA!K50/$AB$1</f>
        <v>0.80928879688065436</v>
      </c>
    </row>
    <row r="51" spans="1:27" x14ac:dyDescent="0.25">
      <c r="A51" s="8">
        <v>50</v>
      </c>
      <c r="B51" s="7">
        <f>(DATA!H52-DATA!H51)/DATA!H51</f>
        <v>-4.9678062447803012E-2</v>
      </c>
      <c r="C51" s="7">
        <f>(DATA!I52-DATA!I51)/DATA!I51</f>
        <v>2.9334821944360517E-2</v>
      </c>
      <c r="D51" s="7">
        <f>(DATA!J52-DATA!J51)/DATA!J51</f>
        <v>2.8339740003489079E-2</v>
      </c>
      <c r="E51" s="7">
        <f>(DATA!K52-DATA!K51)/DATA!K51</f>
        <v>2.7946579910819575E-2</v>
      </c>
      <c r="F51" s="7">
        <f t="shared" si="4"/>
        <v>0.51765477725642706</v>
      </c>
      <c r="G51" s="7">
        <f t="shared" si="5"/>
        <v>0.3904279487268244</v>
      </c>
      <c r="H51" s="7">
        <f t="shared" si="6"/>
        <v>0.44712093998557578</v>
      </c>
      <c r="I51" s="7">
        <f t="shared" si="7"/>
        <v>0.39640150935725149</v>
      </c>
      <c r="J51" s="38">
        <f t="shared" si="8"/>
        <v>-0.36920209483841276</v>
      </c>
      <c r="K51" s="38">
        <f t="shared" si="13"/>
        <v>-0.33300899865149836</v>
      </c>
      <c r="L51" s="38">
        <f t="shared" si="14"/>
        <v>-0.3276718449484235</v>
      </c>
      <c r="M51" s="38">
        <f t="shared" si="15"/>
        <v>-0.80616603065543424</v>
      </c>
      <c r="N51" s="38">
        <f t="shared" si="16"/>
        <v>-0.73463793626072649</v>
      </c>
      <c r="O51" s="38">
        <f t="shared" si="9"/>
        <v>-0.71735858313753298</v>
      </c>
      <c r="P51" s="38">
        <f t="shared" si="10"/>
        <v>1.914896233215219E-2</v>
      </c>
      <c r="Q51" s="38">
        <f t="shared" si="11"/>
        <v>1.8525539491947643E-2</v>
      </c>
      <c r="R51" s="38">
        <f t="shared" si="12"/>
        <v>1.8287933869810997E-2</v>
      </c>
      <c r="S51" s="38">
        <f>SLOPE(DATA!H47:H51,A47:A51)/AVERAGE(DATA!H47:H51)</f>
        <v>1.0934503266901405E-2</v>
      </c>
      <c r="T51" s="38">
        <f>SLOPE(DATA!H32:H51,A32:A51)/AVERAGE(DATA!H32:H51)</f>
        <v>1.853221658127284E-2</v>
      </c>
      <c r="U51" s="38">
        <f>DATA!H51/DATA!J51</f>
        <v>0.44659002725090685</v>
      </c>
      <c r="V51" s="58">
        <f>DATA!I51/DATA!J51</f>
        <v>3.0302996396624016</v>
      </c>
      <c r="W51" s="58">
        <f>DATA!K51/DATA!J51</f>
        <v>2.7292234393892909</v>
      </c>
      <c r="X51" s="38">
        <f>DATA!H51/$AB$1</f>
        <v>0.13372175650708787</v>
      </c>
      <c r="Y51" s="38">
        <f>DATA!I51/$AB$1</f>
        <v>0.90735790284629314</v>
      </c>
      <c r="Z51" s="38">
        <f>DATA!J51/$AB$1</f>
        <v>0.29942844297317733</v>
      </c>
      <c r="AA51" s="38">
        <f>DATA!K51/$AB$1</f>
        <v>0.81720712498223513</v>
      </c>
    </row>
    <row r="52" spans="1:27" x14ac:dyDescent="0.25">
      <c r="A52" s="8">
        <v>51</v>
      </c>
      <c r="B52" s="7">
        <f>(DATA!H53-DATA!H52)/DATA!H52</f>
        <v>2.1899362154500356E-2</v>
      </c>
      <c r="C52" s="7">
        <f>(DATA!I53-DATA!I52)/DATA!I52</f>
        <v>1.0295213541497938E-2</v>
      </c>
      <c r="D52" s="7">
        <f>(DATA!J53-DATA!J52)/DATA!J52</f>
        <v>1.3770591538749532E-2</v>
      </c>
      <c r="E52" s="7">
        <f>(DATA!K53-DATA!K52)/DATA!K52</f>
        <v>1.1212223875668467E-2</v>
      </c>
      <c r="F52" s="7">
        <f t="shared" si="4"/>
        <v>0.46797671480862402</v>
      </c>
      <c r="G52" s="7">
        <f t="shared" si="5"/>
        <v>0.41976277067118495</v>
      </c>
      <c r="H52" s="7">
        <f t="shared" si="6"/>
        <v>0.47546067998906488</v>
      </c>
      <c r="I52" s="7">
        <f t="shared" si="7"/>
        <v>0.42434808926807105</v>
      </c>
      <c r="J52" s="38">
        <f t="shared" si="8"/>
        <v>-0.4227754762660253</v>
      </c>
      <c r="K52" s="38">
        <f t="shared" si="13"/>
        <v>-0.37512437919770336</v>
      </c>
      <c r="L52" s="38">
        <f t="shared" si="14"/>
        <v>-0.38425598104296976</v>
      </c>
      <c r="M52" s="38">
        <f t="shared" si="15"/>
        <v>-0.88241024906298182</v>
      </c>
      <c r="N52" s="38">
        <f t="shared" si="16"/>
        <v>-0.789507207461979</v>
      </c>
      <c r="O52" s="38">
        <f t="shared" si="9"/>
        <v>-0.80561779806664369</v>
      </c>
      <c r="P52" s="38">
        <f t="shared" si="10"/>
        <v>2.2656503587903686E-2</v>
      </c>
      <c r="Q52" s="38">
        <f t="shared" si="11"/>
        <v>2.1890728901494967E-2</v>
      </c>
      <c r="R52" s="38">
        <f t="shared" si="12"/>
        <v>2.1988559640307999E-2</v>
      </c>
      <c r="S52" s="38">
        <f>SLOPE(DATA!H48:H52,A48:A52)/AVERAGE(DATA!H48:H52)</f>
        <v>-1.2334819564368172E-2</v>
      </c>
      <c r="T52" s="38">
        <f>SLOPE(DATA!H33:H52,A33:A52)/AVERAGE(DATA!H33:H52)</f>
        <v>1.8112086646546829E-2</v>
      </c>
      <c r="U52" s="38">
        <f>DATA!H52/DATA!J52</f>
        <v>0.41270825533508049</v>
      </c>
      <c r="V52" s="58">
        <f>DATA!I52/DATA!J52</f>
        <v>3.0332319356046424</v>
      </c>
      <c r="W52" s="58">
        <f>DATA!K52/DATA!J52</f>
        <v>2.7281799887682516</v>
      </c>
      <c r="X52" s="38">
        <f>DATA!H52/$AB$1</f>
        <v>0.12707871873669885</v>
      </c>
      <c r="Y52" s="38">
        <f>DATA!I52/$AB$1</f>
        <v>0.93397508536609752</v>
      </c>
      <c r="Z52" s="38">
        <f>DATA!J52/$AB$1</f>
        <v>0.30791416719668674</v>
      </c>
      <c r="AA52" s="38">
        <f>DATA!K52/$AB$1</f>
        <v>0.84004526920424227</v>
      </c>
    </row>
    <row r="53" spans="1:27" x14ac:dyDescent="0.25">
      <c r="A53" s="8">
        <v>52</v>
      </c>
      <c r="B53" s="7">
        <f>(DATA!H54-DATA!H53)/DATA!H53</f>
        <v>3.2998127470698385E-2</v>
      </c>
      <c r="C53" s="7">
        <f>(DATA!I54-DATA!I53)/DATA!I53</f>
        <v>-3.4456362591652967E-2</v>
      </c>
      <c r="D53" s="7">
        <f>(DATA!J54-DATA!J53)/DATA!J53</f>
        <v>-2.1425521356276473E-2</v>
      </c>
      <c r="E53" s="7">
        <f>(DATA!K54-DATA!K53)/DATA!K53</f>
        <v>-3.4612326254519238E-2</v>
      </c>
      <c r="F53" s="7">
        <f t="shared" si="4"/>
        <v>0.48987607696312435</v>
      </c>
      <c r="G53" s="7">
        <f t="shared" si="5"/>
        <v>0.43005798421268288</v>
      </c>
      <c r="H53" s="7">
        <f t="shared" si="6"/>
        <v>0.48923127152781443</v>
      </c>
      <c r="I53" s="7">
        <f t="shared" si="7"/>
        <v>0.4355603131437395</v>
      </c>
      <c r="J53" s="38">
        <f t="shared" si="8"/>
        <v>-0.42211527035475421</v>
      </c>
      <c r="K53" s="38">
        <f t="shared" si="13"/>
        <v>-0.40200066420509029</v>
      </c>
      <c r="L53" s="38">
        <f t="shared" si="14"/>
        <v>-0.39410473656276829</v>
      </c>
      <c r="M53" s="38">
        <f t="shared" si="15"/>
        <v>-0.6943157228634167</v>
      </c>
      <c r="N53" s="38">
        <f t="shared" si="16"/>
        <v>-0.7345816633005291</v>
      </c>
      <c r="O53" s="38">
        <f t="shared" si="9"/>
        <v>-0.6466808468102383</v>
      </c>
      <c r="P53" s="38">
        <f t="shared" si="10"/>
        <v>2.0706801380397315E-2</v>
      </c>
      <c r="Q53" s="38">
        <f t="shared" si="11"/>
        <v>2.1886243215798191E-2</v>
      </c>
      <c r="R53" s="38">
        <f t="shared" si="12"/>
        <v>2.0485017548079319E-2</v>
      </c>
      <c r="S53" s="38">
        <f>SLOPE(DATA!H49:H53,A49:A53)/AVERAGE(DATA!H49:H53)</f>
        <v>-1.7969662558979679E-2</v>
      </c>
      <c r="T53" s="38">
        <f>SLOPE(DATA!H34:H53,A34:A53)/AVERAGE(DATA!H34:H53)</f>
        <v>1.7319995037096188E-2</v>
      </c>
      <c r="U53" s="38">
        <f>DATA!H53/DATA!J53</f>
        <v>0.41601749587415898</v>
      </c>
      <c r="V53" s="58">
        <f>DATA!I53/DATA!J53</f>
        <v>3.0228335006751377</v>
      </c>
      <c r="W53" s="58">
        <f>DATA!K53/DATA!J53</f>
        <v>2.7212951101570706</v>
      </c>
      <c r="X53" s="38">
        <f>DATA!H53/$AB$1</f>
        <v>0.12986166162044371</v>
      </c>
      <c r="Y53" s="38">
        <f>DATA!I53/$AB$1</f>
        <v>0.94359055831238026</v>
      </c>
      <c r="Z53" s="38">
        <f>DATA!J53/$AB$1</f>
        <v>0.31215432742214655</v>
      </c>
      <c r="AA53" s="38">
        <f>DATA!K53/$AB$1</f>
        <v>0.84946404482825644</v>
      </c>
    </row>
    <row r="54" spans="1:27" x14ac:dyDescent="0.25">
      <c r="A54" s="8">
        <v>53</v>
      </c>
      <c r="B54" s="7">
        <f>(DATA!H55-DATA!H54)/DATA!H54</f>
        <v>2.3968096248355129E-2</v>
      </c>
      <c r="C54" s="7">
        <f>(DATA!I55-DATA!I54)/DATA!I54</f>
        <v>1.9340412533783095E-2</v>
      </c>
      <c r="D54" s="7">
        <f>(DATA!J55-DATA!J54)/DATA!J54</f>
        <v>2.8805613704042221E-2</v>
      </c>
      <c r="E54" s="7">
        <f>(DATA!K55-DATA!K54)/DATA!K54</f>
        <v>1.9359855207436435E-2</v>
      </c>
      <c r="F54" s="7">
        <f t="shared" si="4"/>
        <v>0.52287420443382271</v>
      </c>
      <c r="G54" s="7">
        <f t="shared" si="5"/>
        <v>0.39560162162102991</v>
      </c>
      <c r="H54" s="7">
        <f t="shared" si="6"/>
        <v>0.46780575017153797</v>
      </c>
      <c r="I54" s="7">
        <f t="shared" si="7"/>
        <v>0.40094798688922029</v>
      </c>
      <c r="J54" s="38">
        <f t="shared" si="8"/>
        <v>-0.3884023595985725</v>
      </c>
      <c r="K54" s="38">
        <f t="shared" si="13"/>
        <v>-0.34855125493331418</v>
      </c>
      <c r="L54" s="38">
        <f t="shared" si="14"/>
        <v>-0.35933341995672902</v>
      </c>
      <c r="M54" s="38">
        <f t="shared" si="15"/>
        <v>-0.63296618886472589</v>
      </c>
      <c r="N54" s="38">
        <f t="shared" si="16"/>
        <v>-0.61029588902770027</v>
      </c>
      <c r="O54" s="38">
        <f t="shared" si="9"/>
        <v>-0.58557321693990283</v>
      </c>
      <c r="P54" s="38">
        <f t="shared" si="10"/>
        <v>2.0322023021374327E-2</v>
      </c>
      <c r="Q54" s="38">
        <f t="shared" si="11"/>
        <v>2.0962298890582674E-2</v>
      </c>
      <c r="R54" s="38">
        <f t="shared" si="12"/>
        <v>2.0048026637754041E-2</v>
      </c>
      <c r="S54" s="38">
        <f>SLOPE(DATA!H50:H54,A50:A54)/AVERAGE(DATA!H50:H54)</f>
        <v>-7.6083644397044259E-3</v>
      </c>
      <c r="T54" s="38">
        <f>SLOPE(DATA!H35:H54,A35:A54)/AVERAGE(DATA!H35:H54)</f>
        <v>1.6607293847239607E-2</v>
      </c>
      <c r="U54" s="38">
        <f>DATA!H54/DATA!J54</f>
        <v>0.43915440634490077</v>
      </c>
      <c r="V54" s="58">
        <f>DATA!I54/DATA!J54</f>
        <v>2.9825810065748741</v>
      </c>
      <c r="W54" s="58">
        <f>DATA!K54/DATA!J54</f>
        <v>2.6846242297372997</v>
      </c>
      <c r="X54" s="38">
        <f>DATA!H54/$AB$1</f>
        <v>0.1341468532841518</v>
      </c>
      <c r="Y54" s="38">
        <f>DATA!I54/$AB$1</f>
        <v>0.91107785989710866</v>
      </c>
      <c r="Z54" s="38">
        <f>DATA!J54/$AB$1</f>
        <v>0.3054662582135092</v>
      </c>
      <c r="AA54" s="38">
        <f>DATA!K54/$AB$1</f>
        <v>0.82006211816717733</v>
      </c>
    </row>
    <row r="55" spans="1:27" x14ac:dyDescent="0.25">
      <c r="A55" s="8">
        <v>54</v>
      </c>
      <c r="B55" s="7">
        <f>(DATA!H56-DATA!H55)/DATA!H55</f>
        <v>-7.4220747715023801E-3</v>
      </c>
      <c r="C55" s="7">
        <f>(DATA!I56-DATA!I55)/DATA!I55</f>
        <v>2.6660284252751302E-2</v>
      </c>
      <c r="D55" s="7">
        <f>(DATA!J56-DATA!J55)/DATA!J55</f>
        <v>2.5614718862841748E-2</v>
      </c>
      <c r="E55" s="7">
        <f>(DATA!K56-DATA!K55)/DATA!K55</f>
        <v>2.718030709825334E-2</v>
      </c>
      <c r="F55" s="7">
        <f t="shared" si="4"/>
        <v>0.54684230068217787</v>
      </c>
      <c r="G55" s="7">
        <f t="shared" si="5"/>
        <v>0.41494203415481301</v>
      </c>
      <c r="H55" s="7">
        <f t="shared" si="6"/>
        <v>0.49661136387558019</v>
      </c>
      <c r="I55" s="7">
        <f t="shared" si="7"/>
        <v>0.42030784209665673</v>
      </c>
      <c r="J55" s="38">
        <f t="shared" si="8"/>
        <v>-0.44602670012766604</v>
      </c>
      <c r="K55" s="38">
        <f t="shared" si="13"/>
        <v>-0.38356583584014331</v>
      </c>
      <c r="L55" s="38">
        <f t="shared" si="14"/>
        <v>-0.4192878420755517</v>
      </c>
      <c r="M55" s="38">
        <f t="shared" si="15"/>
        <v>-0.70128512552405387</v>
      </c>
      <c r="N55" s="38">
        <f t="shared" si="16"/>
        <v>-0.64845862884407213</v>
      </c>
      <c r="O55" s="38">
        <f t="shared" si="9"/>
        <v>-0.65916397878495658</v>
      </c>
      <c r="P55" s="38">
        <f t="shared" si="10"/>
        <v>2.2086110137653023E-2</v>
      </c>
      <c r="Q55" s="38">
        <f t="shared" si="11"/>
        <v>2.2166603992808981E-2</v>
      </c>
      <c r="R55" s="38">
        <f t="shared" si="12"/>
        <v>2.1861756068685678E-2</v>
      </c>
      <c r="S55" s="38">
        <f>SLOPE(DATA!H51:H55,A51:A55)/AVERAGE(DATA!H51:H55)</f>
        <v>1.0834675313370474E-2</v>
      </c>
      <c r="T55" s="38">
        <f>SLOPE(DATA!H36:H55,A36:A55)/AVERAGE(DATA!H36:H55)</f>
        <v>1.6335567662401653E-2</v>
      </c>
      <c r="U55" s="38">
        <f>DATA!H55/DATA!J55</f>
        <v>0.43708947096922107</v>
      </c>
      <c r="V55" s="58">
        <f>DATA!I55/DATA!J55</f>
        <v>2.9551407118702357</v>
      </c>
      <c r="W55" s="58">
        <f>DATA!K55/DATA!J55</f>
        <v>2.6599759270934831</v>
      </c>
      <c r="X55" s="38">
        <f>DATA!H55/$AB$1</f>
        <v>0.13736209797508034</v>
      </c>
      <c r="Y55" s="38">
        <f>DATA!I55/$AB$1</f>
        <v>0.92869848155791501</v>
      </c>
      <c r="Z55" s="38">
        <f>DATA!J55/$AB$1</f>
        <v>0.31426540124722674</v>
      </c>
      <c r="AA55" s="38">
        <f>DATA!K55/$AB$1</f>
        <v>0.83593840203599745</v>
      </c>
    </row>
    <row r="56" spans="1:27" x14ac:dyDescent="0.25">
      <c r="A56" s="8">
        <v>55</v>
      </c>
      <c r="B56" s="7">
        <f>(DATA!H57-DATA!H56)/DATA!H56</f>
        <v>-4.7217047811554572E-2</v>
      </c>
      <c r="C56" s="7">
        <f>(DATA!I57-DATA!I56)/DATA!I56</f>
        <v>2.816528095003288E-2</v>
      </c>
      <c r="D56" s="7">
        <f>(DATA!J57-DATA!J56)/DATA!J56</f>
        <v>2.2672530862472687E-2</v>
      </c>
      <c r="E56" s="7">
        <f>(DATA!K57-DATA!K56)/DATA!K56</f>
        <v>2.830920914621355E-2</v>
      </c>
      <c r="F56" s="7">
        <f t="shared" si="4"/>
        <v>0.53942022591067551</v>
      </c>
      <c r="G56" s="7">
        <f t="shared" si="5"/>
        <v>0.44160231840756431</v>
      </c>
      <c r="H56" s="7">
        <f t="shared" si="6"/>
        <v>0.52222608273842197</v>
      </c>
      <c r="I56" s="7">
        <f t="shared" si="7"/>
        <v>0.44748814919491009</v>
      </c>
      <c r="J56" s="38">
        <f t="shared" si="8"/>
        <v>-0.49459233882760684</v>
      </c>
      <c r="K56" s="38">
        <f t="shared" si="13"/>
        <v>-0.41187893589763663</v>
      </c>
      <c r="L56" s="38">
        <f t="shared" si="14"/>
        <v>-0.46912374829037468</v>
      </c>
      <c r="M56" s="38">
        <f t="shared" si="15"/>
        <v>-0.87035099679365091</v>
      </c>
      <c r="N56" s="38">
        <f t="shared" si="16"/>
        <v>-0.79400192333691133</v>
      </c>
      <c r="O56" s="38">
        <f t="shared" si="9"/>
        <v>-0.82347623342448117</v>
      </c>
      <c r="P56" s="38">
        <f t="shared" si="10"/>
        <v>2.1248047735989824E-2</v>
      </c>
      <c r="Q56" s="38">
        <f t="shared" si="11"/>
        <v>2.0948975493776334E-2</v>
      </c>
      <c r="R56" s="38">
        <f t="shared" si="12"/>
        <v>2.1064254624626702E-2</v>
      </c>
      <c r="S56" s="38">
        <f>SLOPE(DATA!H52:H56,A52:A56)/AVERAGE(DATA!H52:H56)</f>
        <v>1.9576179109168697E-2</v>
      </c>
      <c r="T56" s="38">
        <f>SLOPE(DATA!H37:H56,A37:A56)/AVERAGE(DATA!H37:H56)</f>
        <v>1.5359963383818082E-2</v>
      </c>
      <c r="U56" s="38">
        <f>DATA!H56/DATA!J56</f>
        <v>0.42301007605943924</v>
      </c>
      <c r="V56" s="58">
        <f>DATA!I56/DATA!J56</f>
        <v>2.9581533371707676</v>
      </c>
      <c r="W56" s="58">
        <f>DATA!K56/DATA!J56</f>
        <v>2.6640363475821371</v>
      </c>
      <c r="X56" s="38">
        <f>DATA!H56/$AB$1</f>
        <v>0.13634258621313886</v>
      </c>
      <c r="Y56" s="38">
        <f>DATA!I56/$AB$1</f>
        <v>0.95345784706134751</v>
      </c>
      <c r="Z56" s="38">
        <f>DATA!J56/$AB$1</f>
        <v>0.32231522114849265</v>
      </c>
      <c r="AA56" s="38">
        <f>DATA!K56/$AB$1</f>
        <v>0.85865946451855901</v>
      </c>
    </row>
    <row r="57" spans="1:27" x14ac:dyDescent="0.25">
      <c r="A57" s="8">
        <v>56</v>
      </c>
      <c r="B57" s="7">
        <f>(DATA!H58-DATA!H57)/DATA!H57</f>
        <v>-3.0851786630430263E-2</v>
      </c>
      <c r="C57" s="7">
        <f>(DATA!I58-DATA!I57)/DATA!I57</f>
        <v>2.0083136467760321E-2</v>
      </c>
      <c r="D57" s="7">
        <f>(DATA!J58-DATA!J57)/DATA!J57</f>
        <v>1.7869243043563795E-2</v>
      </c>
      <c r="E57" s="7">
        <f>(DATA!K58-DATA!K57)/DATA!K57</f>
        <v>1.9671763277879211E-2</v>
      </c>
      <c r="F57" s="7">
        <f t="shared" si="4"/>
        <v>0.49220317809912095</v>
      </c>
      <c r="G57" s="7">
        <f t="shared" si="5"/>
        <v>0.46976759935759721</v>
      </c>
      <c r="H57" s="7">
        <f t="shared" si="6"/>
        <v>0.54489861360089464</v>
      </c>
      <c r="I57" s="7">
        <f t="shared" si="7"/>
        <v>0.47579735834112363</v>
      </c>
      <c r="J57" s="38">
        <f t="shared" si="8"/>
        <v>-0.50184054875021356</v>
      </c>
      <c r="K57" s="38">
        <f t="shared" si="13"/>
        <v>-0.41695274210831618</v>
      </c>
      <c r="L57" s="38">
        <f t="shared" si="14"/>
        <v>-0.47516013784738159</v>
      </c>
      <c r="M57" s="38">
        <f t="shared" si="15"/>
        <v>-0.92557613612210332</v>
      </c>
      <c r="N57" s="38">
        <f t="shared" si="16"/>
        <v>-0.86319214696347457</v>
      </c>
      <c r="O57" s="38">
        <f t="shared" si="9"/>
        <v>-0.88065218499245557</v>
      </c>
      <c r="P57" s="38">
        <f t="shared" si="10"/>
        <v>2.0235199572917383E-2</v>
      </c>
      <c r="Q57" s="38">
        <f t="shared" si="11"/>
        <v>2.0262932101663633E-2</v>
      </c>
      <c r="R57" s="38">
        <f t="shared" si="12"/>
        <v>2.0162068959550493E-2</v>
      </c>
      <c r="S57" s="38">
        <f>SLOPE(DATA!H53:H57,A53:A57)/AVERAGE(DATA!H53:H57)</f>
        <v>1.7092056982516727E-3</v>
      </c>
      <c r="T57" s="38">
        <f>SLOPE(DATA!H38:H57,A38:A57)/AVERAGE(DATA!H38:H57)</f>
        <v>1.3428022215336339E-2</v>
      </c>
      <c r="U57" s="38">
        <f>DATA!H57/DATA!J57</f>
        <v>0.39410151041552821</v>
      </c>
      <c r="V57" s="58">
        <f>DATA!I57/DATA!J57</f>
        <v>2.974041509104024</v>
      </c>
      <c r="W57" s="58">
        <f>DATA!K57/DATA!J57</f>
        <v>2.6787197534372336</v>
      </c>
      <c r="X57" s="38">
        <f>DATA!H57/$AB$1</f>
        <v>0.12990489180116208</v>
      </c>
      <c r="Y57" s="38">
        <f>DATA!I57/$AB$1</f>
        <v>0.98031225519784382</v>
      </c>
      <c r="Z57" s="38">
        <f>DATA!J57/$AB$1</f>
        <v>0.32962292294742657</v>
      </c>
      <c r="AA57" s="38">
        <f>DATA!K57/$AB$1</f>
        <v>0.88296743488499063</v>
      </c>
    </row>
    <row r="58" spans="1:27" x14ac:dyDescent="0.25">
      <c r="A58" s="8">
        <v>57</v>
      </c>
      <c r="B58" s="7">
        <f>(DATA!H59-DATA!H58)/DATA!H58</f>
        <v>-4.9989984834177471E-2</v>
      </c>
      <c r="C58" s="7">
        <f>(DATA!I59-DATA!I58)/DATA!I58</f>
        <v>-1.0776203298570822E-2</v>
      </c>
      <c r="D58" s="7">
        <f>(DATA!J59-DATA!J58)/DATA!J58</f>
        <v>-9.4756960475878577E-3</v>
      </c>
      <c r="E58" s="7">
        <f>(DATA!K59-DATA!K58)/DATA!K58</f>
        <v>-1.2434028625274589E-2</v>
      </c>
      <c r="F58" s="7">
        <f t="shared" si="4"/>
        <v>0.4613513914686907</v>
      </c>
      <c r="G58" s="7">
        <f t="shared" si="5"/>
        <v>0.48985073582535754</v>
      </c>
      <c r="H58" s="7">
        <f t="shared" si="6"/>
        <v>0.56276785664445839</v>
      </c>
      <c r="I58" s="7">
        <f t="shared" si="7"/>
        <v>0.49546912161900286</v>
      </c>
      <c r="J58" s="38">
        <f t="shared" si="8"/>
        <v>-0.32841594368162619</v>
      </c>
      <c r="K58" s="38">
        <f t="shared" si="13"/>
        <v>-0.24530393046240026</v>
      </c>
      <c r="L58" s="38">
        <f t="shared" si="14"/>
        <v>-0.29486801850551991</v>
      </c>
      <c r="M58" s="38">
        <f t="shared" si="15"/>
        <v>-0.62568005044046349</v>
      </c>
      <c r="N58" s="38">
        <f t="shared" si="16"/>
        <v>-0.51985201912697521</v>
      </c>
      <c r="O58" s="38">
        <f t="shared" si="9"/>
        <v>-0.55935874344765246</v>
      </c>
      <c r="P58" s="38">
        <f t="shared" si="10"/>
        <v>1.4073046615796489E-2</v>
      </c>
      <c r="Q58" s="38">
        <f t="shared" si="11"/>
        <v>1.3506791572827023E-2</v>
      </c>
      <c r="R58" s="38">
        <f t="shared" si="12"/>
        <v>1.3671824049245596E-2</v>
      </c>
      <c r="S58" s="38">
        <f>SLOPE(DATA!H54:H58,A54:A58)/AVERAGE(DATA!H54:H58)</f>
        <v>-1.8049120749974893E-2</v>
      </c>
      <c r="T58" s="38">
        <f>SLOPE(DATA!H39:H58,A39:A58)/AVERAGE(DATA!H39:H58)</f>
        <v>1.1020730670213289E-2</v>
      </c>
      <c r="U58" s="38">
        <f>DATA!H58/DATA!J58</f>
        <v>0.37523756348447918</v>
      </c>
      <c r="V58" s="58">
        <f>DATA!I58/DATA!J58</f>
        <v>2.9805101306733377</v>
      </c>
      <c r="W58" s="58">
        <f>DATA!K58/DATA!J58</f>
        <v>2.6834634340137224</v>
      </c>
      <c r="X58" s="38">
        <f>DATA!H58/$AB$1</f>
        <v>0.12589709379706349</v>
      </c>
      <c r="Y58" s="38">
        <f>DATA!I58/$AB$1</f>
        <v>1</v>
      </c>
      <c r="Z58" s="38">
        <f>DATA!J58/$AB$1</f>
        <v>0.335513035070304</v>
      </c>
      <c r="AA58" s="38">
        <f>DATA!K58/$AB$1</f>
        <v>0.90033696124612439</v>
      </c>
    </row>
    <row r="59" spans="1:27" x14ac:dyDescent="0.25">
      <c r="A59" s="8">
        <v>58</v>
      </c>
      <c r="B59" s="7">
        <f>(DATA!H60-DATA!H59)/DATA!H59</f>
        <v>-4.0060240963855423E-2</v>
      </c>
      <c r="C59" s="7">
        <f>(DATA!I60-DATA!I59)/DATA!I59</f>
        <v>-2.6961219450418364E-2</v>
      </c>
      <c r="D59" s="7">
        <f>(DATA!J60-DATA!J59)/DATA!J59</f>
        <v>-1.913810765253305E-2</v>
      </c>
      <c r="E59" s="7">
        <f>(DATA!K60-DATA!K59)/DATA!K59</f>
        <v>-2.6088735735571477E-2</v>
      </c>
      <c r="F59" s="7">
        <f t="shared" si="4"/>
        <v>0.4113614066345132</v>
      </c>
      <c r="G59" s="7">
        <f t="shared" si="5"/>
        <v>0.47907453252678672</v>
      </c>
      <c r="H59" s="7">
        <f t="shared" si="6"/>
        <v>0.55329216059687047</v>
      </c>
      <c r="I59" s="7">
        <f t="shared" si="7"/>
        <v>0.48303509299372827</v>
      </c>
      <c r="J59" s="38">
        <f t="shared" si="8"/>
        <v>-0.15115336594898468</v>
      </c>
      <c r="K59" s="38">
        <f t="shared" si="13"/>
        <v>-9.5211285505205759E-2</v>
      </c>
      <c r="L59" s="38">
        <f t="shared" si="14"/>
        <v>-0.12423222692038537</v>
      </c>
      <c r="M59" s="38">
        <f t="shared" si="15"/>
        <v>-0.27341762170113199</v>
      </c>
      <c r="N59" s="38">
        <f t="shared" si="16"/>
        <v>-0.19475115566613804</v>
      </c>
      <c r="O59" s="38">
        <f t="shared" si="9"/>
        <v>-0.22425383538722563</v>
      </c>
      <c r="P59" s="38">
        <f t="shared" si="10"/>
        <v>7.6120473765687209E-3</v>
      </c>
      <c r="Q59" s="38">
        <f t="shared" si="11"/>
        <v>7.3445942188285433E-3</v>
      </c>
      <c r="R59" s="38">
        <f t="shared" si="12"/>
        <v>7.3217812623854288E-3</v>
      </c>
      <c r="S59" s="38">
        <f>SLOPE(DATA!H55:H59,A55:A59)/AVERAGE(DATA!H55:H59)</f>
        <v>-3.5404381668586012E-2</v>
      </c>
      <c r="T59" s="38">
        <f>SLOPE(DATA!H40:H59,A40:A59)/AVERAGE(DATA!H40:H59)</f>
        <v>7.5543977976209259E-3</v>
      </c>
      <c r="U59" s="38">
        <f>DATA!H59/DATA!J59</f>
        <v>0.35988964829458919</v>
      </c>
      <c r="V59" s="58">
        <f>DATA!I59/DATA!J59</f>
        <v>2.9765968748136866</v>
      </c>
      <c r="W59" s="58">
        <f>DATA!K59/DATA!J59</f>
        <v>2.675448913556024</v>
      </c>
      <c r="X59" s="38">
        <f>DATA!H59/$AB$1</f>
        <v>0.11960349998748127</v>
      </c>
      <c r="Y59" s="38">
        <f>DATA!I59/$AB$1</f>
        <v>0.98922379670142913</v>
      </c>
      <c r="Z59" s="38">
        <f>DATA!J59/$AB$1</f>
        <v>0.3323338155299741</v>
      </c>
      <c r="AA59" s="38">
        <f>DATA!K59/$AB$1</f>
        <v>0.88914214569759742</v>
      </c>
    </row>
    <row r="60" spans="1:27" x14ac:dyDescent="0.25">
      <c r="A60" s="8">
        <v>59</v>
      </c>
      <c r="B60" s="7">
        <f>(DATA!H61-DATA!H60)/DATA!H60</f>
        <v>-0.05</v>
      </c>
      <c r="C60" s="7">
        <f>(DATA!I61-DATA!I60)/DATA!I60</f>
        <v>-2.6994260995579205E-2</v>
      </c>
      <c r="D60" s="7">
        <f>(DATA!J61-DATA!J60)/DATA!J60</f>
        <v>-1.3990164115599207E-2</v>
      </c>
      <c r="E60" s="7">
        <f>(DATA!K61-DATA!K60)/DATA!K60</f>
        <v>-3.0042974965938302E-2</v>
      </c>
      <c r="F60" s="7">
        <f t="shared" si="4"/>
        <v>0.3713011656706578</v>
      </c>
      <c r="G60" s="7">
        <f t="shared" si="5"/>
        <v>0.45211331307636837</v>
      </c>
      <c r="H60" s="7">
        <f t="shared" si="6"/>
        <v>0.53415405294433738</v>
      </c>
      <c r="I60" s="7">
        <f t="shared" si="7"/>
        <v>0.4569463572581568</v>
      </c>
      <c r="J60" s="38">
        <f t="shared" si="8"/>
        <v>1.5502225371178807E-3</v>
      </c>
      <c r="K60" s="38">
        <f t="shared" si="13"/>
        <v>3.8900366869790558E-2</v>
      </c>
      <c r="L60" s="38">
        <f t="shared" si="14"/>
        <v>3.6333947215736462E-2</v>
      </c>
      <c r="M60" s="38">
        <f t="shared" si="15"/>
        <v>2.6708722292023705E-3</v>
      </c>
      <c r="N60" s="38">
        <f t="shared" si="16"/>
        <v>7.8269006045838072E-2</v>
      </c>
      <c r="O60" s="38">
        <f t="shared" si="9"/>
        <v>6.1541522517014148E-2</v>
      </c>
      <c r="P60" s="38">
        <f t="shared" si="10"/>
        <v>7.133224059970415E-4</v>
      </c>
      <c r="Q60" s="38">
        <f t="shared" si="11"/>
        <v>-2.9556328723948154E-5</v>
      </c>
      <c r="R60" s="38">
        <f t="shared" si="12"/>
        <v>2.820620439296934E-4</v>
      </c>
      <c r="S60" s="38">
        <f>SLOPE(DATA!H56:H60,A56:A60)/AVERAGE(DATA!H56:H60)</f>
        <v>-4.2583499594648209E-2</v>
      </c>
      <c r="T60" s="38">
        <f>SLOPE(DATA!H41:H60,A41:A60)/AVERAGE(DATA!H41:H60)</f>
        <v>3.4532240630137708E-3</v>
      </c>
      <c r="U60" s="38">
        <f>DATA!H60/DATA!J60</f>
        <v>0.3522130739901641</v>
      </c>
      <c r="V60" s="58">
        <f>DATA!I60/DATA!J60</f>
        <v>2.9528562745206388</v>
      </c>
      <c r="W60" s="58">
        <f>DATA!K60/DATA!J60</f>
        <v>2.6564900259711552</v>
      </c>
      <c r="X60" s="38">
        <f>DATA!H60/$AB$1</f>
        <v>0.11481215495786229</v>
      </c>
      <c r="Y60" s="38">
        <f>DATA!I60/$AB$1</f>
        <v>0.96255311683298594</v>
      </c>
      <c r="Z60" s="38">
        <f>DATA!J60/$AB$1</f>
        <v>0.32597357519178444</v>
      </c>
      <c r="AA60" s="38">
        <f>DATA!K60/$AB$1</f>
        <v>0.86594555122713379</v>
      </c>
    </row>
    <row r="61" spans="1:27" x14ac:dyDescent="0.25">
      <c r="A61" s="8">
        <v>60</v>
      </c>
      <c r="D61" s="7"/>
      <c r="E61" s="7"/>
      <c r="F61" s="7">
        <f t="shared" si="4"/>
        <v>0.32130116567065781</v>
      </c>
      <c r="G61" s="7">
        <f t="shared" si="5"/>
        <v>0.42511905208078915</v>
      </c>
      <c r="H61" s="7">
        <f t="shared" si="6"/>
        <v>0.52016388882873821</v>
      </c>
      <c r="I61" s="7">
        <f t="shared" si="7"/>
        <v>0.42690338229221847</v>
      </c>
      <c r="J61" s="38"/>
      <c r="S61" s="38">
        <f>SLOPE(DATA!H57:H61,A57:A61)/AVERAGE(DATA!H57:H61)</f>
        <v>-4.4011830264557898E-2</v>
      </c>
      <c r="T61" s="38">
        <f>SLOPE(DATA!H42:H61,A42:A61)/AVERAGE(DATA!H42:H61)</f>
        <v>-8.4953337842441797E-4</v>
      </c>
      <c r="U61" s="38">
        <f>DATA!H61/DATA!J61</f>
        <v>0.33934998223474566</v>
      </c>
      <c r="V61" s="58">
        <f>DATA!I61/DATA!J61</f>
        <v>2.9139122116228475</v>
      </c>
      <c r="W61" s="58">
        <f>DATA!K61/DATA!J61</f>
        <v>2.6132408307189827</v>
      </c>
      <c r="X61" s="38">
        <f>DATA!H61/$AB$1</f>
        <v>0.10907154720996917</v>
      </c>
      <c r="Y61" s="38">
        <f>DATA!I61/$AB$1</f>
        <v>0.936569706775088</v>
      </c>
      <c r="Z61" s="38">
        <f>DATA!J61/$AB$1</f>
        <v>0.32141315137750276</v>
      </c>
      <c r="AA61" s="38">
        <f>DATA!K61/$AB$1</f>
        <v>0.83992997070975139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N61"/>
  <sheetViews>
    <sheetView zoomScale="90" zoomScaleNormal="90" workbookViewId="0">
      <pane ySplit="1" topLeftCell="A2" activePane="bottomLeft" state="frozen"/>
      <selection pane="bottomLeft" activeCell="I1" sqref="I1:I61"/>
    </sheetView>
  </sheetViews>
  <sheetFormatPr defaultRowHeight="15" x14ac:dyDescent="0.25"/>
  <cols>
    <col min="2" max="2" width="13.7109375" customWidth="1"/>
    <col min="3" max="4" width="13.7109375" style="7" customWidth="1"/>
    <col min="5" max="6" width="13.5703125" customWidth="1"/>
    <col min="7" max="8" width="13.42578125" style="5" customWidth="1"/>
    <col min="9" max="10" width="18" style="5" customWidth="1"/>
    <col min="11" max="11" width="16.28515625" customWidth="1"/>
    <col min="12" max="12" width="16.85546875" style="5" customWidth="1"/>
    <col min="13" max="13" width="13.7109375" customWidth="1"/>
    <col min="14" max="14" width="23.7109375" style="5" customWidth="1"/>
  </cols>
  <sheetData>
    <row r="1" spans="1:14" s="41" customFormat="1" x14ac:dyDescent="0.25">
      <c r="B1" s="42" t="s">
        <v>14</v>
      </c>
      <c r="C1" s="43" t="s">
        <v>2</v>
      </c>
      <c r="D1" s="43" t="s">
        <v>3</v>
      </c>
      <c r="E1" s="43" t="s">
        <v>17</v>
      </c>
      <c r="F1" s="43" t="s">
        <v>18</v>
      </c>
      <c r="G1" s="42" t="s">
        <v>19</v>
      </c>
      <c r="H1" s="42" t="s">
        <v>20</v>
      </c>
      <c r="I1" s="53" t="s">
        <v>317</v>
      </c>
      <c r="J1" s="60" t="s">
        <v>361</v>
      </c>
      <c r="K1" s="53" t="s">
        <v>318</v>
      </c>
      <c r="L1" s="60" t="s">
        <v>362</v>
      </c>
      <c r="M1" s="73"/>
      <c r="N1" s="73"/>
    </row>
    <row r="2" spans="1:14" s="8" customFormat="1" x14ac:dyDescent="0.25">
      <c r="A2" s="8">
        <v>1</v>
      </c>
      <c r="B2" s="9">
        <f t="shared" ref="B2:B21" si="0">B3+9</f>
        <v>535</v>
      </c>
      <c r="C2" s="7">
        <f>DATA!C535-DATA!E535</f>
        <v>-1334000</v>
      </c>
      <c r="D2" s="7">
        <f>DATA!D535-DATA!F535</f>
        <v>1333502</v>
      </c>
      <c r="E2" s="10"/>
      <c r="F2" s="10"/>
      <c r="G2" s="6">
        <f>C2</f>
        <v>-1334000</v>
      </c>
      <c r="H2" s="6">
        <f>D2</f>
        <v>1333502</v>
      </c>
      <c r="I2" s="38">
        <f>DATA!C535+DATA!D535</f>
        <v>4719000</v>
      </c>
      <c r="J2" s="38"/>
      <c r="K2" s="38">
        <f t="shared" ref="K2:K33" si="1">I2*H2</f>
        <v>6292795938000</v>
      </c>
      <c r="L2" s="37"/>
      <c r="M2" s="5"/>
      <c r="N2" s="38"/>
    </row>
    <row r="3" spans="1:14" s="8" customFormat="1" x14ac:dyDescent="0.25">
      <c r="A3" s="8">
        <v>2</v>
      </c>
      <c r="B3" s="9">
        <f t="shared" si="0"/>
        <v>526</v>
      </c>
      <c r="C3" s="7">
        <f>DATA!C526-DATA!E526</f>
        <v>-600000</v>
      </c>
      <c r="D3" s="7">
        <f>DATA!D526-DATA!F526</f>
        <v>600116</v>
      </c>
      <c r="E3" s="10"/>
      <c r="F3" s="10"/>
      <c r="G3" s="6">
        <f t="shared" ref="G3:G34" si="2">G2+C3</f>
        <v>-1934000</v>
      </c>
      <c r="H3" s="6">
        <f t="shared" ref="H3:H34" si="3">H2+D3</f>
        <v>1933618</v>
      </c>
      <c r="I3" s="38">
        <f>DATA!C526+DATA!D526</f>
        <v>4284116</v>
      </c>
      <c r="J3" s="38"/>
      <c r="K3" s="38">
        <f t="shared" si="1"/>
        <v>8283843811688</v>
      </c>
      <c r="L3" s="37"/>
      <c r="M3" s="5"/>
      <c r="N3" s="38"/>
    </row>
    <row r="4" spans="1:14" s="8" customFormat="1" x14ac:dyDescent="0.25">
      <c r="A4" s="8">
        <v>3</v>
      </c>
      <c r="B4" s="9">
        <f t="shared" si="0"/>
        <v>517</v>
      </c>
      <c r="C4" s="7">
        <f>DATA!C517-DATA!E517</f>
        <v>-2114000</v>
      </c>
      <c r="D4" s="7">
        <f>DATA!D517-DATA!F517</f>
        <v>2112848</v>
      </c>
      <c r="E4" s="10"/>
      <c r="F4" s="10"/>
      <c r="G4" s="6">
        <f t="shared" si="2"/>
        <v>-4048000</v>
      </c>
      <c r="H4" s="6">
        <f t="shared" si="3"/>
        <v>4046466</v>
      </c>
      <c r="I4" s="38">
        <f>DATA!C517+DATA!D517</f>
        <v>4306000</v>
      </c>
      <c r="J4" s="38"/>
      <c r="K4" s="38">
        <f t="shared" si="1"/>
        <v>17424082596000</v>
      </c>
      <c r="L4" s="37"/>
      <c r="M4" s="5"/>
      <c r="N4" s="38"/>
    </row>
    <row r="5" spans="1:14" s="8" customFormat="1" x14ac:dyDescent="0.25">
      <c r="A5" s="8">
        <v>4</v>
      </c>
      <c r="B5" s="9">
        <f t="shared" si="0"/>
        <v>508</v>
      </c>
      <c r="C5" s="7">
        <f>DATA!C508-DATA!E508</f>
        <v>-782000</v>
      </c>
      <c r="D5" s="7">
        <f>DATA!D508-DATA!F508</f>
        <v>782738</v>
      </c>
      <c r="E5" s="10"/>
      <c r="F5" s="10"/>
      <c r="G5" s="6">
        <f t="shared" si="2"/>
        <v>-4830000</v>
      </c>
      <c r="H5" s="6">
        <f t="shared" si="3"/>
        <v>4829204</v>
      </c>
      <c r="I5" s="38">
        <f>DATA!C508+DATA!D508</f>
        <v>4826000</v>
      </c>
      <c r="J5" s="38"/>
      <c r="K5" s="38">
        <f t="shared" si="1"/>
        <v>23305738504000</v>
      </c>
      <c r="L5" s="37"/>
      <c r="M5" s="5"/>
      <c r="N5" s="38"/>
    </row>
    <row r="6" spans="1:14" s="8" customFormat="1" x14ac:dyDescent="0.25">
      <c r="A6" s="8">
        <v>5</v>
      </c>
      <c r="B6" s="9">
        <f t="shared" si="0"/>
        <v>499</v>
      </c>
      <c r="C6" s="7">
        <f>DATA!C499-DATA!E499</f>
        <v>134000</v>
      </c>
      <c r="D6" s="7">
        <f>DATA!D499-DATA!F499</f>
        <v>-134189</v>
      </c>
      <c r="E6" s="10"/>
      <c r="F6" s="10"/>
      <c r="G6" s="6">
        <f t="shared" si="2"/>
        <v>-4696000</v>
      </c>
      <c r="H6" s="6">
        <f t="shared" si="3"/>
        <v>4695015</v>
      </c>
      <c r="I6" s="38">
        <f>DATA!C499+DATA!D499</f>
        <v>2589428</v>
      </c>
      <c r="J6" s="38"/>
      <c r="K6" s="38">
        <f t="shared" si="1"/>
        <v>12157403301420</v>
      </c>
      <c r="L6" s="37"/>
      <c r="M6" s="5"/>
      <c r="N6" s="38"/>
    </row>
    <row r="7" spans="1:14" s="8" customFormat="1" x14ac:dyDescent="0.25">
      <c r="A7" s="8">
        <v>6</v>
      </c>
      <c r="B7" s="9">
        <f t="shared" si="0"/>
        <v>490</v>
      </c>
      <c r="C7" s="7">
        <f>DATA!C490-DATA!E490</f>
        <v>-1221000</v>
      </c>
      <c r="D7" s="7">
        <f>DATA!D490-DATA!F490</f>
        <v>1220923</v>
      </c>
      <c r="E7" s="10"/>
      <c r="F7" s="10"/>
      <c r="G7" s="6">
        <f t="shared" si="2"/>
        <v>-5917000</v>
      </c>
      <c r="H7" s="6">
        <f t="shared" si="3"/>
        <v>5915938</v>
      </c>
      <c r="I7" s="38">
        <f>DATA!C490+DATA!D490</f>
        <v>4030000</v>
      </c>
      <c r="J7" s="38"/>
      <c r="K7" s="38">
        <f t="shared" si="1"/>
        <v>23841230140000</v>
      </c>
      <c r="L7" s="37"/>
      <c r="M7" s="5"/>
      <c r="N7" s="38"/>
    </row>
    <row r="8" spans="1:14" s="8" customFormat="1" x14ac:dyDescent="0.25">
      <c r="A8" s="8">
        <v>7</v>
      </c>
      <c r="B8" s="9">
        <f t="shared" si="0"/>
        <v>481</v>
      </c>
      <c r="C8" s="7">
        <f>DATA!C481-DATA!E481</f>
        <v>-154000</v>
      </c>
      <c r="D8" s="7">
        <f>DATA!D481-DATA!F481</f>
        <v>154501</v>
      </c>
      <c r="E8" s="10"/>
      <c r="F8" s="10"/>
      <c r="G8" s="6">
        <f t="shared" si="2"/>
        <v>-6071000</v>
      </c>
      <c r="H8" s="6">
        <f t="shared" si="3"/>
        <v>6070439</v>
      </c>
      <c r="I8" s="38">
        <f>DATA!C481+DATA!D481</f>
        <v>2407607</v>
      </c>
      <c r="J8" s="38"/>
      <c r="K8" s="38">
        <f t="shared" si="1"/>
        <v>14615231429473</v>
      </c>
      <c r="L8" s="37"/>
      <c r="M8" s="5"/>
      <c r="N8" s="38"/>
    </row>
    <row r="9" spans="1:14" s="8" customFormat="1" x14ac:dyDescent="0.25">
      <c r="A9" s="8">
        <v>8</v>
      </c>
      <c r="B9" s="9">
        <f t="shared" si="0"/>
        <v>472</v>
      </c>
      <c r="C9" s="7">
        <f>DATA!C472-DATA!E472</f>
        <v>-278000</v>
      </c>
      <c r="D9" s="7">
        <f>DATA!D472-DATA!F472</f>
        <v>278008</v>
      </c>
      <c r="E9" s="10"/>
      <c r="F9" s="10"/>
      <c r="G9" s="6">
        <f t="shared" si="2"/>
        <v>-6349000</v>
      </c>
      <c r="H9" s="6">
        <f t="shared" si="3"/>
        <v>6348447</v>
      </c>
      <c r="I9" s="38">
        <f>DATA!C472+DATA!D472</f>
        <v>2218822</v>
      </c>
      <c r="J9" s="38"/>
      <c r="K9" s="38">
        <f t="shared" si="1"/>
        <v>14086073869434</v>
      </c>
      <c r="L9" s="37"/>
      <c r="M9" s="5"/>
      <c r="N9" s="38"/>
    </row>
    <row r="10" spans="1:14" s="8" customFormat="1" x14ac:dyDescent="0.25">
      <c r="A10" s="8">
        <v>9</v>
      </c>
      <c r="B10" s="9">
        <f t="shared" si="0"/>
        <v>463</v>
      </c>
      <c r="C10" s="7">
        <f>DATA!C463-DATA!E463</f>
        <v>265000</v>
      </c>
      <c r="D10" s="7">
        <f>DATA!D463-DATA!F463</f>
        <v>-264654</v>
      </c>
      <c r="E10" s="10"/>
      <c r="F10" s="10"/>
      <c r="G10" s="6">
        <f t="shared" si="2"/>
        <v>-6084000</v>
      </c>
      <c r="H10" s="6">
        <f t="shared" si="3"/>
        <v>6083793</v>
      </c>
      <c r="I10" s="38">
        <f>DATA!C463+DATA!D463</f>
        <v>2329062</v>
      </c>
      <c r="J10" s="38"/>
      <c r="K10" s="38">
        <f t="shared" si="1"/>
        <v>14169531092166</v>
      </c>
      <c r="L10" s="37"/>
      <c r="M10" s="5"/>
      <c r="N10" s="38"/>
    </row>
    <row r="11" spans="1:14" s="8" customFormat="1" x14ac:dyDescent="0.25">
      <c r="A11" s="8">
        <v>10</v>
      </c>
      <c r="B11" s="9">
        <f t="shared" si="0"/>
        <v>454</v>
      </c>
      <c r="C11" s="7">
        <f>DATA!C454-DATA!E454</f>
        <v>-769000</v>
      </c>
      <c r="D11" s="7">
        <f>DATA!D454-DATA!F454</f>
        <v>769172</v>
      </c>
      <c r="E11" s="10"/>
      <c r="F11" s="10"/>
      <c r="G11" s="6">
        <f t="shared" si="2"/>
        <v>-6853000</v>
      </c>
      <c r="H11" s="6">
        <f t="shared" si="3"/>
        <v>6852965</v>
      </c>
      <c r="I11" s="38">
        <f>DATA!C454+DATA!D454</f>
        <v>3442000</v>
      </c>
      <c r="J11" s="38"/>
      <c r="K11" s="38">
        <f t="shared" si="1"/>
        <v>23587905530000</v>
      </c>
      <c r="L11" s="37"/>
      <c r="M11" s="5"/>
      <c r="N11" s="38"/>
    </row>
    <row r="12" spans="1:14" s="8" customFormat="1" x14ac:dyDescent="0.25">
      <c r="A12" s="8">
        <v>11</v>
      </c>
      <c r="B12" s="9">
        <f t="shared" si="0"/>
        <v>445</v>
      </c>
      <c r="C12" s="7">
        <f>DATA!C445-DATA!E445</f>
        <v>-1190000</v>
      </c>
      <c r="D12" s="7">
        <f>DATA!D445-DATA!F445</f>
        <v>1190000</v>
      </c>
      <c r="E12" s="10"/>
      <c r="F12" s="10"/>
      <c r="G12" s="6">
        <f t="shared" si="2"/>
        <v>-8043000</v>
      </c>
      <c r="H12" s="6">
        <f t="shared" si="3"/>
        <v>8042965</v>
      </c>
      <c r="I12" s="38">
        <f>DATA!C445+DATA!D445</f>
        <v>7547000</v>
      </c>
      <c r="J12" s="38"/>
      <c r="K12" s="38">
        <f t="shared" si="1"/>
        <v>60700256855000</v>
      </c>
      <c r="L12" s="37"/>
      <c r="M12" s="5"/>
      <c r="N12" s="38"/>
    </row>
    <row r="13" spans="1:14" s="8" customFormat="1" x14ac:dyDescent="0.25">
      <c r="A13" s="8">
        <v>12</v>
      </c>
      <c r="B13" s="9">
        <f t="shared" si="0"/>
        <v>436</v>
      </c>
      <c r="C13" s="7">
        <f>DATA!C436-DATA!E436</f>
        <v>-583000</v>
      </c>
      <c r="D13" s="7">
        <f>DATA!D436-DATA!F436</f>
        <v>582800</v>
      </c>
      <c r="E13" s="10"/>
      <c r="F13" s="10"/>
      <c r="G13" s="6">
        <f t="shared" si="2"/>
        <v>-8626000</v>
      </c>
      <c r="H13" s="6">
        <f t="shared" si="3"/>
        <v>8625765</v>
      </c>
      <c r="I13" s="38">
        <f>DATA!C436+DATA!D436</f>
        <v>2755810</v>
      </c>
      <c r="J13" s="38"/>
      <c r="K13" s="38">
        <f t="shared" si="1"/>
        <v>23770969444650</v>
      </c>
      <c r="L13" s="37"/>
      <c r="M13" s="5"/>
      <c r="N13" s="38"/>
    </row>
    <row r="14" spans="1:14" s="8" customFormat="1" x14ac:dyDescent="0.25">
      <c r="A14" s="8">
        <v>13</v>
      </c>
      <c r="B14" s="9">
        <f t="shared" si="0"/>
        <v>427</v>
      </c>
      <c r="C14" s="7">
        <f>DATA!C427-DATA!E427</f>
        <v>-932000</v>
      </c>
      <c r="D14" s="7">
        <f>DATA!D427-DATA!F427</f>
        <v>931566</v>
      </c>
      <c r="E14" s="10"/>
      <c r="F14" s="10"/>
      <c r="G14" s="6">
        <f t="shared" si="2"/>
        <v>-9558000</v>
      </c>
      <c r="H14" s="6">
        <f t="shared" si="3"/>
        <v>9557331</v>
      </c>
      <c r="I14" s="38">
        <f>DATA!C427+DATA!D427</f>
        <v>2665000</v>
      </c>
      <c r="J14" s="38"/>
      <c r="K14" s="38">
        <f t="shared" si="1"/>
        <v>25470287115000</v>
      </c>
      <c r="L14" s="37"/>
      <c r="M14" s="5"/>
      <c r="N14" s="38"/>
    </row>
    <row r="15" spans="1:14" s="8" customFormat="1" x14ac:dyDescent="0.25">
      <c r="A15" s="8">
        <v>14</v>
      </c>
      <c r="B15" s="9">
        <f t="shared" si="0"/>
        <v>418</v>
      </c>
      <c r="C15" s="7">
        <f>DATA!C418-DATA!E418</f>
        <v>-9114000</v>
      </c>
      <c r="D15" s="7">
        <f>DATA!D418-DATA!F418</f>
        <v>9115000</v>
      </c>
      <c r="E15" s="10"/>
      <c r="F15" s="10"/>
      <c r="G15" s="6">
        <f t="shared" si="2"/>
        <v>-18672000</v>
      </c>
      <c r="H15" s="6">
        <f t="shared" si="3"/>
        <v>18672331</v>
      </c>
      <c r="I15" s="38">
        <f>DATA!C418+DATA!D418</f>
        <v>14413000</v>
      </c>
      <c r="J15" s="38"/>
      <c r="K15" s="38">
        <f t="shared" si="1"/>
        <v>269124306703000</v>
      </c>
      <c r="L15" s="37"/>
      <c r="M15" s="5"/>
      <c r="N15" s="38"/>
    </row>
    <row r="16" spans="1:14" s="8" customFormat="1" x14ac:dyDescent="0.25">
      <c r="A16" s="8">
        <v>15</v>
      </c>
      <c r="B16" s="9">
        <f t="shared" si="0"/>
        <v>409</v>
      </c>
      <c r="C16" s="7">
        <f>DATA!C409-DATA!E409</f>
        <v>-6591000</v>
      </c>
      <c r="D16" s="7">
        <f>DATA!D409-DATA!F409</f>
        <v>6591000</v>
      </c>
      <c r="E16" s="10"/>
      <c r="F16" s="10"/>
      <c r="G16" s="6">
        <f t="shared" si="2"/>
        <v>-25263000</v>
      </c>
      <c r="H16" s="6">
        <f t="shared" si="3"/>
        <v>25263331</v>
      </c>
      <c r="I16" s="38">
        <f>DATA!C409+DATA!D409</f>
        <v>11516000</v>
      </c>
      <c r="J16" s="38"/>
      <c r="K16" s="38">
        <f t="shared" si="1"/>
        <v>290932519796000</v>
      </c>
      <c r="L16" s="37"/>
      <c r="M16" s="5"/>
      <c r="N16" s="38"/>
    </row>
    <row r="17" spans="1:14" s="8" customFormat="1" x14ac:dyDescent="0.25">
      <c r="A17" s="8">
        <v>16</v>
      </c>
      <c r="B17" s="9">
        <f t="shared" si="0"/>
        <v>400</v>
      </c>
      <c r="C17" s="7">
        <f>DATA!C400-DATA!E400</f>
        <v>-5064000</v>
      </c>
      <c r="D17" s="7">
        <f>DATA!D400-DATA!F400</f>
        <v>5064168</v>
      </c>
      <c r="E17" s="10"/>
      <c r="F17" s="10"/>
      <c r="G17" s="6">
        <f t="shared" si="2"/>
        <v>-30327000</v>
      </c>
      <c r="H17" s="6">
        <f t="shared" si="3"/>
        <v>30327499</v>
      </c>
      <c r="I17" s="38">
        <f>DATA!C400+DATA!D5400</f>
        <v>2291000</v>
      </c>
      <c r="J17" s="38"/>
      <c r="K17" s="38">
        <f t="shared" si="1"/>
        <v>69480300209000</v>
      </c>
      <c r="L17" s="37"/>
      <c r="M17" s="5"/>
      <c r="N17" s="38"/>
    </row>
    <row r="18" spans="1:14" s="8" customFormat="1" x14ac:dyDescent="0.25">
      <c r="A18" s="8">
        <v>17</v>
      </c>
      <c r="B18" s="9">
        <f t="shared" si="0"/>
        <v>391</v>
      </c>
      <c r="C18" s="7">
        <f>DATA!C391-DATA!E391</f>
        <v>-2475000</v>
      </c>
      <c r="D18" s="7">
        <f>DATA!D391-DATA!F391</f>
        <v>2474000</v>
      </c>
      <c r="E18" s="10"/>
      <c r="F18" s="10"/>
      <c r="G18" s="6">
        <f t="shared" si="2"/>
        <v>-32802000</v>
      </c>
      <c r="H18" s="6">
        <f t="shared" si="3"/>
        <v>32801499</v>
      </c>
      <c r="I18" s="38">
        <f>DATA!C391+DATA!D391</f>
        <v>9387000</v>
      </c>
      <c r="J18" s="38"/>
      <c r="K18" s="38">
        <f t="shared" si="1"/>
        <v>307907671113000</v>
      </c>
      <c r="L18" s="37"/>
      <c r="M18" s="5"/>
      <c r="N18" s="38"/>
    </row>
    <row r="19" spans="1:14" s="8" customFormat="1" x14ac:dyDescent="0.25">
      <c r="A19" s="8">
        <v>18</v>
      </c>
      <c r="B19" s="9">
        <f t="shared" si="0"/>
        <v>382</v>
      </c>
      <c r="C19" s="7">
        <f>DATA!C382-DATA!E382</f>
        <v>176933</v>
      </c>
      <c r="D19" s="7">
        <f>DATA!D382-DATA!F382</f>
        <v>-176933</v>
      </c>
      <c r="E19" s="10"/>
      <c r="F19" s="10"/>
      <c r="G19" s="6">
        <f t="shared" si="2"/>
        <v>-32625067</v>
      </c>
      <c r="H19" s="6">
        <f t="shared" si="3"/>
        <v>32624566</v>
      </c>
      <c r="I19" s="38">
        <f>DATA!C382+DATA!D382</f>
        <v>220544</v>
      </c>
      <c r="J19" s="38"/>
      <c r="K19" s="38">
        <f t="shared" si="1"/>
        <v>7195152283904</v>
      </c>
      <c r="L19" s="37"/>
      <c r="M19" s="5"/>
      <c r="N19" s="38"/>
    </row>
    <row r="20" spans="1:14" s="8" customFormat="1" x14ac:dyDescent="0.25">
      <c r="A20" s="8">
        <v>19</v>
      </c>
      <c r="B20" s="9">
        <f t="shared" si="0"/>
        <v>373</v>
      </c>
      <c r="C20" s="7">
        <f>DATA!C373-DATA!E373</f>
        <v>260803</v>
      </c>
      <c r="D20" s="7">
        <f>DATA!D373-DATA!F373</f>
        <v>-260803</v>
      </c>
      <c r="E20" s="10"/>
      <c r="F20" s="10"/>
      <c r="G20" s="6">
        <f t="shared" si="2"/>
        <v>-32364264</v>
      </c>
      <c r="H20" s="6">
        <f t="shared" si="3"/>
        <v>32363763</v>
      </c>
      <c r="I20" s="38">
        <f>DATA!C373+DATA!D373</f>
        <v>447477</v>
      </c>
      <c r="J20" s="38"/>
      <c r="K20" s="38">
        <f t="shared" si="1"/>
        <v>14482039575951</v>
      </c>
      <c r="L20" s="37"/>
      <c r="M20" s="5"/>
      <c r="N20" s="38"/>
    </row>
    <row r="21" spans="1:14" s="8" customFormat="1" x14ac:dyDescent="0.25">
      <c r="A21" s="8">
        <v>20</v>
      </c>
      <c r="B21" s="9">
        <f t="shared" si="0"/>
        <v>364</v>
      </c>
      <c r="C21" s="7">
        <f>DATA!C364-DATA!E364</f>
        <v>1229341</v>
      </c>
      <c r="D21" s="7">
        <f>DATA!D364-DATA!F364</f>
        <v>-1229000</v>
      </c>
      <c r="E21" s="7">
        <f>AVERAGE(C2:C21)</f>
        <v>-1556746.15</v>
      </c>
      <c r="F21" s="7">
        <f>AVERAGE(D2:D21)</f>
        <v>1556738.15</v>
      </c>
      <c r="G21" s="6">
        <f t="shared" si="2"/>
        <v>-31134923</v>
      </c>
      <c r="H21" s="6">
        <f t="shared" si="3"/>
        <v>31134763</v>
      </c>
      <c r="I21" s="38">
        <f>DATA!C364+DATA!D364</f>
        <v>1821000</v>
      </c>
      <c r="J21" s="38">
        <f>AVERAGE(I2:I21)</f>
        <v>4410793.3</v>
      </c>
      <c r="K21" s="38">
        <f t="shared" si="1"/>
        <v>56696403423000</v>
      </c>
      <c r="L21" s="38">
        <f>AVERAGE(K2:K21)</f>
        <v>64176187136534.297</v>
      </c>
      <c r="M21" s="5"/>
      <c r="N21" s="38"/>
    </row>
    <row r="22" spans="1:14" x14ac:dyDescent="0.25">
      <c r="A22" s="8">
        <v>21</v>
      </c>
      <c r="B22" s="5">
        <v>355</v>
      </c>
      <c r="C22" s="7">
        <f>DATA!C355-DATA!E355</f>
        <v>4245000</v>
      </c>
      <c r="D22" s="7">
        <f>DATA!D355-DATA!F355</f>
        <v>-4245000</v>
      </c>
      <c r="E22" s="7">
        <f t="shared" ref="E22:F22" si="4">AVERAGE(C3:C22)</f>
        <v>-1277796.1499999999</v>
      </c>
      <c r="F22" s="7">
        <f t="shared" si="4"/>
        <v>1277813.05</v>
      </c>
      <c r="G22" s="6">
        <f t="shared" si="2"/>
        <v>-26889923</v>
      </c>
      <c r="H22" s="6">
        <f t="shared" si="3"/>
        <v>26889763</v>
      </c>
      <c r="I22" s="38">
        <f>DATA!C355+DATA!D355</f>
        <v>13180000</v>
      </c>
      <c r="J22" s="38">
        <f t="shared" ref="J22:J61" si="5">AVERAGE(I3:I22)</f>
        <v>4833843.3</v>
      </c>
      <c r="K22" s="38">
        <f t="shared" si="1"/>
        <v>354407076340000</v>
      </c>
      <c r="L22" s="38">
        <f t="shared" ref="L22:L61" si="6">AVERAGE(K3:K22)</f>
        <v>81581901156634.297</v>
      </c>
      <c r="M22" s="5"/>
      <c r="N22" s="38"/>
    </row>
    <row r="23" spans="1:14" x14ac:dyDescent="0.25">
      <c r="A23" s="8">
        <v>22</v>
      </c>
      <c r="B23" s="5">
        <v>346</v>
      </c>
      <c r="C23" s="7">
        <f>DATA!C346-DATA!E346</f>
        <v>-379000</v>
      </c>
      <c r="D23" s="7">
        <f>DATA!D346-DATA!F346</f>
        <v>379000</v>
      </c>
      <c r="E23" s="7">
        <f t="shared" ref="E23:F23" si="7">AVERAGE(C4:C23)</f>
        <v>-1266746.1499999999</v>
      </c>
      <c r="F23" s="7">
        <f t="shared" si="7"/>
        <v>1266757.25</v>
      </c>
      <c r="G23" s="6">
        <f t="shared" si="2"/>
        <v>-27268923</v>
      </c>
      <c r="H23" s="6">
        <f t="shared" si="3"/>
        <v>27268763</v>
      </c>
      <c r="I23" s="38">
        <f>DATA!C346+DATA!D346</f>
        <v>6859000</v>
      </c>
      <c r="J23" s="38">
        <f t="shared" si="5"/>
        <v>4962587.5</v>
      </c>
      <c r="K23" s="38">
        <f t="shared" si="1"/>
        <v>187036445417000</v>
      </c>
      <c r="L23" s="38">
        <f t="shared" si="6"/>
        <v>90519531236899.906</v>
      </c>
      <c r="M23" s="5"/>
      <c r="N23" s="38"/>
    </row>
    <row r="24" spans="1:14" x14ac:dyDescent="0.25">
      <c r="A24" s="8">
        <v>23</v>
      </c>
      <c r="B24" s="5">
        <v>337</v>
      </c>
      <c r="C24" s="7">
        <f>DATA!C337-DATA!E337</f>
        <v>735000</v>
      </c>
      <c r="D24" s="7">
        <f>DATA!D337-DATA!F337</f>
        <v>-735000</v>
      </c>
      <c r="E24" s="7">
        <f t="shared" ref="E24:F24" si="8">AVERAGE(C5:C24)</f>
        <v>-1124296.1499999999</v>
      </c>
      <c r="F24" s="7">
        <f t="shared" si="8"/>
        <v>1124364.8500000001</v>
      </c>
      <c r="G24" s="6">
        <f t="shared" si="2"/>
        <v>-26533923</v>
      </c>
      <c r="H24" s="6">
        <f t="shared" si="3"/>
        <v>26533763</v>
      </c>
      <c r="I24" s="38">
        <f>DATA!C337+DATA!D337</f>
        <v>9395000</v>
      </c>
      <c r="J24" s="38">
        <f t="shared" si="5"/>
        <v>5217037.5</v>
      </c>
      <c r="K24" s="38">
        <f t="shared" si="1"/>
        <v>249284703385000</v>
      </c>
      <c r="L24" s="38">
        <f t="shared" si="6"/>
        <v>102112562276349.91</v>
      </c>
      <c r="M24" s="5"/>
      <c r="N24" s="38"/>
    </row>
    <row r="25" spans="1:14" x14ac:dyDescent="0.25">
      <c r="A25" s="8">
        <v>24</v>
      </c>
      <c r="B25" s="5">
        <v>328</v>
      </c>
      <c r="C25" s="7">
        <f>DATA!C328-DATA!E328</f>
        <v>-853000</v>
      </c>
      <c r="D25" s="7">
        <f>DATA!D328-DATA!F328</f>
        <v>853000</v>
      </c>
      <c r="E25" s="7">
        <f t="shared" ref="E25:F25" si="9">AVERAGE(C6:C25)</f>
        <v>-1127846.1499999999</v>
      </c>
      <c r="F25" s="7">
        <f t="shared" si="9"/>
        <v>1127877.95</v>
      </c>
      <c r="G25" s="6">
        <f t="shared" si="2"/>
        <v>-27386923</v>
      </c>
      <c r="H25" s="6">
        <f t="shared" si="3"/>
        <v>27386763</v>
      </c>
      <c r="I25" s="38">
        <f>DATA!C328+DATA!D328</f>
        <v>4376000</v>
      </c>
      <c r="J25" s="38">
        <f t="shared" si="5"/>
        <v>5194537.5</v>
      </c>
      <c r="K25" s="38">
        <f t="shared" si="1"/>
        <v>119844474888000</v>
      </c>
      <c r="L25" s="38">
        <f t="shared" si="6"/>
        <v>106939499095549.91</v>
      </c>
      <c r="M25" s="5"/>
      <c r="N25" s="38"/>
    </row>
    <row r="26" spans="1:14" x14ac:dyDescent="0.25">
      <c r="A26" s="8">
        <v>25</v>
      </c>
      <c r="B26" s="5">
        <v>319</v>
      </c>
      <c r="C26" s="7">
        <f>DATA!C319-DATA!E319</f>
        <v>-1618000</v>
      </c>
      <c r="D26" s="7">
        <f>DATA!D319-DATA!F319</f>
        <v>1619000</v>
      </c>
      <c r="E26" s="7">
        <f t="shared" ref="E26:F26" si="10">AVERAGE(C7:C26)</f>
        <v>-1215446.1499999999</v>
      </c>
      <c r="F26" s="7">
        <f t="shared" si="10"/>
        <v>1215537.3999999999</v>
      </c>
      <c r="G26" s="6">
        <f t="shared" si="2"/>
        <v>-29004923</v>
      </c>
      <c r="H26" s="6">
        <f t="shared" si="3"/>
        <v>29005763</v>
      </c>
      <c r="I26" s="38">
        <f>DATA!C319+DATA!D319</f>
        <v>8617000</v>
      </c>
      <c r="J26" s="38">
        <f t="shared" si="5"/>
        <v>5495916.0999999996</v>
      </c>
      <c r="K26" s="38">
        <f t="shared" si="1"/>
        <v>249942659771000</v>
      </c>
      <c r="L26" s="38">
        <f t="shared" si="6"/>
        <v>118828761919028.91</v>
      </c>
      <c r="M26" s="5"/>
      <c r="N26" s="38"/>
    </row>
    <row r="27" spans="1:14" x14ac:dyDescent="0.25">
      <c r="A27" s="8">
        <v>26</v>
      </c>
      <c r="B27" s="5">
        <v>310</v>
      </c>
      <c r="C27" s="7">
        <f>DATA!C310-DATA!E310</f>
        <v>-2335000</v>
      </c>
      <c r="D27" s="7">
        <f>DATA!D310-DATA!F310</f>
        <v>2335000</v>
      </c>
      <c r="E27" s="7">
        <f t="shared" ref="E27:F27" si="11">AVERAGE(C8:C27)</f>
        <v>-1271146.1499999999</v>
      </c>
      <c r="F27" s="7">
        <f t="shared" si="11"/>
        <v>1271241.25</v>
      </c>
      <c r="G27" s="6">
        <f t="shared" si="2"/>
        <v>-31339923</v>
      </c>
      <c r="H27" s="6">
        <f t="shared" si="3"/>
        <v>31340763</v>
      </c>
      <c r="I27" s="38">
        <f>DATA!C310+DATA!D310</f>
        <v>9826000</v>
      </c>
      <c r="J27" s="38">
        <f t="shared" si="5"/>
        <v>5785716.0999999996</v>
      </c>
      <c r="K27" s="38">
        <f t="shared" si="1"/>
        <v>307954337238000</v>
      </c>
      <c r="L27" s="38">
        <f t="shared" si="6"/>
        <v>133034417273928.91</v>
      </c>
      <c r="M27" s="5"/>
      <c r="N27" s="38"/>
    </row>
    <row r="28" spans="1:14" x14ac:dyDescent="0.25">
      <c r="A28" s="8">
        <v>27</v>
      </c>
      <c r="B28" s="5">
        <v>301</v>
      </c>
      <c r="C28" s="7">
        <f>DATA!C301-DATA!E301</f>
        <v>-162000</v>
      </c>
      <c r="D28" s="7">
        <f>DATA!D301-DATA!F301</f>
        <v>162000</v>
      </c>
      <c r="E28" s="7">
        <f t="shared" ref="E28:F28" si="12">AVERAGE(C9:C28)</f>
        <v>-1271546.1499999999</v>
      </c>
      <c r="F28" s="7">
        <f t="shared" si="12"/>
        <v>1271616.2</v>
      </c>
      <c r="G28" s="6">
        <f t="shared" si="2"/>
        <v>-31501923</v>
      </c>
      <c r="H28" s="6">
        <f t="shared" si="3"/>
        <v>31502763</v>
      </c>
      <c r="I28" s="38">
        <f>DATA!C301+DATA!D301</f>
        <v>3911000</v>
      </c>
      <c r="J28" s="38">
        <f t="shared" si="5"/>
        <v>5860885.75</v>
      </c>
      <c r="K28" s="38">
        <f t="shared" si="1"/>
        <v>123207306093000</v>
      </c>
      <c r="L28" s="38">
        <f t="shared" si="6"/>
        <v>138464021007105.25</v>
      </c>
      <c r="M28" s="5"/>
      <c r="N28" s="38"/>
    </row>
    <row r="29" spans="1:14" x14ac:dyDescent="0.25">
      <c r="A29" s="8">
        <v>28</v>
      </c>
      <c r="B29" s="5">
        <v>292</v>
      </c>
      <c r="C29" s="7">
        <f>DATA!C292-DATA!E292</f>
        <v>72000</v>
      </c>
      <c r="D29" s="7">
        <f>DATA!D292-DATA!F292</f>
        <v>-71682</v>
      </c>
      <c r="E29" s="7">
        <f t="shared" ref="E29:F29" si="13">AVERAGE(C10:C29)</f>
        <v>-1254046.1499999999</v>
      </c>
      <c r="F29" s="7">
        <f t="shared" si="13"/>
        <v>1254131.7</v>
      </c>
      <c r="G29" s="6">
        <f t="shared" si="2"/>
        <v>-31429923</v>
      </c>
      <c r="H29" s="6">
        <f t="shared" si="3"/>
        <v>31431081</v>
      </c>
      <c r="I29" s="38">
        <f>DATA!C292+DATA!D292</f>
        <v>3627321</v>
      </c>
      <c r="J29" s="38">
        <f t="shared" si="5"/>
        <v>5931310.7000000002</v>
      </c>
      <c r="K29" s="38">
        <f t="shared" si="1"/>
        <v>114010620164001</v>
      </c>
      <c r="L29" s="38">
        <f t="shared" si="6"/>
        <v>143460248321833.59</v>
      </c>
      <c r="M29" s="5"/>
      <c r="N29" s="38"/>
    </row>
    <row r="30" spans="1:14" x14ac:dyDescent="0.25">
      <c r="A30" s="8">
        <v>29</v>
      </c>
      <c r="B30" s="5">
        <v>283</v>
      </c>
      <c r="C30" s="7">
        <f>DATA!C283-DATA!E283</f>
        <v>1500000</v>
      </c>
      <c r="D30" s="7">
        <f>DATA!D283-DATA!F283</f>
        <v>-1500602</v>
      </c>
      <c r="E30" s="7">
        <f t="shared" ref="E30:F30" si="14">AVERAGE(C11:C30)</f>
        <v>-1192296.1499999999</v>
      </c>
      <c r="F30" s="7">
        <f t="shared" si="14"/>
        <v>1192334.3</v>
      </c>
      <c r="G30" s="6">
        <f t="shared" si="2"/>
        <v>-29929923</v>
      </c>
      <c r="H30" s="6">
        <f t="shared" si="3"/>
        <v>29930479</v>
      </c>
      <c r="I30" s="38">
        <f>DATA!C283+DATA!D283</f>
        <v>3971398</v>
      </c>
      <c r="J30" s="38">
        <f t="shared" si="5"/>
        <v>6013427.5</v>
      </c>
      <c r="K30" s="38">
        <f t="shared" si="1"/>
        <v>118865844439642</v>
      </c>
      <c r="L30" s="38">
        <f t="shared" si="6"/>
        <v>148695063989207.41</v>
      </c>
      <c r="M30" s="5"/>
      <c r="N30" s="38"/>
    </row>
    <row r="31" spans="1:14" x14ac:dyDescent="0.25">
      <c r="A31" s="8">
        <v>30</v>
      </c>
      <c r="B31" s="5">
        <v>274</v>
      </c>
      <c r="C31" s="7">
        <f>DATA!C274-DATA!E274</f>
        <v>-240000</v>
      </c>
      <c r="D31" s="7">
        <f>DATA!D274-DATA!F274</f>
        <v>240349</v>
      </c>
      <c r="E31" s="7">
        <f t="shared" ref="E31:F31" si="15">AVERAGE(C12:C31)</f>
        <v>-1165846.1499999999</v>
      </c>
      <c r="F31" s="7">
        <f t="shared" si="15"/>
        <v>1165893.1499999999</v>
      </c>
      <c r="G31" s="6">
        <f t="shared" si="2"/>
        <v>-30169923</v>
      </c>
      <c r="H31" s="6">
        <f t="shared" si="3"/>
        <v>30170828</v>
      </c>
      <c r="I31" s="38">
        <f>DATA!C274+DATA!D274</f>
        <v>2514445</v>
      </c>
      <c r="J31" s="38">
        <f t="shared" si="5"/>
        <v>5967049.75</v>
      </c>
      <c r="K31" s="38">
        <f t="shared" si="1"/>
        <v>75862887610460</v>
      </c>
      <c r="L31" s="38">
        <f t="shared" si="6"/>
        <v>151308813093230.41</v>
      </c>
      <c r="M31" s="5"/>
      <c r="N31" s="38"/>
    </row>
    <row r="32" spans="1:14" x14ac:dyDescent="0.25">
      <c r="A32" s="8">
        <v>31</v>
      </c>
      <c r="B32" s="5">
        <v>265</v>
      </c>
      <c r="C32" s="7">
        <f>DATA!C265-DATA!E265</f>
        <v>889123</v>
      </c>
      <c r="D32" s="7">
        <f>DATA!D265-DATA!F265</f>
        <v>-889139</v>
      </c>
      <c r="E32" s="7">
        <f t="shared" ref="E32:F32" si="16">AVERAGE(C13:C32)</f>
        <v>-1061890</v>
      </c>
      <c r="F32" s="7">
        <f t="shared" si="16"/>
        <v>1061936.2</v>
      </c>
      <c r="G32" s="6">
        <f t="shared" si="2"/>
        <v>-29280800</v>
      </c>
      <c r="H32" s="6">
        <f t="shared" si="3"/>
        <v>29281689</v>
      </c>
      <c r="I32" s="38">
        <f>DATA!C265+DATA!D265</f>
        <v>2606861</v>
      </c>
      <c r="J32" s="38">
        <f t="shared" si="5"/>
        <v>5720042.7999999998</v>
      </c>
      <c r="K32" s="38">
        <f t="shared" si="1"/>
        <v>76333293068229</v>
      </c>
      <c r="L32" s="38">
        <f t="shared" si="6"/>
        <v>152090464903891.84</v>
      </c>
      <c r="M32" s="5"/>
      <c r="N32" s="38"/>
    </row>
    <row r="33" spans="1:14" x14ac:dyDescent="0.25">
      <c r="A33" s="8">
        <v>32</v>
      </c>
      <c r="B33" s="5">
        <v>256</v>
      </c>
      <c r="C33" s="7">
        <f>DATA!C256-DATA!E256</f>
        <v>-283000</v>
      </c>
      <c r="D33" s="7">
        <f>DATA!D256-DATA!F256</f>
        <v>283151</v>
      </c>
      <c r="E33" s="7">
        <f t="shared" ref="E33:F33" si="17">AVERAGE(C14:C33)</f>
        <v>-1046890</v>
      </c>
      <c r="F33" s="7">
        <f t="shared" si="17"/>
        <v>1046953.75</v>
      </c>
      <c r="G33" s="6">
        <f t="shared" si="2"/>
        <v>-29563800</v>
      </c>
      <c r="H33" s="6">
        <f t="shared" si="3"/>
        <v>29564840</v>
      </c>
      <c r="I33" s="38">
        <f>DATA!C256+DATA!D256</f>
        <v>2553083</v>
      </c>
      <c r="J33" s="38">
        <f t="shared" si="5"/>
        <v>5709906.4500000002</v>
      </c>
      <c r="K33" s="38">
        <f t="shared" si="1"/>
        <v>75481490401720</v>
      </c>
      <c r="L33" s="38">
        <f t="shared" si="6"/>
        <v>154675990951745.34</v>
      </c>
      <c r="M33" s="5"/>
      <c r="N33" s="38"/>
    </row>
    <row r="34" spans="1:14" x14ac:dyDescent="0.25">
      <c r="A34" s="8">
        <v>33</v>
      </c>
      <c r="B34" s="5">
        <v>247</v>
      </c>
      <c r="C34" s="7">
        <f>DATA!C247-DATA!E247</f>
        <v>45000</v>
      </c>
      <c r="D34" s="7">
        <f>DATA!D247-DATA!F247</f>
        <v>-45047</v>
      </c>
      <c r="E34" s="7">
        <f t="shared" ref="E34:F34" si="18">AVERAGE(C15:C34)</f>
        <v>-998040</v>
      </c>
      <c r="F34" s="7">
        <f t="shared" si="18"/>
        <v>998123.1</v>
      </c>
      <c r="G34" s="6">
        <f t="shared" si="2"/>
        <v>-29518800</v>
      </c>
      <c r="H34" s="6">
        <f t="shared" si="3"/>
        <v>29519793</v>
      </c>
      <c r="I34" s="38">
        <f>DATA!C247+DATA!D247</f>
        <v>1546055</v>
      </c>
      <c r="J34" s="38">
        <f t="shared" si="5"/>
        <v>5653959.2000000002</v>
      </c>
      <c r="K34" s="38">
        <f t="shared" ref="K34:K61" si="19">I34*H34</f>
        <v>45639223566615</v>
      </c>
      <c r="L34" s="38">
        <f t="shared" si="6"/>
        <v>155684437774326.09</v>
      </c>
      <c r="M34" s="5"/>
      <c r="N34" s="38"/>
    </row>
    <row r="35" spans="1:14" x14ac:dyDescent="0.25">
      <c r="A35" s="8">
        <v>34</v>
      </c>
      <c r="B35" s="5">
        <v>238</v>
      </c>
      <c r="C35" s="7">
        <f>DATA!C238-DATA!E238</f>
        <v>-85000</v>
      </c>
      <c r="D35" s="7">
        <f>DATA!D238-DATA!F238</f>
        <v>84966</v>
      </c>
      <c r="E35" s="7">
        <f t="shared" ref="E35:F35" si="20">AVERAGE(C16:C35)</f>
        <v>-546590</v>
      </c>
      <c r="F35" s="7">
        <f t="shared" si="20"/>
        <v>546621.4</v>
      </c>
      <c r="G35" s="6">
        <f t="shared" ref="G35:G61" si="21">G34+C35</f>
        <v>-29603800</v>
      </c>
      <c r="H35" s="6">
        <f t="shared" ref="H35:H61" si="22">H34+D35</f>
        <v>29604759</v>
      </c>
      <c r="I35" s="38">
        <f>DATA!C238+DATA!D238</f>
        <v>1624500</v>
      </c>
      <c r="J35" s="38">
        <f t="shared" si="5"/>
        <v>5014534.2</v>
      </c>
      <c r="K35" s="38">
        <f t="shared" si="19"/>
        <v>48092930995500</v>
      </c>
      <c r="L35" s="38">
        <f t="shared" si="6"/>
        <v>144632868988951.09</v>
      </c>
      <c r="M35" s="5"/>
      <c r="N35" s="38"/>
    </row>
    <row r="36" spans="1:14" x14ac:dyDescent="0.25">
      <c r="A36" s="8">
        <v>35</v>
      </c>
      <c r="B36" s="5">
        <v>229</v>
      </c>
      <c r="C36" s="7">
        <f>DATA!C229-DATA!E229</f>
        <v>-256000</v>
      </c>
      <c r="D36" s="7">
        <f>DATA!D229-DATA!F229</f>
        <v>255280</v>
      </c>
      <c r="E36" s="7">
        <f t="shared" ref="E36:F36" si="23">AVERAGE(C17:C36)</f>
        <v>-229840</v>
      </c>
      <c r="F36" s="7">
        <f t="shared" si="23"/>
        <v>229835.4</v>
      </c>
      <c r="G36" s="6">
        <f t="shared" si="21"/>
        <v>-29859800</v>
      </c>
      <c r="H36" s="6">
        <f t="shared" si="22"/>
        <v>29860039</v>
      </c>
      <c r="I36" s="38">
        <f>DATA!C229+DATA!D229</f>
        <v>2123280</v>
      </c>
      <c r="J36" s="38">
        <f t="shared" si="5"/>
        <v>4544898.2</v>
      </c>
      <c r="K36" s="38">
        <f t="shared" si="19"/>
        <v>63401223607920</v>
      </c>
      <c r="L36" s="38">
        <f t="shared" si="6"/>
        <v>133256304179547.09</v>
      </c>
      <c r="M36" s="5"/>
      <c r="N36" s="38"/>
    </row>
    <row r="37" spans="1:14" x14ac:dyDescent="0.25">
      <c r="A37" s="8">
        <v>36</v>
      </c>
      <c r="B37" s="5">
        <v>220</v>
      </c>
      <c r="C37" s="7">
        <f>DATA!C220-DATA!E220</f>
        <v>-49000</v>
      </c>
      <c r="D37" s="7">
        <f>DATA!D220-DATA!F220</f>
        <v>49612</v>
      </c>
      <c r="E37" s="7">
        <f t="shared" ref="E37:F37" si="24">AVERAGE(C18:C37)</f>
        <v>20910</v>
      </c>
      <c r="F37" s="7">
        <f t="shared" si="24"/>
        <v>-20892.400000000001</v>
      </c>
      <c r="G37" s="6">
        <f t="shared" si="21"/>
        <v>-29908800</v>
      </c>
      <c r="H37" s="6">
        <f t="shared" si="22"/>
        <v>29909651</v>
      </c>
      <c r="I37" s="38">
        <f>DATA!C220+DATA!D220</f>
        <v>1553673</v>
      </c>
      <c r="J37" s="38">
        <f t="shared" si="5"/>
        <v>4508031.8499999996</v>
      </c>
      <c r="K37" s="38">
        <f t="shared" si="19"/>
        <v>46469817198123</v>
      </c>
      <c r="L37" s="38">
        <f t="shared" si="6"/>
        <v>132105780029003.25</v>
      </c>
      <c r="M37" s="5"/>
      <c r="N37" s="38"/>
    </row>
    <row r="38" spans="1:14" x14ac:dyDescent="0.25">
      <c r="A38" s="8">
        <v>37</v>
      </c>
      <c r="B38" s="5">
        <v>211</v>
      </c>
      <c r="C38" s="7">
        <f>DATA!C211-DATA!E211</f>
        <v>-310000</v>
      </c>
      <c r="D38" s="7">
        <f>DATA!D211-DATA!F211</f>
        <v>309695</v>
      </c>
      <c r="E38" s="7">
        <f t="shared" ref="E38:F38" si="25">AVERAGE(C19:C38)</f>
        <v>129160</v>
      </c>
      <c r="F38" s="7">
        <f t="shared" si="25"/>
        <v>-129107.65</v>
      </c>
      <c r="G38" s="6">
        <f t="shared" si="21"/>
        <v>-30218800</v>
      </c>
      <c r="H38" s="6">
        <f t="shared" si="22"/>
        <v>30219346</v>
      </c>
      <c r="I38" s="38">
        <f>DATA!C211+DATA!D211</f>
        <v>2281782</v>
      </c>
      <c r="J38" s="38">
        <f t="shared" si="5"/>
        <v>4152770.95</v>
      </c>
      <c r="K38" s="38">
        <f t="shared" si="19"/>
        <v>68953959754572</v>
      </c>
      <c r="L38" s="38">
        <f t="shared" si="6"/>
        <v>120158094461081.84</v>
      </c>
      <c r="M38" s="5"/>
      <c r="N38" s="38"/>
    </row>
    <row r="39" spans="1:14" x14ac:dyDescent="0.25">
      <c r="A39" s="8">
        <v>38</v>
      </c>
      <c r="B39" s="5">
        <v>202</v>
      </c>
      <c r="C39" s="7">
        <f>DATA!C202-DATA!E202</f>
        <v>-854000</v>
      </c>
      <c r="D39" s="7">
        <f>DATA!D202-DATA!F202</f>
        <v>854509</v>
      </c>
      <c r="E39" s="7">
        <f t="shared" ref="E39:F39" si="26">AVERAGE(C20:C39)</f>
        <v>77613.350000000006</v>
      </c>
      <c r="F39" s="7">
        <f t="shared" si="26"/>
        <v>-77535.55</v>
      </c>
      <c r="G39" s="6">
        <f t="shared" si="21"/>
        <v>-31072800</v>
      </c>
      <c r="H39" s="6">
        <f t="shared" si="22"/>
        <v>31073855</v>
      </c>
      <c r="I39" s="38">
        <f>DATA!C202+DATA!D202</f>
        <v>2318000</v>
      </c>
      <c r="J39" s="38">
        <f t="shared" si="5"/>
        <v>4257643.75</v>
      </c>
      <c r="K39" s="38">
        <f t="shared" si="19"/>
        <v>72029195890000</v>
      </c>
      <c r="L39" s="38">
        <f t="shared" si="6"/>
        <v>123399796641386.66</v>
      </c>
      <c r="M39" s="5"/>
      <c r="N39" s="38"/>
    </row>
    <row r="40" spans="1:14" x14ac:dyDescent="0.25">
      <c r="A40" s="8">
        <v>39</v>
      </c>
      <c r="B40" s="5">
        <v>193</v>
      </c>
      <c r="C40" s="7">
        <f>DATA!C193-DATA!E193</f>
        <v>30000</v>
      </c>
      <c r="D40" s="7">
        <f>DATA!D193-DATA!F193</f>
        <v>-30000</v>
      </c>
      <c r="E40" s="7">
        <f t="shared" ref="E40:F40" si="27">AVERAGE(C21:C40)</f>
        <v>66073.2</v>
      </c>
      <c r="F40" s="7">
        <f t="shared" si="27"/>
        <v>-65995.399999999994</v>
      </c>
      <c r="G40" s="6">
        <f t="shared" si="21"/>
        <v>-31042800</v>
      </c>
      <c r="H40" s="6">
        <f t="shared" si="22"/>
        <v>31043855</v>
      </c>
      <c r="I40" s="38">
        <f>DATA!C193+DATA!D193</f>
        <v>2840000</v>
      </c>
      <c r="J40" s="38">
        <f t="shared" si="5"/>
        <v>4377269.9000000004</v>
      </c>
      <c r="K40" s="38">
        <f t="shared" si="19"/>
        <v>88164548200000</v>
      </c>
      <c r="L40" s="38">
        <f t="shared" si="6"/>
        <v>127083922072589.09</v>
      </c>
      <c r="M40" s="5"/>
      <c r="N40" s="38"/>
    </row>
    <row r="41" spans="1:14" x14ac:dyDescent="0.25">
      <c r="A41" s="8">
        <v>40</v>
      </c>
      <c r="B41" s="5">
        <v>184</v>
      </c>
      <c r="C41" s="7">
        <f>DATA!C184-DATA!E184</f>
        <v>-593000</v>
      </c>
      <c r="D41" s="7">
        <f>DATA!D184-DATA!F184</f>
        <v>593295</v>
      </c>
      <c r="E41" s="7">
        <f t="shared" ref="E41:F41" si="28">AVERAGE(C22:C41)</f>
        <v>-25043.85</v>
      </c>
      <c r="F41" s="7">
        <f t="shared" si="28"/>
        <v>25119.35</v>
      </c>
      <c r="G41" s="6">
        <f t="shared" si="21"/>
        <v>-31635800</v>
      </c>
      <c r="H41" s="6">
        <f t="shared" si="22"/>
        <v>31637150</v>
      </c>
      <c r="I41" s="38">
        <f>DATA!C184+DATA!D184</f>
        <v>2519020</v>
      </c>
      <c r="J41" s="38">
        <f t="shared" si="5"/>
        <v>4412170.9000000004</v>
      </c>
      <c r="K41" s="38">
        <f t="shared" si="19"/>
        <v>79694613593000</v>
      </c>
      <c r="L41" s="38">
        <f t="shared" si="6"/>
        <v>128233832581089.09</v>
      </c>
      <c r="M41" s="5"/>
      <c r="N41" s="38"/>
    </row>
    <row r="42" spans="1:14" x14ac:dyDescent="0.25">
      <c r="A42" s="8">
        <v>41</v>
      </c>
      <c r="B42" s="5">
        <v>175</v>
      </c>
      <c r="C42" s="7">
        <f>DATA!C175-DATA!E175</f>
        <v>4650000</v>
      </c>
      <c r="D42" s="7">
        <f>DATA!D175-DATA!F175</f>
        <v>-4649000</v>
      </c>
      <c r="E42" s="7">
        <f t="shared" ref="E42:F42" si="29">AVERAGE(C23:C42)</f>
        <v>-4793.8500000000004</v>
      </c>
      <c r="F42" s="7">
        <f t="shared" si="29"/>
        <v>4919.3500000000004</v>
      </c>
      <c r="G42" s="6">
        <f t="shared" si="21"/>
        <v>-26985800</v>
      </c>
      <c r="H42" s="6">
        <f t="shared" si="22"/>
        <v>26988150</v>
      </c>
      <c r="I42" s="38">
        <f>DATA!C175+DATA!D175</f>
        <v>9268000</v>
      </c>
      <c r="J42" s="38">
        <f t="shared" si="5"/>
        <v>4216570.9000000004</v>
      </c>
      <c r="K42" s="38">
        <f t="shared" si="19"/>
        <v>250126174200000</v>
      </c>
      <c r="L42" s="38">
        <f t="shared" si="6"/>
        <v>123019787474089.09</v>
      </c>
      <c r="M42" s="5"/>
      <c r="N42" s="38"/>
    </row>
    <row r="43" spans="1:14" x14ac:dyDescent="0.25">
      <c r="A43" s="8">
        <v>42</v>
      </c>
      <c r="B43" s="5">
        <v>166</v>
      </c>
      <c r="C43" s="7">
        <f>DATA!C166-DATA!E166</f>
        <v>4619000</v>
      </c>
      <c r="D43" s="7">
        <f>DATA!D166-DATA!F166</f>
        <v>-4619000</v>
      </c>
      <c r="E43" s="7">
        <f t="shared" ref="E43:F43" si="30">AVERAGE(C24:C43)</f>
        <v>245106.15</v>
      </c>
      <c r="F43" s="7">
        <f t="shared" si="30"/>
        <v>-244980.65</v>
      </c>
      <c r="G43" s="6">
        <f t="shared" si="21"/>
        <v>-22366800</v>
      </c>
      <c r="H43" s="6">
        <f t="shared" si="22"/>
        <v>22369150</v>
      </c>
      <c r="I43" s="38">
        <f>DATA!C166+DATA!D166</f>
        <v>10892000</v>
      </c>
      <c r="J43" s="38">
        <f t="shared" si="5"/>
        <v>4418220.9000000004</v>
      </c>
      <c r="K43" s="38">
        <f t="shared" si="19"/>
        <v>243644781800000</v>
      </c>
      <c r="L43" s="38">
        <f t="shared" si="6"/>
        <v>125850204293239.09</v>
      </c>
      <c r="M43" s="5"/>
      <c r="N43" s="38"/>
    </row>
    <row r="44" spans="1:14" x14ac:dyDescent="0.25">
      <c r="A44" s="8">
        <v>43</v>
      </c>
      <c r="B44" s="5">
        <v>157</v>
      </c>
      <c r="C44" s="7">
        <f>DATA!C157-DATA!E157</f>
        <v>-1607000</v>
      </c>
      <c r="D44" s="7">
        <f>DATA!D157-DATA!F157</f>
        <v>1606646</v>
      </c>
      <c r="E44" s="7">
        <f t="shared" ref="E44:F44" si="31">AVERAGE(C25:C44)</f>
        <v>128006.15</v>
      </c>
      <c r="F44" s="7">
        <f t="shared" si="31"/>
        <v>-127898.35</v>
      </c>
      <c r="G44" s="6">
        <f t="shared" si="21"/>
        <v>-23973800</v>
      </c>
      <c r="H44" s="6">
        <f t="shared" si="22"/>
        <v>23975796</v>
      </c>
      <c r="I44" s="38">
        <f>DATA!C157+DATA!D157</f>
        <v>6506000</v>
      </c>
      <c r="J44" s="38">
        <f t="shared" si="5"/>
        <v>4273770.9000000004</v>
      </c>
      <c r="K44" s="38">
        <f t="shared" si="19"/>
        <v>155986528776000</v>
      </c>
      <c r="L44" s="38">
        <f t="shared" si="6"/>
        <v>121185295562789.09</v>
      </c>
      <c r="M44" s="5"/>
      <c r="N44" s="38"/>
    </row>
    <row r="45" spans="1:14" x14ac:dyDescent="0.25">
      <c r="A45" s="8">
        <v>44</v>
      </c>
      <c r="B45" s="5">
        <v>148</v>
      </c>
      <c r="C45" s="7">
        <f>DATA!C148-DATA!E148</f>
        <v>-372000</v>
      </c>
      <c r="D45" s="7">
        <f>DATA!D148-DATA!F148</f>
        <v>373000</v>
      </c>
      <c r="E45" s="7">
        <f t="shared" ref="E45:F45" si="32">AVERAGE(C26:C45)</f>
        <v>152056.15</v>
      </c>
      <c r="F45" s="7">
        <f t="shared" si="32"/>
        <v>-151898.35</v>
      </c>
      <c r="G45" s="6">
        <f t="shared" si="21"/>
        <v>-24345800</v>
      </c>
      <c r="H45" s="6">
        <f t="shared" si="22"/>
        <v>24348796</v>
      </c>
      <c r="I45" s="38">
        <f>DATA!C148+DATA!D148</f>
        <v>4258000</v>
      </c>
      <c r="J45" s="38">
        <f t="shared" si="5"/>
        <v>4267870.9000000004</v>
      </c>
      <c r="K45" s="38">
        <f t="shared" si="19"/>
        <v>103677173368000</v>
      </c>
      <c r="L45" s="38">
        <f t="shared" si="6"/>
        <v>120376930486789.09</v>
      </c>
      <c r="M45" s="5"/>
      <c r="N45" s="38"/>
    </row>
    <row r="46" spans="1:14" x14ac:dyDescent="0.25">
      <c r="A46" s="8">
        <v>45</v>
      </c>
      <c r="B46" s="5">
        <v>139</v>
      </c>
      <c r="C46" s="7">
        <f>DATA!C139-DATA!E139</f>
        <v>-725000</v>
      </c>
      <c r="D46" s="7">
        <f>DATA!D139-DATA!F139</f>
        <v>725878</v>
      </c>
      <c r="E46" s="7">
        <f t="shared" ref="E46:F46" si="33">AVERAGE(C27:C46)</f>
        <v>196706.15</v>
      </c>
      <c r="F46" s="7">
        <f t="shared" si="33"/>
        <v>-196554.45</v>
      </c>
      <c r="G46" s="6">
        <f t="shared" si="21"/>
        <v>-25070800</v>
      </c>
      <c r="H46" s="6">
        <f t="shared" si="22"/>
        <v>25074674</v>
      </c>
      <c r="I46" s="38">
        <f>DATA!C139+DATA!D139</f>
        <v>2530000</v>
      </c>
      <c r="J46" s="38">
        <f t="shared" si="5"/>
        <v>3963520.9</v>
      </c>
      <c r="K46" s="38">
        <f t="shared" si="19"/>
        <v>63438925220000</v>
      </c>
      <c r="L46" s="38">
        <f t="shared" si="6"/>
        <v>111051743759239.09</v>
      </c>
      <c r="M46" s="5"/>
      <c r="N46" s="38"/>
    </row>
    <row r="47" spans="1:14" x14ac:dyDescent="0.25">
      <c r="A47" s="8">
        <v>46</v>
      </c>
      <c r="B47" s="5">
        <v>130</v>
      </c>
      <c r="C47" s="7">
        <f>DATA!C130-DATA!E130</f>
        <v>-564000</v>
      </c>
      <c r="D47" s="7">
        <f>DATA!D130-DATA!F130</f>
        <v>563941</v>
      </c>
      <c r="E47" s="7">
        <f t="shared" ref="E47:F47" si="34">AVERAGE(C28:C47)</f>
        <v>285256.15000000002</v>
      </c>
      <c r="F47" s="7">
        <f t="shared" si="34"/>
        <v>-285107.40000000002</v>
      </c>
      <c r="G47" s="6">
        <f t="shared" si="21"/>
        <v>-25634800</v>
      </c>
      <c r="H47" s="6">
        <f t="shared" si="22"/>
        <v>25638615</v>
      </c>
      <c r="I47" s="38">
        <f>DATA!C130+DATA!D130</f>
        <v>2936000</v>
      </c>
      <c r="J47" s="38">
        <f t="shared" si="5"/>
        <v>3619020.9</v>
      </c>
      <c r="K47" s="38">
        <f t="shared" si="19"/>
        <v>75274973640000</v>
      </c>
      <c r="L47" s="38">
        <f t="shared" si="6"/>
        <v>99417775579339.094</v>
      </c>
      <c r="M47" s="5"/>
      <c r="N47" s="38"/>
    </row>
    <row r="48" spans="1:14" x14ac:dyDescent="0.25">
      <c r="A48" s="8">
        <v>47</v>
      </c>
      <c r="B48" s="5">
        <v>121</v>
      </c>
      <c r="C48" s="7">
        <f>DATA!C121-DATA!E121</f>
        <v>777000</v>
      </c>
      <c r="D48" s="7">
        <f>DATA!D121-DATA!F121</f>
        <v>-777000</v>
      </c>
      <c r="E48" s="7">
        <f t="shared" ref="E48:F48" si="35">AVERAGE(C29:C48)</f>
        <v>332206.15000000002</v>
      </c>
      <c r="F48" s="7">
        <f t="shared" si="35"/>
        <v>-332057.40000000002</v>
      </c>
      <c r="G48" s="6">
        <f t="shared" si="21"/>
        <v>-24857800</v>
      </c>
      <c r="H48" s="6">
        <f t="shared" si="22"/>
        <v>24861615</v>
      </c>
      <c r="I48" s="38">
        <f>DATA!C121+DATA!D121</f>
        <v>3861000</v>
      </c>
      <c r="J48" s="38">
        <f t="shared" si="5"/>
        <v>3616520.9</v>
      </c>
      <c r="K48" s="38">
        <f t="shared" si="19"/>
        <v>95990695515000</v>
      </c>
      <c r="L48" s="38">
        <f t="shared" si="6"/>
        <v>98056945050439.094</v>
      </c>
      <c r="M48" s="5"/>
      <c r="N48" s="38"/>
    </row>
    <row r="49" spans="1:14" x14ac:dyDescent="0.25">
      <c r="A49" s="8">
        <v>48</v>
      </c>
      <c r="B49" s="5">
        <v>112</v>
      </c>
      <c r="C49" s="7">
        <f>DATA!C112-DATA!E112</f>
        <v>-616000</v>
      </c>
      <c r="D49" s="7">
        <f>DATA!D112-DATA!F112</f>
        <v>616000</v>
      </c>
      <c r="E49" s="7">
        <f t="shared" ref="E49:F49" si="36">AVERAGE(C30:C49)</f>
        <v>297806.15000000002</v>
      </c>
      <c r="F49" s="7">
        <f t="shared" si="36"/>
        <v>-297673.3</v>
      </c>
      <c r="G49" s="6">
        <f t="shared" si="21"/>
        <v>-25473800</v>
      </c>
      <c r="H49" s="6">
        <f t="shared" si="22"/>
        <v>25477615</v>
      </c>
      <c r="I49" s="38">
        <f>DATA!C112+DATA!D112</f>
        <v>3702000</v>
      </c>
      <c r="J49" s="38">
        <f t="shared" si="5"/>
        <v>3620254.85</v>
      </c>
      <c r="K49" s="38">
        <f t="shared" si="19"/>
        <v>94318130730000</v>
      </c>
      <c r="L49" s="38">
        <f t="shared" si="6"/>
        <v>97072320578739.047</v>
      </c>
      <c r="M49" s="5"/>
      <c r="N49" s="38"/>
    </row>
    <row r="50" spans="1:14" x14ac:dyDescent="0.25">
      <c r="A50" s="8">
        <v>49</v>
      </c>
      <c r="B50" s="5">
        <v>103</v>
      </c>
      <c r="C50" s="7">
        <f>DATA!C103-DATA!E103</f>
        <v>-343000</v>
      </c>
      <c r="D50" s="7">
        <f>DATA!D103-DATA!F103</f>
        <v>342868</v>
      </c>
      <c r="E50" s="7">
        <f t="shared" ref="E50:F50" si="37">AVERAGE(C31:C50)</f>
        <v>205656.15</v>
      </c>
      <c r="F50" s="7">
        <f t="shared" si="37"/>
        <v>-205499.8</v>
      </c>
      <c r="G50" s="6">
        <f t="shared" si="21"/>
        <v>-25816800</v>
      </c>
      <c r="H50" s="6">
        <f t="shared" si="22"/>
        <v>25820483</v>
      </c>
      <c r="I50" s="38">
        <f>DATA!C103+DATA!D103</f>
        <v>2968410</v>
      </c>
      <c r="J50" s="38">
        <f t="shared" si="5"/>
        <v>3570105.45</v>
      </c>
      <c r="K50" s="38">
        <f t="shared" si="19"/>
        <v>76645779942030</v>
      </c>
      <c r="L50" s="38">
        <f t="shared" si="6"/>
        <v>94961317353858.453</v>
      </c>
      <c r="M50" s="5"/>
      <c r="N50" s="38"/>
    </row>
    <row r="51" spans="1:14" x14ac:dyDescent="0.25">
      <c r="A51" s="8">
        <v>50</v>
      </c>
      <c r="B51" s="5">
        <v>94</v>
      </c>
      <c r="C51" s="7">
        <f>DATA!C94-DATA!E94</f>
        <v>-1116000</v>
      </c>
      <c r="D51" s="7">
        <f>DATA!D94-DATA!F94</f>
        <v>1115529</v>
      </c>
      <c r="E51" s="7">
        <f t="shared" ref="E51:F51" si="38">AVERAGE(C32:C51)</f>
        <v>161856.15</v>
      </c>
      <c r="F51" s="7">
        <f t="shared" si="38"/>
        <v>-161740.79999999999</v>
      </c>
      <c r="G51" s="6">
        <f t="shared" si="21"/>
        <v>-26932800</v>
      </c>
      <c r="H51" s="6">
        <f t="shared" si="22"/>
        <v>26936012</v>
      </c>
      <c r="I51" s="38">
        <f>DATA!C94+DATA!D94</f>
        <v>3372000</v>
      </c>
      <c r="J51" s="38">
        <f t="shared" si="5"/>
        <v>3612983.2</v>
      </c>
      <c r="K51" s="38">
        <f t="shared" si="19"/>
        <v>90828232464000</v>
      </c>
      <c r="L51" s="38">
        <f t="shared" si="6"/>
        <v>95709584596535.453</v>
      </c>
      <c r="M51" s="5"/>
      <c r="N51" s="38"/>
    </row>
    <row r="52" spans="1:14" x14ac:dyDescent="0.25">
      <c r="A52" s="8">
        <v>51</v>
      </c>
      <c r="B52" s="5">
        <v>85</v>
      </c>
      <c r="C52" s="7">
        <f>DATA!C85-DATA!E85</f>
        <v>-1149000</v>
      </c>
      <c r="D52" s="7">
        <f>DATA!D85-DATA!F85</f>
        <v>1149013</v>
      </c>
      <c r="E52" s="7">
        <f t="shared" ref="E52:F52" si="39">AVERAGE(C33:C52)</f>
        <v>59950</v>
      </c>
      <c r="F52" s="7">
        <f t="shared" si="39"/>
        <v>-59833.2</v>
      </c>
      <c r="G52" s="6">
        <f t="shared" si="21"/>
        <v>-28081800</v>
      </c>
      <c r="H52" s="6">
        <f t="shared" si="22"/>
        <v>28085025</v>
      </c>
      <c r="I52" s="38">
        <f>DATA!C85+DATA!D85</f>
        <v>3747000</v>
      </c>
      <c r="J52" s="38">
        <f t="shared" si="5"/>
        <v>3669990.15</v>
      </c>
      <c r="K52" s="38">
        <f t="shared" si="19"/>
        <v>105234588675000</v>
      </c>
      <c r="L52" s="38">
        <f t="shared" si="6"/>
        <v>97154649376874</v>
      </c>
      <c r="M52" s="5"/>
      <c r="N52" s="38"/>
    </row>
    <row r="53" spans="1:14" x14ac:dyDescent="0.25">
      <c r="A53" s="8">
        <v>52</v>
      </c>
      <c r="B53" s="5">
        <v>76</v>
      </c>
      <c r="C53" s="7">
        <f>DATA!C76-DATA!E76</f>
        <v>72000</v>
      </c>
      <c r="D53" s="7">
        <f>DATA!D76-DATA!F76</f>
        <v>-72017</v>
      </c>
      <c r="E53" s="7">
        <f t="shared" ref="E53:F53" si="40">AVERAGE(C34:C53)</f>
        <v>77700</v>
      </c>
      <c r="F53" s="7">
        <f t="shared" si="40"/>
        <v>-77591.600000000006</v>
      </c>
      <c r="G53" s="6">
        <f t="shared" si="21"/>
        <v>-28009800</v>
      </c>
      <c r="H53" s="6">
        <f t="shared" si="22"/>
        <v>28013008</v>
      </c>
      <c r="I53" s="38">
        <f>DATA!C76+DATA!D76</f>
        <v>1361500</v>
      </c>
      <c r="J53" s="38">
        <f t="shared" si="5"/>
        <v>3610411</v>
      </c>
      <c r="K53" s="38">
        <f t="shared" si="19"/>
        <v>38139710392000</v>
      </c>
      <c r="L53" s="38">
        <f t="shared" si="6"/>
        <v>95287560376388</v>
      </c>
      <c r="M53" s="5"/>
      <c r="N53" s="38"/>
    </row>
    <row r="54" spans="1:14" x14ac:dyDescent="0.25">
      <c r="A54" s="8">
        <v>53</v>
      </c>
      <c r="B54" s="5">
        <v>67</v>
      </c>
      <c r="C54" s="7">
        <f>DATA!C67-DATA!E67</f>
        <v>-154000</v>
      </c>
      <c r="D54" s="7">
        <f>DATA!D67-DATA!F67</f>
        <v>154000</v>
      </c>
      <c r="E54" s="7">
        <f t="shared" ref="E54:F54" si="41">AVERAGE(C35:C54)</f>
        <v>67750</v>
      </c>
      <c r="F54" s="7">
        <f t="shared" si="41"/>
        <v>-67639.25</v>
      </c>
      <c r="G54" s="6">
        <f t="shared" si="21"/>
        <v>-28163800</v>
      </c>
      <c r="H54" s="6">
        <f t="shared" si="22"/>
        <v>28167008</v>
      </c>
      <c r="I54" s="38">
        <f>DATA!C67+DATA!D67</f>
        <v>2683000</v>
      </c>
      <c r="J54" s="38">
        <f t="shared" si="5"/>
        <v>3667258.25</v>
      </c>
      <c r="K54" s="38">
        <f t="shared" si="19"/>
        <v>75572082464000</v>
      </c>
      <c r="L54" s="38">
        <f t="shared" si="6"/>
        <v>96784203321257.25</v>
      </c>
      <c r="M54" s="5"/>
      <c r="N54" s="38"/>
    </row>
    <row r="55" spans="1:14" x14ac:dyDescent="0.25">
      <c r="A55" s="8">
        <v>54</v>
      </c>
      <c r="B55" s="5">
        <v>58</v>
      </c>
      <c r="C55" s="7">
        <f>DATA!C58-DATA!E58</f>
        <v>807541</v>
      </c>
      <c r="D55" s="7">
        <f>DATA!D58-DATA!F58</f>
        <v>-807167</v>
      </c>
      <c r="E55" s="7">
        <f t="shared" ref="E55:F55" si="42">AVERAGE(C36:C55)</f>
        <v>112377.05</v>
      </c>
      <c r="F55" s="7">
        <f t="shared" si="42"/>
        <v>-112245.9</v>
      </c>
      <c r="G55" s="6">
        <f t="shared" si="21"/>
        <v>-27356259</v>
      </c>
      <c r="H55" s="6">
        <f t="shared" si="22"/>
        <v>27359841</v>
      </c>
      <c r="I55" s="38">
        <f>DATA!C58+DATA!D58</f>
        <v>2577833</v>
      </c>
      <c r="J55" s="38">
        <f t="shared" si="5"/>
        <v>3714924.9</v>
      </c>
      <c r="K55" s="38">
        <f t="shared" si="19"/>
        <v>70529101004553</v>
      </c>
      <c r="L55" s="38">
        <f t="shared" si="6"/>
        <v>97906011821709.906</v>
      </c>
      <c r="M55" s="5"/>
      <c r="N55" s="38"/>
    </row>
    <row r="56" spans="1:14" x14ac:dyDescent="0.25">
      <c r="A56" s="8">
        <v>55</v>
      </c>
      <c r="B56" s="5">
        <v>49</v>
      </c>
      <c r="C56" s="7">
        <f>DATA!C49-DATA!E49</f>
        <v>190000</v>
      </c>
      <c r="D56" s="7">
        <f>DATA!D49-DATA!F49</f>
        <v>-189605</v>
      </c>
      <c r="E56" s="7">
        <f t="shared" ref="E56:F56" si="43">AVERAGE(C37:C56)</f>
        <v>134677.04999999999</v>
      </c>
      <c r="F56" s="7">
        <f t="shared" si="43"/>
        <v>-134490.15</v>
      </c>
      <c r="G56" s="6">
        <f t="shared" si="21"/>
        <v>-27166259</v>
      </c>
      <c r="H56" s="6">
        <f t="shared" si="22"/>
        <v>27170236</v>
      </c>
      <c r="I56" s="38">
        <f>DATA!C49+DATA!D49</f>
        <v>1432517</v>
      </c>
      <c r="J56" s="38">
        <f t="shared" si="5"/>
        <v>3680386.75</v>
      </c>
      <c r="K56" s="38">
        <f t="shared" si="19"/>
        <v>38921824964012</v>
      </c>
      <c r="L56" s="38">
        <f t="shared" si="6"/>
        <v>96682041889514.5</v>
      </c>
      <c r="M56" s="5"/>
      <c r="N56" s="38"/>
    </row>
    <row r="57" spans="1:14" x14ac:dyDescent="0.25">
      <c r="A57" s="8">
        <v>56</v>
      </c>
      <c r="B57" s="5">
        <v>40</v>
      </c>
      <c r="C57" s="7">
        <f>DATA!C40-DATA!E40</f>
        <v>-960000</v>
      </c>
      <c r="D57" s="7">
        <f>DATA!D40-DATA!F40</f>
        <v>958902</v>
      </c>
      <c r="E57" s="7">
        <f t="shared" ref="E57:F57" si="44">AVERAGE(C38:C57)</f>
        <v>89127.05</v>
      </c>
      <c r="F57" s="7">
        <f t="shared" si="44"/>
        <v>-89025.65</v>
      </c>
      <c r="G57" s="6">
        <f t="shared" si="21"/>
        <v>-28126259</v>
      </c>
      <c r="H57" s="6">
        <f t="shared" si="22"/>
        <v>28129138</v>
      </c>
      <c r="I57" s="38">
        <f>DATA!C40+DATA!D40</f>
        <v>3662000</v>
      </c>
      <c r="J57" s="38">
        <f t="shared" si="5"/>
        <v>3785803.1</v>
      </c>
      <c r="K57" s="38">
        <f t="shared" si="19"/>
        <v>103008903356000</v>
      </c>
      <c r="L57" s="38">
        <f t="shared" si="6"/>
        <v>99508996197408.344</v>
      </c>
      <c r="M57" s="5"/>
      <c r="N57" s="38"/>
    </row>
    <row r="58" spans="1:14" x14ac:dyDescent="0.25">
      <c r="A58" s="8">
        <v>57</v>
      </c>
      <c r="B58" s="5">
        <v>31</v>
      </c>
      <c r="C58" s="7">
        <f>DATA!C31-DATA!E31</f>
        <v>-300000</v>
      </c>
      <c r="D58" s="7">
        <f>DATA!D31-DATA!F31</f>
        <v>300000</v>
      </c>
      <c r="E58" s="7">
        <f t="shared" ref="E58:F58" si="45">AVERAGE(C39:C58)</f>
        <v>89627.05</v>
      </c>
      <c r="F58" s="7">
        <f t="shared" si="45"/>
        <v>-89510.399999999994</v>
      </c>
      <c r="G58" s="6">
        <f t="shared" si="21"/>
        <v>-28426259</v>
      </c>
      <c r="H58" s="6">
        <f t="shared" si="22"/>
        <v>28429138</v>
      </c>
      <c r="I58" s="38">
        <f>DATA!C31+DATA!D31</f>
        <v>740541</v>
      </c>
      <c r="J58" s="38">
        <f t="shared" si="5"/>
        <v>3708741.05</v>
      </c>
      <c r="K58" s="38">
        <f t="shared" si="19"/>
        <v>21052942283658</v>
      </c>
      <c r="L58" s="38">
        <f t="shared" si="6"/>
        <v>97113945323862.656</v>
      </c>
      <c r="M58" s="5"/>
      <c r="N58" s="38"/>
    </row>
    <row r="59" spans="1:14" x14ac:dyDescent="0.25">
      <c r="A59" s="8">
        <v>58</v>
      </c>
      <c r="B59" s="5">
        <v>22</v>
      </c>
      <c r="C59" s="7">
        <f>DATA!C22-DATA!E22</f>
        <v>-664974</v>
      </c>
      <c r="D59" s="7">
        <f>DATA!D22-DATA!F22</f>
        <v>664800</v>
      </c>
      <c r="E59" s="7">
        <f t="shared" ref="E59:F59" si="46">AVERAGE(C40:C59)</f>
        <v>99078.35</v>
      </c>
      <c r="F59" s="7">
        <f t="shared" si="46"/>
        <v>-98995.85</v>
      </c>
      <c r="G59" s="6">
        <f t="shared" si="21"/>
        <v>-29091233</v>
      </c>
      <c r="H59" s="6">
        <f t="shared" si="22"/>
        <v>29093938</v>
      </c>
      <c r="I59" s="38">
        <f>DATA!C22+DATA!D22</f>
        <v>1793026</v>
      </c>
      <c r="J59" s="38">
        <f t="shared" si="5"/>
        <v>3682492.35</v>
      </c>
      <c r="K59" s="38">
        <f t="shared" si="19"/>
        <v>52166187276388</v>
      </c>
      <c r="L59" s="38">
        <f t="shared" si="6"/>
        <v>96120794893182.047</v>
      </c>
      <c r="M59" s="5"/>
      <c r="N59" s="38"/>
    </row>
    <row r="60" spans="1:14" x14ac:dyDescent="0.25">
      <c r="A60" s="8">
        <v>59</v>
      </c>
      <c r="B60" s="5">
        <v>13</v>
      </c>
      <c r="C60" s="7">
        <f>DATA!C13-DATA!E13</f>
        <v>-98000</v>
      </c>
      <c r="D60" s="7">
        <f>DATA!D13-DATA!F13</f>
        <v>98000</v>
      </c>
      <c r="E60" s="7">
        <f t="shared" ref="E60:F60" si="47">AVERAGE(C41:C60)</f>
        <v>92678.35</v>
      </c>
      <c r="F60" s="7">
        <f t="shared" si="47"/>
        <v>-92595.85</v>
      </c>
      <c r="G60" s="6">
        <f t="shared" si="21"/>
        <v>-29189233</v>
      </c>
      <c r="H60" s="6">
        <f t="shared" si="22"/>
        <v>29191938</v>
      </c>
      <c r="I60" s="38">
        <f>DATA!C13+DATA!D13</f>
        <v>5638000</v>
      </c>
      <c r="J60" s="38">
        <f t="shared" si="5"/>
        <v>3822392.35</v>
      </c>
      <c r="K60" s="38">
        <f t="shared" si="19"/>
        <v>164584146444000</v>
      </c>
      <c r="L60" s="38">
        <f t="shared" si="6"/>
        <v>99941774805382.047</v>
      </c>
      <c r="M60" s="5"/>
      <c r="N60" s="38"/>
    </row>
    <row r="61" spans="1:14" x14ac:dyDescent="0.25">
      <c r="A61" s="8">
        <v>60</v>
      </c>
      <c r="B61" s="5">
        <v>4</v>
      </c>
      <c r="C61" s="7">
        <f>DATA!C4-DATA!E4</f>
        <v>183516</v>
      </c>
      <c r="D61" s="7">
        <f>DATA!D4-DATA!F4</f>
        <v>-183516</v>
      </c>
      <c r="E61" s="7">
        <f t="shared" ref="E61:F61" si="48">AVERAGE(C42:C61)</f>
        <v>131504.15</v>
      </c>
      <c r="F61" s="7">
        <f t="shared" si="48"/>
        <v>-131436.4</v>
      </c>
      <c r="G61" s="6">
        <f t="shared" si="21"/>
        <v>-29005717</v>
      </c>
      <c r="H61" s="6">
        <f t="shared" si="22"/>
        <v>29008422</v>
      </c>
      <c r="I61" s="38">
        <f>DATA!C4+DATA!D4</f>
        <v>1567700</v>
      </c>
      <c r="J61" s="38">
        <f t="shared" si="5"/>
        <v>3774826.35</v>
      </c>
      <c r="K61" s="38">
        <f t="shared" si="19"/>
        <v>45476503169400</v>
      </c>
      <c r="L61" s="38">
        <f t="shared" si="6"/>
        <v>98230869284202.047</v>
      </c>
      <c r="M61" s="5"/>
      <c r="N61" s="38"/>
    </row>
  </sheetData>
  <sortState ref="B1:F41">
    <sortCondition descending="1" ref="B1:B4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N61"/>
  <sheetViews>
    <sheetView zoomScale="90" zoomScaleNormal="90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2" max="2" width="13.7109375" customWidth="1"/>
    <col min="3" max="4" width="13.7109375" style="7" customWidth="1"/>
    <col min="5" max="6" width="13.5703125" customWidth="1"/>
    <col min="7" max="8" width="13.42578125" style="5" customWidth="1"/>
    <col min="9" max="10" width="18" style="5" customWidth="1"/>
    <col min="11" max="11" width="16.28515625" customWidth="1"/>
    <col min="12" max="12" width="16.85546875" style="5" customWidth="1"/>
    <col min="13" max="13" width="13.7109375" customWidth="1"/>
    <col min="14" max="14" width="23.7109375" style="5" customWidth="1"/>
  </cols>
  <sheetData>
    <row r="1" spans="1:14" s="41" customFormat="1" x14ac:dyDescent="0.25">
      <c r="B1" s="85" t="s">
        <v>14</v>
      </c>
      <c r="C1" s="86" t="s">
        <v>2</v>
      </c>
      <c r="D1" s="86" t="s">
        <v>3</v>
      </c>
      <c r="E1" s="86" t="s">
        <v>17</v>
      </c>
      <c r="F1" s="86" t="s">
        <v>18</v>
      </c>
      <c r="G1" s="85" t="s">
        <v>19</v>
      </c>
      <c r="H1" s="85" t="s">
        <v>20</v>
      </c>
      <c r="I1" s="85"/>
      <c r="J1" s="85"/>
      <c r="K1" s="85"/>
      <c r="L1" s="85"/>
      <c r="M1" s="85"/>
      <c r="N1" s="85"/>
    </row>
    <row r="2" spans="1:14" s="8" customFormat="1" x14ac:dyDescent="0.25">
      <c r="A2" s="8">
        <v>1</v>
      </c>
      <c r="B2" s="37">
        <v>534</v>
      </c>
      <c r="C2" s="7">
        <f>DATA!C534-DATA!E534</f>
        <v>-1491</v>
      </c>
      <c r="D2" s="7">
        <f>DATA!D534-DATA!F534</f>
        <v>-2</v>
      </c>
      <c r="E2" s="38"/>
      <c r="F2" s="38"/>
      <c r="G2" s="6">
        <f>C2</f>
        <v>-1491</v>
      </c>
      <c r="H2" s="6">
        <f>D2</f>
        <v>-2</v>
      </c>
      <c r="I2" s="38"/>
      <c r="J2" s="38"/>
      <c r="K2" s="38"/>
      <c r="L2" s="37"/>
      <c r="M2" s="5"/>
      <c r="N2" s="38"/>
    </row>
    <row r="3" spans="1:14" s="8" customFormat="1" x14ac:dyDescent="0.25">
      <c r="A3" s="8">
        <v>2</v>
      </c>
      <c r="B3" s="37">
        <f>B2-9</f>
        <v>525</v>
      </c>
      <c r="C3" s="7">
        <f>DATA!C525-DATA!E525</f>
        <v>-185</v>
      </c>
      <c r="D3" s="7">
        <f>DATA!D525-DATA!F525</f>
        <v>10</v>
      </c>
      <c r="E3" s="38"/>
      <c r="F3" s="38"/>
      <c r="G3" s="6">
        <f t="shared" ref="G3:H18" si="0">G2+C3</f>
        <v>-1676</v>
      </c>
      <c r="H3" s="6">
        <f t="shared" si="0"/>
        <v>8</v>
      </c>
      <c r="I3" s="38"/>
      <c r="J3" s="38"/>
      <c r="K3" s="38"/>
      <c r="L3" s="37"/>
      <c r="M3" s="5"/>
      <c r="N3" s="38"/>
    </row>
    <row r="4" spans="1:14" s="8" customFormat="1" x14ac:dyDescent="0.25">
      <c r="A4" s="8">
        <v>3</v>
      </c>
      <c r="B4" s="37">
        <f t="shared" ref="B4:B61" si="1">B3-9</f>
        <v>516</v>
      </c>
      <c r="C4" s="7">
        <f>DATA!C516-DATA!E516</f>
        <v>-1350</v>
      </c>
      <c r="D4" s="7">
        <f>DATA!D516-DATA!F516</f>
        <v>7</v>
      </c>
      <c r="E4" s="38"/>
      <c r="F4" s="38"/>
      <c r="G4" s="6">
        <f t="shared" si="0"/>
        <v>-3026</v>
      </c>
      <c r="H4" s="6">
        <f t="shared" si="0"/>
        <v>15</v>
      </c>
      <c r="I4" s="38"/>
      <c r="J4" s="38"/>
      <c r="K4" s="38"/>
      <c r="L4" s="37"/>
      <c r="M4" s="5"/>
      <c r="N4" s="38"/>
    </row>
    <row r="5" spans="1:14" s="8" customFormat="1" x14ac:dyDescent="0.25">
      <c r="A5" s="8">
        <v>4</v>
      </c>
      <c r="B5" s="37">
        <f t="shared" si="1"/>
        <v>507</v>
      </c>
      <c r="C5" s="7">
        <f>DATA!C507-DATA!E507</f>
        <v>-1316</v>
      </c>
      <c r="D5" s="7">
        <f>DATA!D507-DATA!F507</f>
        <v>-2</v>
      </c>
      <c r="E5" s="38"/>
      <c r="F5" s="38"/>
      <c r="G5" s="6">
        <f t="shared" si="0"/>
        <v>-4342</v>
      </c>
      <c r="H5" s="6">
        <f t="shared" si="0"/>
        <v>13</v>
      </c>
      <c r="I5" s="38"/>
      <c r="J5" s="38"/>
      <c r="K5" s="38"/>
      <c r="L5" s="37"/>
      <c r="M5" s="5"/>
      <c r="N5" s="38"/>
    </row>
    <row r="6" spans="1:14" s="8" customFormat="1" x14ac:dyDescent="0.25">
      <c r="A6" s="8">
        <v>5</v>
      </c>
      <c r="B6" s="37">
        <f t="shared" si="1"/>
        <v>498</v>
      </c>
      <c r="C6" s="7">
        <f>DATA!C498-DATA!E498</f>
        <v>-299</v>
      </c>
      <c r="D6" s="7">
        <f>DATA!D498-DATA!F498</f>
        <v>1</v>
      </c>
      <c r="E6" s="38"/>
      <c r="F6" s="38"/>
      <c r="G6" s="6">
        <f t="shared" si="0"/>
        <v>-4641</v>
      </c>
      <c r="H6" s="6">
        <f t="shared" si="0"/>
        <v>14</v>
      </c>
      <c r="I6" s="38"/>
      <c r="J6" s="38"/>
      <c r="K6" s="38"/>
      <c r="L6" s="37"/>
      <c r="M6" s="5"/>
      <c r="N6" s="38"/>
    </row>
    <row r="7" spans="1:14" s="8" customFormat="1" x14ac:dyDescent="0.25">
      <c r="A7" s="8">
        <v>6</v>
      </c>
      <c r="B7" s="37">
        <f t="shared" si="1"/>
        <v>489</v>
      </c>
      <c r="C7" s="7">
        <f>DATA!C489-DATA!E489</f>
        <v>-192</v>
      </c>
      <c r="D7" s="7">
        <f>DATA!D489-DATA!F489</f>
        <v>0</v>
      </c>
      <c r="E7" s="38"/>
      <c r="F7" s="38"/>
      <c r="G7" s="6">
        <f t="shared" si="0"/>
        <v>-4833</v>
      </c>
      <c r="H7" s="6">
        <f t="shared" si="0"/>
        <v>14</v>
      </c>
      <c r="I7" s="38"/>
      <c r="J7" s="38"/>
      <c r="K7" s="38"/>
      <c r="L7" s="37"/>
      <c r="M7" s="5"/>
      <c r="N7" s="38"/>
    </row>
    <row r="8" spans="1:14" s="8" customFormat="1" x14ac:dyDescent="0.25">
      <c r="A8" s="8">
        <v>7</v>
      </c>
      <c r="B8" s="37">
        <f t="shared" si="1"/>
        <v>480</v>
      </c>
      <c r="C8" s="7">
        <f>DATA!C480-DATA!E480</f>
        <v>-205</v>
      </c>
      <c r="D8" s="7">
        <f>DATA!D480-DATA!F480</f>
        <v>-1</v>
      </c>
      <c r="E8" s="38"/>
      <c r="F8" s="38"/>
      <c r="G8" s="6">
        <f t="shared" si="0"/>
        <v>-5038</v>
      </c>
      <c r="H8" s="6">
        <f t="shared" si="0"/>
        <v>13</v>
      </c>
      <c r="I8" s="38"/>
      <c r="J8" s="38"/>
      <c r="K8" s="38"/>
      <c r="L8" s="37"/>
      <c r="M8" s="5"/>
      <c r="N8" s="38"/>
    </row>
    <row r="9" spans="1:14" s="8" customFormat="1" x14ac:dyDescent="0.25">
      <c r="A9" s="8">
        <v>8</v>
      </c>
      <c r="B9" s="37">
        <f t="shared" si="1"/>
        <v>471</v>
      </c>
      <c r="C9" s="7">
        <f>DATA!C471-DATA!E471</f>
        <v>-365</v>
      </c>
      <c r="D9" s="7">
        <f>DATA!D471-DATA!F471</f>
        <v>-1</v>
      </c>
      <c r="E9" s="38"/>
      <c r="F9" s="38"/>
      <c r="G9" s="6">
        <f t="shared" si="0"/>
        <v>-5403</v>
      </c>
      <c r="H9" s="6">
        <f t="shared" si="0"/>
        <v>12</v>
      </c>
      <c r="I9" s="38"/>
      <c r="J9" s="38"/>
      <c r="K9" s="38"/>
      <c r="L9" s="37"/>
      <c r="M9" s="5"/>
      <c r="N9" s="38"/>
    </row>
    <row r="10" spans="1:14" s="8" customFormat="1" x14ac:dyDescent="0.25">
      <c r="A10" s="8">
        <v>9</v>
      </c>
      <c r="B10" s="37">
        <f t="shared" si="1"/>
        <v>462</v>
      </c>
      <c r="C10" s="7">
        <f>DATA!C462-DATA!E462</f>
        <v>-17</v>
      </c>
      <c r="D10" s="7">
        <f>DATA!D462-DATA!F462</f>
        <v>-4</v>
      </c>
      <c r="E10" s="38"/>
      <c r="F10" s="38"/>
      <c r="G10" s="6">
        <f t="shared" si="0"/>
        <v>-5420</v>
      </c>
      <c r="H10" s="6">
        <f t="shared" si="0"/>
        <v>8</v>
      </c>
      <c r="I10" s="38"/>
      <c r="J10" s="38"/>
      <c r="K10" s="38"/>
      <c r="L10" s="37"/>
      <c r="M10" s="5"/>
      <c r="N10" s="38"/>
    </row>
    <row r="11" spans="1:14" s="8" customFormat="1" x14ac:dyDescent="0.25">
      <c r="A11" s="8">
        <v>10</v>
      </c>
      <c r="B11" s="37">
        <f t="shared" si="1"/>
        <v>453</v>
      </c>
      <c r="C11" s="7">
        <f>DATA!C453-DATA!E453</f>
        <v>-403</v>
      </c>
      <c r="D11" s="7">
        <f>DATA!D453-DATA!F453</f>
        <v>8</v>
      </c>
      <c r="E11" s="38"/>
      <c r="F11" s="38"/>
      <c r="G11" s="6">
        <f t="shared" si="0"/>
        <v>-5823</v>
      </c>
      <c r="H11" s="6">
        <f t="shared" si="0"/>
        <v>16</v>
      </c>
      <c r="I11" s="38"/>
      <c r="J11" s="38"/>
      <c r="K11" s="38"/>
      <c r="L11" s="37"/>
      <c r="M11" s="5"/>
      <c r="N11" s="38"/>
    </row>
    <row r="12" spans="1:14" s="8" customFormat="1" x14ac:dyDescent="0.25">
      <c r="A12" s="8">
        <v>11</v>
      </c>
      <c r="B12" s="37">
        <f t="shared" si="1"/>
        <v>444</v>
      </c>
      <c r="C12" s="7">
        <f>DATA!C444-DATA!E444</f>
        <v>-1273</v>
      </c>
      <c r="D12" s="7">
        <f>DATA!D444-DATA!F444</f>
        <v>-1</v>
      </c>
      <c r="E12" s="38"/>
      <c r="F12" s="38"/>
      <c r="G12" s="6">
        <f t="shared" si="0"/>
        <v>-7096</v>
      </c>
      <c r="H12" s="6">
        <f t="shared" si="0"/>
        <v>15</v>
      </c>
      <c r="I12" s="38"/>
      <c r="J12" s="38"/>
      <c r="K12" s="38"/>
      <c r="L12" s="37"/>
      <c r="M12" s="5"/>
      <c r="N12" s="38"/>
    </row>
    <row r="13" spans="1:14" s="8" customFormat="1" x14ac:dyDescent="0.25">
      <c r="A13" s="8">
        <v>12</v>
      </c>
      <c r="B13" s="37">
        <f t="shared" si="1"/>
        <v>435</v>
      </c>
      <c r="C13" s="7">
        <f>DATA!C435-DATA!E435</f>
        <v>99</v>
      </c>
      <c r="D13" s="7">
        <f>DATA!D435-DATA!F435</f>
        <v>2</v>
      </c>
      <c r="E13" s="38"/>
      <c r="F13" s="38"/>
      <c r="G13" s="6">
        <f t="shared" si="0"/>
        <v>-6997</v>
      </c>
      <c r="H13" s="6">
        <f t="shared" si="0"/>
        <v>17</v>
      </c>
      <c r="I13" s="38"/>
      <c r="J13" s="38"/>
      <c r="K13" s="38"/>
      <c r="L13" s="37"/>
      <c r="M13" s="5"/>
      <c r="N13" s="38"/>
    </row>
    <row r="14" spans="1:14" s="8" customFormat="1" x14ac:dyDescent="0.25">
      <c r="A14" s="8">
        <v>13</v>
      </c>
      <c r="B14" s="37">
        <f t="shared" si="1"/>
        <v>426</v>
      </c>
      <c r="C14" s="7">
        <f>DATA!C426-DATA!E426</f>
        <v>-134</v>
      </c>
      <c r="D14" s="7">
        <f>DATA!D426-DATA!F426</f>
        <v>3</v>
      </c>
      <c r="E14" s="38"/>
      <c r="F14" s="38"/>
      <c r="G14" s="6">
        <f t="shared" si="0"/>
        <v>-7131</v>
      </c>
      <c r="H14" s="6">
        <f t="shared" si="0"/>
        <v>20</v>
      </c>
      <c r="I14" s="38"/>
      <c r="J14" s="38"/>
      <c r="K14" s="38"/>
      <c r="L14" s="37"/>
      <c r="M14" s="5"/>
      <c r="N14" s="38"/>
    </row>
    <row r="15" spans="1:14" s="8" customFormat="1" x14ac:dyDescent="0.25">
      <c r="A15" s="8">
        <v>14</v>
      </c>
      <c r="B15" s="37">
        <f t="shared" si="1"/>
        <v>417</v>
      </c>
      <c r="C15" s="7">
        <f>DATA!C417-DATA!E417</f>
        <v>-447</v>
      </c>
      <c r="D15" s="7">
        <f>DATA!D417-DATA!F417</f>
        <v>7</v>
      </c>
      <c r="E15" s="38"/>
      <c r="F15" s="38"/>
      <c r="G15" s="6">
        <f t="shared" si="0"/>
        <v>-7578</v>
      </c>
      <c r="H15" s="6">
        <f t="shared" si="0"/>
        <v>27</v>
      </c>
      <c r="I15" s="38"/>
      <c r="J15" s="38"/>
      <c r="K15" s="38"/>
      <c r="L15" s="37"/>
      <c r="M15" s="5"/>
      <c r="N15" s="38"/>
    </row>
    <row r="16" spans="1:14" s="8" customFormat="1" x14ac:dyDescent="0.25">
      <c r="A16" s="8">
        <v>15</v>
      </c>
      <c r="B16" s="37">
        <f t="shared" si="1"/>
        <v>408</v>
      </c>
      <c r="C16" s="7">
        <f>DATA!C408-DATA!E408</f>
        <v>-1014</v>
      </c>
      <c r="D16" s="7">
        <f>DATA!D408-DATA!F408</f>
        <v>5</v>
      </c>
      <c r="E16" s="38"/>
      <c r="F16" s="38"/>
      <c r="G16" s="6">
        <f t="shared" si="0"/>
        <v>-8592</v>
      </c>
      <c r="H16" s="6">
        <f t="shared" si="0"/>
        <v>32</v>
      </c>
      <c r="I16" s="38"/>
      <c r="J16" s="38"/>
      <c r="K16" s="38"/>
      <c r="L16" s="37"/>
      <c r="M16" s="5"/>
      <c r="N16" s="38"/>
    </row>
    <row r="17" spans="1:14" s="8" customFormat="1" x14ac:dyDescent="0.25">
      <c r="A17" s="8">
        <v>16</v>
      </c>
      <c r="B17" s="37">
        <f t="shared" si="1"/>
        <v>399</v>
      </c>
      <c r="C17" s="7">
        <f>DATA!C399-DATA!E399</f>
        <v>-686</v>
      </c>
      <c r="D17" s="7">
        <f>DATA!D399-DATA!F399</f>
        <v>1</v>
      </c>
      <c r="E17" s="38"/>
      <c r="F17" s="38"/>
      <c r="G17" s="6">
        <f t="shared" si="0"/>
        <v>-9278</v>
      </c>
      <c r="H17" s="6">
        <f t="shared" si="0"/>
        <v>33</v>
      </c>
      <c r="I17" s="38"/>
      <c r="J17" s="38"/>
      <c r="K17" s="38"/>
      <c r="L17" s="37"/>
      <c r="M17" s="5"/>
      <c r="N17" s="38"/>
    </row>
    <row r="18" spans="1:14" s="8" customFormat="1" x14ac:dyDescent="0.25">
      <c r="A18" s="8">
        <v>17</v>
      </c>
      <c r="B18" s="37">
        <f t="shared" si="1"/>
        <v>390</v>
      </c>
      <c r="C18" s="7">
        <f>DATA!C390-DATA!E390</f>
        <v>-1882</v>
      </c>
      <c r="D18" s="7">
        <f>DATA!D390-DATA!F390</f>
        <v>0</v>
      </c>
      <c r="E18" s="38"/>
      <c r="F18" s="38"/>
      <c r="G18" s="6">
        <f t="shared" si="0"/>
        <v>-11160</v>
      </c>
      <c r="H18" s="6">
        <f t="shared" si="0"/>
        <v>33</v>
      </c>
      <c r="I18" s="38"/>
      <c r="J18" s="38"/>
      <c r="K18" s="38"/>
      <c r="L18" s="37"/>
      <c r="M18" s="5"/>
      <c r="N18" s="38"/>
    </row>
    <row r="19" spans="1:14" s="8" customFormat="1" x14ac:dyDescent="0.25">
      <c r="A19" s="8">
        <v>18</v>
      </c>
      <c r="B19" s="37">
        <f t="shared" si="1"/>
        <v>381</v>
      </c>
      <c r="C19" s="7">
        <f>DATA!C381-DATA!E381</f>
        <v>-111</v>
      </c>
      <c r="D19" s="7">
        <f>DATA!D381-DATA!F381</f>
        <v>-1</v>
      </c>
      <c r="E19" s="38"/>
      <c r="F19" s="38"/>
      <c r="G19" s="6">
        <f t="shared" ref="G19:H34" si="2">G18+C19</f>
        <v>-11271</v>
      </c>
      <c r="H19" s="6">
        <f t="shared" si="2"/>
        <v>32</v>
      </c>
      <c r="I19" s="38"/>
      <c r="J19" s="38"/>
      <c r="K19" s="38"/>
      <c r="L19" s="37"/>
      <c r="M19" s="5"/>
      <c r="N19" s="38"/>
    </row>
    <row r="20" spans="1:14" s="8" customFormat="1" x14ac:dyDescent="0.25">
      <c r="A20" s="8">
        <v>19</v>
      </c>
      <c r="B20" s="37">
        <f t="shared" si="1"/>
        <v>372</v>
      </c>
      <c r="C20" s="7">
        <f>DATA!C372-DATA!E372</f>
        <v>-233</v>
      </c>
      <c r="D20" s="7">
        <f>DATA!D372-DATA!F372</f>
        <v>-1</v>
      </c>
      <c r="E20" s="38"/>
      <c r="F20" s="38"/>
      <c r="G20" s="6">
        <f t="shared" si="2"/>
        <v>-11504</v>
      </c>
      <c r="H20" s="6">
        <f t="shared" si="2"/>
        <v>31</v>
      </c>
      <c r="I20" s="38"/>
      <c r="J20" s="38"/>
      <c r="K20" s="38"/>
      <c r="L20" s="37"/>
      <c r="M20" s="5"/>
      <c r="N20" s="38"/>
    </row>
    <row r="21" spans="1:14" s="8" customFormat="1" x14ac:dyDescent="0.25">
      <c r="A21" s="8">
        <v>20</v>
      </c>
      <c r="B21" s="37">
        <f t="shared" si="1"/>
        <v>363</v>
      </c>
      <c r="C21" s="7">
        <f>DATA!C363-DATA!E363</f>
        <v>-435</v>
      </c>
      <c r="D21" s="7">
        <f>DATA!D363-DATA!F363</f>
        <v>-1</v>
      </c>
      <c r="E21" s="7">
        <f>AVERAGE(C2:C21)</f>
        <v>-596.95000000000005</v>
      </c>
      <c r="F21" s="7">
        <f>AVERAGE(D2:D21)</f>
        <v>1.5</v>
      </c>
      <c r="G21" s="6">
        <f t="shared" si="2"/>
        <v>-11939</v>
      </c>
      <c r="H21" s="6">
        <f t="shared" si="2"/>
        <v>30</v>
      </c>
      <c r="I21" s="38"/>
      <c r="J21" s="38"/>
      <c r="K21" s="38"/>
      <c r="L21" s="38"/>
      <c r="M21" s="5"/>
      <c r="N21" s="38"/>
    </row>
    <row r="22" spans="1:14" x14ac:dyDescent="0.25">
      <c r="A22" s="8">
        <v>21</v>
      </c>
      <c r="B22" s="37">
        <f t="shared" si="1"/>
        <v>354</v>
      </c>
      <c r="C22" s="7">
        <f>DATA!C354-DATA!E354</f>
        <v>136</v>
      </c>
      <c r="D22" s="7">
        <f>DATA!D354-DATA!F354</f>
        <v>-5</v>
      </c>
      <c r="E22" s="7">
        <f t="shared" ref="E22:F37" si="3">AVERAGE(C3:C22)</f>
        <v>-515.6</v>
      </c>
      <c r="F22" s="7">
        <f t="shared" si="3"/>
        <v>1.35</v>
      </c>
      <c r="G22" s="6">
        <f t="shared" si="2"/>
        <v>-11803</v>
      </c>
      <c r="H22" s="6">
        <f t="shared" si="2"/>
        <v>25</v>
      </c>
      <c r="I22" s="38"/>
      <c r="J22" s="38"/>
      <c r="K22" s="38"/>
      <c r="L22" s="38"/>
      <c r="M22" s="5"/>
      <c r="N22" s="38"/>
    </row>
    <row r="23" spans="1:14" x14ac:dyDescent="0.25">
      <c r="A23" s="8">
        <v>22</v>
      </c>
      <c r="B23" s="37">
        <f t="shared" si="1"/>
        <v>345</v>
      </c>
      <c r="C23" s="7">
        <f>DATA!C345-DATA!E345</f>
        <v>-256</v>
      </c>
      <c r="D23" s="7">
        <f>DATA!D345-DATA!F345</f>
        <v>-45</v>
      </c>
      <c r="E23" s="7">
        <f t="shared" si="3"/>
        <v>-519.15</v>
      </c>
      <c r="F23" s="7">
        <f t="shared" si="3"/>
        <v>-1.4</v>
      </c>
      <c r="G23" s="6">
        <f t="shared" si="2"/>
        <v>-12059</v>
      </c>
      <c r="H23" s="6">
        <f t="shared" si="2"/>
        <v>-20</v>
      </c>
      <c r="I23" s="38"/>
      <c r="J23" s="38"/>
      <c r="K23" s="38"/>
      <c r="L23" s="38"/>
      <c r="M23" s="5"/>
      <c r="N23" s="38"/>
    </row>
    <row r="24" spans="1:14" x14ac:dyDescent="0.25">
      <c r="A24" s="8">
        <v>23</v>
      </c>
      <c r="B24" s="37">
        <f t="shared" si="1"/>
        <v>336</v>
      </c>
      <c r="C24" s="7">
        <f>DATA!C336-DATA!E336</f>
        <v>583</v>
      </c>
      <c r="D24" s="7">
        <f>DATA!D336-DATA!F336</f>
        <v>-5</v>
      </c>
      <c r="E24" s="7">
        <f t="shared" si="3"/>
        <v>-422.5</v>
      </c>
      <c r="F24" s="7">
        <f t="shared" si="3"/>
        <v>-2</v>
      </c>
      <c r="G24" s="6">
        <f t="shared" si="2"/>
        <v>-11476</v>
      </c>
      <c r="H24" s="6">
        <f t="shared" si="2"/>
        <v>-25</v>
      </c>
      <c r="I24" s="38"/>
      <c r="J24" s="38"/>
      <c r="K24" s="38"/>
      <c r="L24" s="38"/>
      <c r="M24" s="5"/>
      <c r="N24" s="38"/>
    </row>
    <row r="25" spans="1:14" x14ac:dyDescent="0.25">
      <c r="A25" s="8">
        <v>24</v>
      </c>
      <c r="B25" s="37">
        <f t="shared" si="1"/>
        <v>327</v>
      </c>
      <c r="C25" s="7">
        <f>DATA!C327-DATA!E327</f>
        <v>73</v>
      </c>
      <c r="D25" s="7">
        <f>DATA!D327-DATA!F327</f>
        <v>5</v>
      </c>
      <c r="E25" s="7">
        <f t="shared" si="3"/>
        <v>-353.05</v>
      </c>
      <c r="F25" s="7">
        <f t="shared" si="3"/>
        <v>-1.65</v>
      </c>
      <c r="G25" s="6">
        <f t="shared" si="2"/>
        <v>-11403</v>
      </c>
      <c r="H25" s="6">
        <f t="shared" si="2"/>
        <v>-20</v>
      </c>
      <c r="I25" s="38"/>
      <c r="J25" s="38"/>
      <c r="K25" s="38"/>
      <c r="L25" s="38"/>
      <c r="M25" s="5"/>
      <c r="N25" s="38"/>
    </row>
    <row r="26" spans="1:14" x14ac:dyDescent="0.25">
      <c r="A26" s="8">
        <v>25</v>
      </c>
      <c r="B26" s="37">
        <f t="shared" si="1"/>
        <v>318</v>
      </c>
      <c r="C26" s="7">
        <f>DATA!C318-DATA!E318</f>
        <v>-51</v>
      </c>
      <c r="D26" s="7">
        <f>DATA!D318-DATA!F318</f>
        <v>-2</v>
      </c>
      <c r="E26" s="7">
        <f t="shared" si="3"/>
        <v>-340.65</v>
      </c>
      <c r="F26" s="7">
        <f t="shared" si="3"/>
        <v>-1.8</v>
      </c>
      <c r="G26" s="6">
        <f t="shared" si="2"/>
        <v>-11454</v>
      </c>
      <c r="H26" s="6">
        <f t="shared" si="2"/>
        <v>-22</v>
      </c>
      <c r="I26" s="38"/>
      <c r="J26" s="38"/>
      <c r="K26" s="38"/>
      <c r="L26" s="38"/>
      <c r="M26" s="5"/>
      <c r="N26" s="38"/>
    </row>
    <row r="27" spans="1:14" x14ac:dyDescent="0.25">
      <c r="A27" s="8">
        <v>26</v>
      </c>
      <c r="B27" s="37">
        <f t="shared" si="1"/>
        <v>309</v>
      </c>
      <c r="C27" s="7">
        <f>DATA!C309-DATA!E309</f>
        <v>-240</v>
      </c>
      <c r="D27" s="7">
        <f>DATA!D309-DATA!F309</f>
        <v>-4</v>
      </c>
      <c r="E27" s="7">
        <f t="shared" si="3"/>
        <v>-343.05</v>
      </c>
      <c r="F27" s="7">
        <f t="shared" si="3"/>
        <v>-2</v>
      </c>
      <c r="G27" s="6">
        <f t="shared" si="2"/>
        <v>-11694</v>
      </c>
      <c r="H27" s="6">
        <f t="shared" si="2"/>
        <v>-26</v>
      </c>
      <c r="I27" s="38"/>
      <c r="J27" s="38"/>
      <c r="K27" s="38"/>
      <c r="L27" s="38"/>
      <c r="M27" s="5"/>
      <c r="N27" s="38"/>
    </row>
    <row r="28" spans="1:14" x14ac:dyDescent="0.25">
      <c r="A28" s="8">
        <v>27</v>
      </c>
      <c r="B28" s="37">
        <f t="shared" si="1"/>
        <v>300</v>
      </c>
      <c r="C28" s="7">
        <f>DATA!C300-DATA!E300</f>
        <v>146</v>
      </c>
      <c r="D28" s="7">
        <f>DATA!D300-DATA!F300</f>
        <v>1</v>
      </c>
      <c r="E28" s="7">
        <f t="shared" si="3"/>
        <v>-325.5</v>
      </c>
      <c r="F28" s="7">
        <f t="shared" si="3"/>
        <v>-1.9</v>
      </c>
      <c r="G28" s="6">
        <f t="shared" si="2"/>
        <v>-11548</v>
      </c>
      <c r="H28" s="6">
        <f t="shared" si="2"/>
        <v>-25</v>
      </c>
      <c r="I28" s="38"/>
      <c r="J28" s="38"/>
      <c r="K28" s="38"/>
      <c r="L28" s="38"/>
      <c r="M28" s="5"/>
      <c r="N28" s="38"/>
    </row>
    <row r="29" spans="1:14" x14ac:dyDescent="0.25">
      <c r="A29" s="8">
        <v>28</v>
      </c>
      <c r="B29" s="37">
        <f t="shared" si="1"/>
        <v>291</v>
      </c>
      <c r="C29" s="7">
        <f>DATA!C291-DATA!E291</f>
        <v>401</v>
      </c>
      <c r="D29" s="7">
        <f>DATA!D291-DATA!F291</f>
        <v>11</v>
      </c>
      <c r="E29" s="7">
        <f t="shared" si="3"/>
        <v>-287.2</v>
      </c>
      <c r="F29" s="7">
        <f t="shared" si="3"/>
        <v>-1.3</v>
      </c>
      <c r="G29" s="6">
        <f t="shared" si="2"/>
        <v>-11147</v>
      </c>
      <c r="H29" s="6">
        <f t="shared" si="2"/>
        <v>-14</v>
      </c>
      <c r="I29" s="38"/>
      <c r="J29" s="38"/>
      <c r="K29" s="38"/>
      <c r="L29" s="38"/>
      <c r="M29" s="5"/>
      <c r="N29" s="38"/>
    </row>
    <row r="30" spans="1:14" x14ac:dyDescent="0.25">
      <c r="A30" s="8">
        <v>29</v>
      </c>
      <c r="B30" s="37">
        <f t="shared" si="1"/>
        <v>282</v>
      </c>
      <c r="C30" s="7">
        <f>DATA!C282-DATA!E282</f>
        <v>603</v>
      </c>
      <c r="D30" s="7">
        <f>DATA!D282-DATA!F282</f>
        <v>3</v>
      </c>
      <c r="E30" s="7">
        <f t="shared" si="3"/>
        <v>-256.2</v>
      </c>
      <c r="F30" s="7">
        <f t="shared" si="3"/>
        <v>-0.95</v>
      </c>
      <c r="G30" s="6">
        <f t="shared" si="2"/>
        <v>-10544</v>
      </c>
      <c r="H30" s="6">
        <f t="shared" si="2"/>
        <v>-11</v>
      </c>
      <c r="I30" s="38"/>
      <c r="J30" s="38"/>
      <c r="K30" s="38"/>
      <c r="L30" s="38"/>
      <c r="M30" s="5"/>
      <c r="N30" s="38"/>
    </row>
    <row r="31" spans="1:14" x14ac:dyDescent="0.25">
      <c r="A31" s="8">
        <v>30</v>
      </c>
      <c r="B31" s="37">
        <f t="shared" si="1"/>
        <v>273</v>
      </c>
      <c r="C31" s="7">
        <f>DATA!C273-DATA!E273</f>
        <v>69</v>
      </c>
      <c r="D31" s="7">
        <f>DATA!D273-DATA!F273</f>
        <v>4</v>
      </c>
      <c r="E31" s="7">
        <f t="shared" si="3"/>
        <v>-232.6</v>
      </c>
      <c r="F31" s="7">
        <f t="shared" si="3"/>
        <v>-1.1499999999999999</v>
      </c>
      <c r="G31" s="6">
        <f t="shared" si="2"/>
        <v>-10475</v>
      </c>
      <c r="H31" s="6">
        <f t="shared" si="2"/>
        <v>-7</v>
      </c>
      <c r="I31" s="38"/>
      <c r="J31" s="38"/>
      <c r="K31" s="38"/>
      <c r="L31" s="38"/>
      <c r="M31" s="5"/>
      <c r="N31" s="38"/>
    </row>
    <row r="32" spans="1:14" x14ac:dyDescent="0.25">
      <c r="A32" s="8">
        <v>31</v>
      </c>
      <c r="B32" s="37">
        <f t="shared" si="1"/>
        <v>264</v>
      </c>
      <c r="C32" s="7">
        <f>DATA!C264-DATA!E264</f>
        <v>-41</v>
      </c>
      <c r="D32" s="7">
        <f>DATA!D264-DATA!F264</f>
        <v>-1</v>
      </c>
      <c r="E32" s="7">
        <f t="shared" si="3"/>
        <v>-171</v>
      </c>
      <c r="F32" s="7">
        <f t="shared" si="3"/>
        <v>-1.1499999999999999</v>
      </c>
      <c r="G32" s="6">
        <f t="shared" si="2"/>
        <v>-10516</v>
      </c>
      <c r="H32" s="6">
        <f t="shared" si="2"/>
        <v>-8</v>
      </c>
      <c r="I32" s="38"/>
      <c r="J32" s="38"/>
      <c r="K32" s="38"/>
      <c r="L32" s="38"/>
      <c r="M32" s="5"/>
      <c r="N32" s="38"/>
    </row>
    <row r="33" spans="1:14" x14ac:dyDescent="0.25">
      <c r="A33" s="8">
        <v>32</v>
      </c>
      <c r="B33" s="37">
        <f t="shared" si="1"/>
        <v>255</v>
      </c>
      <c r="C33" s="7">
        <f>DATA!C255-DATA!E255</f>
        <v>525</v>
      </c>
      <c r="D33" s="7">
        <f>DATA!D255-DATA!F255</f>
        <v>8</v>
      </c>
      <c r="E33" s="7">
        <f t="shared" si="3"/>
        <v>-149.69999999999999</v>
      </c>
      <c r="F33" s="7">
        <f t="shared" si="3"/>
        <v>-0.85</v>
      </c>
      <c r="G33" s="6">
        <f t="shared" si="2"/>
        <v>-9991</v>
      </c>
      <c r="H33" s="6">
        <f t="shared" si="2"/>
        <v>0</v>
      </c>
      <c r="I33" s="38"/>
      <c r="J33" s="38"/>
      <c r="K33" s="38"/>
      <c r="L33" s="38"/>
      <c r="M33" s="5"/>
      <c r="N33" s="38"/>
    </row>
    <row r="34" spans="1:14" x14ac:dyDescent="0.25">
      <c r="A34" s="8">
        <v>33</v>
      </c>
      <c r="B34" s="37">
        <f t="shared" si="1"/>
        <v>246</v>
      </c>
      <c r="C34" s="7">
        <f>DATA!C246-DATA!E246</f>
        <v>162</v>
      </c>
      <c r="D34" s="7">
        <f>DATA!D246-DATA!F246</f>
        <v>-1</v>
      </c>
      <c r="E34" s="7">
        <f t="shared" si="3"/>
        <v>-134.9</v>
      </c>
      <c r="F34" s="7">
        <f t="shared" si="3"/>
        <v>-1.05</v>
      </c>
      <c r="G34" s="6">
        <f t="shared" si="2"/>
        <v>-9829</v>
      </c>
      <c r="H34" s="6">
        <f t="shared" si="2"/>
        <v>-1</v>
      </c>
      <c r="I34" s="38"/>
      <c r="J34" s="38"/>
      <c r="K34" s="38"/>
      <c r="L34" s="38"/>
      <c r="M34" s="5"/>
      <c r="N34" s="38"/>
    </row>
    <row r="35" spans="1:14" x14ac:dyDescent="0.25">
      <c r="A35" s="8">
        <v>34</v>
      </c>
      <c r="B35" s="37">
        <f t="shared" si="1"/>
        <v>237</v>
      </c>
      <c r="C35" s="7">
        <f>DATA!C237-DATA!E237</f>
        <v>-193</v>
      </c>
      <c r="D35" s="7">
        <f>DATA!D237-DATA!F237</f>
        <v>-2</v>
      </c>
      <c r="E35" s="7">
        <f t="shared" si="3"/>
        <v>-122.2</v>
      </c>
      <c r="F35" s="7">
        <f t="shared" si="3"/>
        <v>-1.5</v>
      </c>
      <c r="G35" s="6">
        <f t="shared" ref="G35:H50" si="4">G34+C35</f>
        <v>-10022</v>
      </c>
      <c r="H35" s="6">
        <f t="shared" si="4"/>
        <v>-3</v>
      </c>
      <c r="I35" s="38"/>
      <c r="J35" s="38"/>
      <c r="K35" s="38"/>
      <c r="L35" s="38"/>
      <c r="M35" s="5"/>
      <c r="N35" s="38"/>
    </row>
    <row r="36" spans="1:14" x14ac:dyDescent="0.25">
      <c r="A36" s="8">
        <v>35</v>
      </c>
      <c r="B36" s="37">
        <f t="shared" si="1"/>
        <v>228</v>
      </c>
      <c r="C36" s="7">
        <f>DATA!C228-DATA!E228</f>
        <v>177</v>
      </c>
      <c r="D36" s="7">
        <f>DATA!D228-DATA!F228</f>
        <v>4</v>
      </c>
      <c r="E36" s="7">
        <f t="shared" si="3"/>
        <v>-62.65</v>
      </c>
      <c r="F36" s="7">
        <f t="shared" si="3"/>
        <v>-1.55</v>
      </c>
      <c r="G36" s="6">
        <f t="shared" si="4"/>
        <v>-9845</v>
      </c>
      <c r="H36" s="6">
        <f t="shared" si="4"/>
        <v>1</v>
      </c>
      <c r="I36" s="38"/>
      <c r="J36" s="38"/>
      <c r="K36" s="38"/>
      <c r="L36" s="38"/>
      <c r="M36" s="5"/>
      <c r="N36" s="38"/>
    </row>
    <row r="37" spans="1:14" x14ac:dyDescent="0.25">
      <c r="A37" s="8">
        <v>36</v>
      </c>
      <c r="B37" s="37">
        <f t="shared" si="1"/>
        <v>219</v>
      </c>
      <c r="C37" s="7">
        <f>DATA!C219-DATA!E219</f>
        <v>-768</v>
      </c>
      <c r="D37" s="7">
        <f>DATA!D219-DATA!F219</f>
        <v>0</v>
      </c>
      <c r="E37" s="7">
        <f t="shared" si="3"/>
        <v>-66.75</v>
      </c>
      <c r="F37" s="7">
        <f t="shared" si="3"/>
        <v>-1.6</v>
      </c>
      <c r="G37" s="6">
        <f t="shared" si="4"/>
        <v>-10613</v>
      </c>
      <c r="H37" s="6">
        <f t="shared" si="4"/>
        <v>1</v>
      </c>
      <c r="I37" s="38"/>
      <c r="J37" s="38"/>
      <c r="K37" s="38"/>
      <c r="L37" s="38"/>
      <c r="M37" s="5"/>
      <c r="N37" s="38"/>
    </row>
    <row r="38" spans="1:14" x14ac:dyDescent="0.25">
      <c r="A38" s="8">
        <v>37</v>
      </c>
      <c r="B38" s="37">
        <f t="shared" si="1"/>
        <v>210</v>
      </c>
      <c r="C38" s="7">
        <f>DATA!C210-DATA!E210</f>
        <v>-361</v>
      </c>
      <c r="D38" s="7">
        <f>DATA!D210-DATA!F210</f>
        <v>2</v>
      </c>
      <c r="E38" s="7">
        <f t="shared" ref="E38:F53" si="5">AVERAGE(C19:C38)</f>
        <v>9.3000000000000007</v>
      </c>
      <c r="F38" s="7">
        <f t="shared" si="5"/>
        <v>-1.5</v>
      </c>
      <c r="G38" s="6">
        <f t="shared" si="4"/>
        <v>-10974</v>
      </c>
      <c r="H38" s="6">
        <f t="shared" si="4"/>
        <v>3</v>
      </c>
      <c r="I38" s="38"/>
      <c r="J38" s="38"/>
      <c r="K38" s="38"/>
      <c r="L38" s="38"/>
      <c r="M38" s="5"/>
      <c r="N38" s="38"/>
    </row>
    <row r="39" spans="1:14" x14ac:dyDescent="0.25">
      <c r="A39" s="8">
        <v>38</v>
      </c>
      <c r="B39" s="37">
        <f t="shared" si="1"/>
        <v>201</v>
      </c>
      <c r="C39" s="7">
        <f>DATA!C201-DATA!E201</f>
        <v>-208</v>
      </c>
      <c r="D39" s="7">
        <f>DATA!D201-DATA!F201</f>
        <v>2</v>
      </c>
      <c r="E39" s="7">
        <f t="shared" si="5"/>
        <v>4.45</v>
      </c>
      <c r="F39" s="7">
        <f t="shared" si="5"/>
        <v>-1.35</v>
      </c>
      <c r="G39" s="6">
        <f t="shared" si="4"/>
        <v>-11182</v>
      </c>
      <c r="H39" s="6">
        <f t="shared" si="4"/>
        <v>5</v>
      </c>
      <c r="I39" s="38"/>
      <c r="J39" s="38"/>
      <c r="K39" s="38"/>
      <c r="L39" s="38"/>
      <c r="M39" s="5"/>
      <c r="N39" s="38"/>
    </row>
    <row r="40" spans="1:14" x14ac:dyDescent="0.25">
      <c r="A40" s="8">
        <v>39</v>
      </c>
      <c r="B40" s="37">
        <f t="shared" si="1"/>
        <v>192</v>
      </c>
      <c r="C40" s="7">
        <f>DATA!C192-DATA!E192</f>
        <v>-932</v>
      </c>
      <c r="D40" s="7">
        <f>DATA!D192-DATA!F192</f>
        <v>-4</v>
      </c>
      <c r="E40" s="7">
        <f t="shared" si="5"/>
        <v>-30.5</v>
      </c>
      <c r="F40" s="7">
        <f t="shared" si="5"/>
        <v>-1.5</v>
      </c>
      <c r="G40" s="6">
        <f t="shared" si="4"/>
        <v>-12114</v>
      </c>
      <c r="H40" s="6">
        <f t="shared" si="4"/>
        <v>1</v>
      </c>
      <c r="I40" s="38"/>
      <c r="J40" s="38"/>
      <c r="K40" s="38"/>
      <c r="L40" s="38"/>
      <c r="M40" s="5"/>
      <c r="N40" s="38"/>
    </row>
    <row r="41" spans="1:14" x14ac:dyDescent="0.25">
      <c r="A41" s="8">
        <v>40</v>
      </c>
      <c r="B41" s="37">
        <f t="shared" si="1"/>
        <v>183</v>
      </c>
      <c r="C41" s="7">
        <f>DATA!C183-DATA!E183</f>
        <v>-1127</v>
      </c>
      <c r="D41" s="7">
        <f>DATA!D183-DATA!F183</f>
        <v>-6</v>
      </c>
      <c r="E41" s="7">
        <f t="shared" si="5"/>
        <v>-65.099999999999994</v>
      </c>
      <c r="F41" s="7">
        <f t="shared" si="5"/>
        <v>-1.75</v>
      </c>
      <c r="G41" s="6">
        <f t="shared" si="4"/>
        <v>-13241</v>
      </c>
      <c r="H41" s="6">
        <f t="shared" si="4"/>
        <v>-5</v>
      </c>
      <c r="I41" s="38"/>
      <c r="J41" s="38"/>
      <c r="K41" s="38"/>
      <c r="L41" s="38"/>
      <c r="M41" s="5"/>
      <c r="N41" s="38"/>
    </row>
    <row r="42" spans="1:14" x14ac:dyDescent="0.25">
      <c r="A42" s="8">
        <v>41</v>
      </c>
      <c r="B42" s="37">
        <f t="shared" si="1"/>
        <v>174</v>
      </c>
      <c r="C42" s="7">
        <f>DATA!C174-DATA!E174</f>
        <v>-157</v>
      </c>
      <c r="D42" s="7">
        <f>DATA!D174-DATA!F174</f>
        <v>-8</v>
      </c>
      <c r="E42" s="7">
        <f t="shared" si="5"/>
        <v>-79.75</v>
      </c>
      <c r="F42" s="7">
        <f t="shared" si="5"/>
        <v>-1.9</v>
      </c>
      <c r="G42" s="6">
        <f t="shared" si="4"/>
        <v>-13398</v>
      </c>
      <c r="H42" s="6">
        <f t="shared" si="4"/>
        <v>-13</v>
      </c>
      <c r="I42" s="38"/>
      <c r="J42" s="38"/>
      <c r="K42" s="38"/>
      <c r="L42" s="38"/>
      <c r="M42" s="5"/>
      <c r="N42" s="38"/>
    </row>
    <row r="43" spans="1:14" x14ac:dyDescent="0.25">
      <c r="A43" s="8">
        <v>42</v>
      </c>
      <c r="B43" s="37">
        <f t="shared" si="1"/>
        <v>165</v>
      </c>
      <c r="C43" s="7">
        <f>DATA!C165-DATA!E165</f>
        <v>495</v>
      </c>
      <c r="D43" s="7">
        <f>DATA!D165-DATA!F165</f>
        <v>-2</v>
      </c>
      <c r="E43" s="7">
        <f t="shared" si="5"/>
        <v>-42.2</v>
      </c>
      <c r="F43" s="7">
        <f t="shared" si="5"/>
        <v>0.25</v>
      </c>
      <c r="G43" s="6">
        <f t="shared" si="4"/>
        <v>-12903</v>
      </c>
      <c r="H43" s="6">
        <f t="shared" si="4"/>
        <v>-15</v>
      </c>
      <c r="I43" s="38"/>
      <c r="J43" s="38"/>
      <c r="K43" s="38"/>
      <c r="L43" s="38"/>
      <c r="M43" s="5"/>
      <c r="N43" s="38"/>
    </row>
    <row r="44" spans="1:14" x14ac:dyDescent="0.25">
      <c r="A44" s="8">
        <v>43</v>
      </c>
      <c r="B44" s="37">
        <f t="shared" si="1"/>
        <v>156</v>
      </c>
      <c r="C44" s="7">
        <f>DATA!C156-DATA!E156</f>
        <v>142</v>
      </c>
      <c r="D44" s="7">
        <f>DATA!D156-DATA!F156</f>
        <v>-1</v>
      </c>
      <c r="E44" s="7">
        <f t="shared" si="5"/>
        <v>-64.25</v>
      </c>
      <c r="F44" s="7">
        <f t="shared" si="5"/>
        <v>0.45</v>
      </c>
      <c r="G44" s="6">
        <f t="shared" si="4"/>
        <v>-12761</v>
      </c>
      <c r="H44" s="6">
        <f t="shared" si="4"/>
        <v>-16</v>
      </c>
      <c r="I44" s="38"/>
      <c r="J44" s="38"/>
      <c r="K44" s="38"/>
      <c r="L44" s="38"/>
      <c r="M44" s="5"/>
      <c r="N44" s="38"/>
    </row>
    <row r="45" spans="1:14" x14ac:dyDescent="0.25">
      <c r="A45" s="8">
        <v>44</v>
      </c>
      <c r="B45" s="37">
        <f t="shared" si="1"/>
        <v>147</v>
      </c>
      <c r="C45" s="7">
        <f>DATA!C147-DATA!E147</f>
        <v>-701</v>
      </c>
      <c r="D45" s="7">
        <f>DATA!D147-DATA!F147</f>
        <v>3</v>
      </c>
      <c r="E45" s="7">
        <f t="shared" si="5"/>
        <v>-102.95</v>
      </c>
      <c r="F45" s="7">
        <f t="shared" si="5"/>
        <v>0.35</v>
      </c>
      <c r="G45" s="6">
        <f t="shared" si="4"/>
        <v>-13462</v>
      </c>
      <c r="H45" s="6">
        <f t="shared" si="4"/>
        <v>-13</v>
      </c>
      <c r="I45" s="38"/>
      <c r="J45" s="38"/>
      <c r="K45" s="38"/>
      <c r="L45" s="38"/>
      <c r="M45" s="5"/>
      <c r="N45" s="38"/>
    </row>
    <row r="46" spans="1:14" x14ac:dyDescent="0.25">
      <c r="A46" s="8">
        <v>45</v>
      </c>
      <c r="B46" s="37">
        <f t="shared" si="1"/>
        <v>138</v>
      </c>
      <c r="C46" s="7">
        <f>DATA!C138-DATA!E138</f>
        <v>-414</v>
      </c>
      <c r="D46" s="7">
        <f>DATA!D138-DATA!F138</f>
        <v>1</v>
      </c>
      <c r="E46" s="7">
        <f t="shared" si="5"/>
        <v>-121.1</v>
      </c>
      <c r="F46" s="7">
        <f t="shared" si="5"/>
        <v>0.5</v>
      </c>
      <c r="G46" s="6">
        <f t="shared" si="4"/>
        <v>-13876</v>
      </c>
      <c r="H46" s="6">
        <f t="shared" si="4"/>
        <v>-12</v>
      </c>
      <c r="I46" s="38"/>
      <c r="J46" s="38"/>
      <c r="K46" s="38"/>
      <c r="L46" s="38"/>
      <c r="M46" s="5"/>
      <c r="N46" s="38"/>
    </row>
    <row r="47" spans="1:14" x14ac:dyDescent="0.25">
      <c r="A47" s="8">
        <v>46</v>
      </c>
      <c r="B47" s="37">
        <f t="shared" si="1"/>
        <v>129</v>
      </c>
      <c r="C47" s="7">
        <f>DATA!C129-DATA!E129</f>
        <v>143</v>
      </c>
      <c r="D47" s="7">
        <f>DATA!D129-DATA!F129</f>
        <v>-1</v>
      </c>
      <c r="E47" s="7">
        <f t="shared" si="5"/>
        <v>-101.95</v>
      </c>
      <c r="F47" s="7">
        <f t="shared" si="5"/>
        <v>0.65</v>
      </c>
      <c r="G47" s="6">
        <f t="shared" si="4"/>
        <v>-13733</v>
      </c>
      <c r="H47" s="6">
        <f t="shared" si="4"/>
        <v>-13</v>
      </c>
      <c r="I47" s="38"/>
      <c r="J47" s="38"/>
      <c r="K47" s="38"/>
      <c r="L47" s="38"/>
      <c r="M47" s="5"/>
      <c r="N47" s="38"/>
    </row>
    <row r="48" spans="1:14" x14ac:dyDescent="0.25">
      <c r="A48" s="8">
        <v>47</v>
      </c>
      <c r="B48" s="37">
        <f t="shared" si="1"/>
        <v>120</v>
      </c>
      <c r="C48" s="7">
        <f>DATA!C120-DATA!E120</f>
        <v>726</v>
      </c>
      <c r="D48" s="7">
        <f>DATA!D120-DATA!F120</f>
        <v>-2</v>
      </c>
      <c r="E48" s="7">
        <f t="shared" si="5"/>
        <v>-72.95</v>
      </c>
      <c r="F48" s="7">
        <f t="shared" si="5"/>
        <v>0.5</v>
      </c>
      <c r="G48" s="6">
        <f t="shared" si="4"/>
        <v>-13007</v>
      </c>
      <c r="H48" s="6">
        <f t="shared" si="4"/>
        <v>-15</v>
      </c>
      <c r="I48" s="38"/>
      <c r="J48" s="38"/>
      <c r="K48" s="38"/>
      <c r="L48" s="38"/>
      <c r="M48" s="5"/>
      <c r="N48" s="38"/>
    </row>
    <row r="49" spans="1:14" x14ac:dyDescent="0.25">
      <c r="A49" s="8">
        <v>48</v>
      </c>
      <c r="B49" s="37">
        <f t="shared" si="1"/>
        <v>111</v>
      </c>
      <c r="C49" s="7">
        <f>DATA!C111-DATA!E111</f>
        <v>228</v>
      </c>
      <c r="D49" s="7">
        <f>DATA!D111-DATA!F111</f>
        <v>1</v>
      </c>
      <c r="E49" s="7">
        <f t="shared" si="5"/>
        <v>-81.599999999999994</v>
      </c>
      <c r="F49" s="7">
        <f t="shared" si="5"/>
        <v>0</v>
      </c>
      <c r="G49" s="6">
        <f t="shared" si="4"/>
        <v>-12779</v>
      </c>
      <c r="H49" s="6">
        <f t="shared" si="4"/>
        <v>-14</v>
      </c>
      <c r="I49" s="38"/>
      <c r="J49" s="38"/>
      <c r="K49" s="38"/>
      <c r="L49" s="38"/>
      <c r="M49" s="5"/>
      <c r="N49" s="38"/>
    </row>
    <row r="50" spans="1:14" x14ac:dyDescent="0.25">
      <c r="A50" s="8">
        <v>49</v>
      </c>
      <c r="B50" s="37">
        <f t="shared" si="1"/>
        <v>102</v>
      </c>
      <c r="C50" s="7">
        <f>DATA!C102-DATA!E102</f>
        <v>825</v>
      </c>
      <c r="D50" s="7">
        <f>DATA!D102-DATA!F102</f>
        <v>3</v>
      </c>
      <c r="E50" s="7">
        <f t="shared" si="5"/>
        <v>-70.5</v>
      </c>
      <c r="F50" s="7">
        <f t="shared" si="5"/>
        <v>0</v>
      </c>
      <c r="G50" s="6">
        <f t="shared" si="4"/>
        <v>-11954</v>
      </c>
      <c r="H50" s="6">
        <f t="shared" si="4"/>
        <v>-11</v>
      </c>
      <c r="I50" s="38"/>
      <c r="J50" s="38"/>
      <c r="K50" s="38"/>
      <c r="L50" s="38"/>
      <c r="M50" s="5"/>
      <c r="N50" s="38"/>
    </row>
    <row r="51" spans="1:14" x14ac:dyDescent="0.25">
      <c r="A51" s="8">
        <v>50</v>
      </c>
      <c r="B51" s="37">
        <f t="shared" si="1"/>
        <v>93</v>
      </c>
      <c r="C51" s="7">
        <f>DATA!C93-DATA!E93</f>
        <v>807</v>
      </c>
      <c r="D51" s="7">
        <f>DATA!D93-DATA!F93</f>
        <v>11</v>
      </c>
      <c r="E51" s="7">
        <f t="shared" si="5"/>
        <v>-33.6</v>
      </c>
      <c r="F51" s="7">
        <f t="shared" si="5"/>
        <v>0.35</v>
      </c>
      <c r="G51" s="6">
        <f t="shared" ref="G51:H61" si="6">G50+C51</f>
        <v>-11147</v>
      </c>
      <c r="H51" s="6">
        <f t="shared" si="6"/>
        <v>0</v>
      </c>
      <c r="I51" s="38"/>
      <c r="J51" s="38"/>
      <c r="K51" s="38"/>
      <c r="L51" s="38"/>
      <c r="M51" s="5"/>
      <c r="N51" s="38"/>
    </row>
    <row r="52" spans="1:14" x14ac:dyDescent="0.25">
      <c r="A52" s="8">
        <v>51</v>
      </c>
      <c r="B52" s="37">
        <f t="shared" si="1"/>
        <v>84</v>
      </c>
      <c r="C52" s="7">
        <f>DATA!C84-DATA!E84</f>
        <v>744</v>
      </c>
      <c r="D52" s="7">
        <f>DATA!D84-DATA!F84</f>
        <v>4</v>
      </c>
      <c r="E52" s="7">
        <f t="shared" si="5"/>
        <v>5.65</v>
      </c>
      <c r="F52" s="7">
        <f t="shared" si="5"/>
        <v>0.6</v>
      </c>
      <c r="G52" s="6">
        <f t="shared" si="6"/>
        <v>-10403</v>
      </c>
      <c r="H52" s="6">
        <f t="shared" si="6"/>
        <v>4</v>
      </c>
      <c r="I52" s="38"/>
      <c r="J52" s="38"/>
      <c r="K52" s="38"/>
      <c r="L52" s="38"/>
      <c r="M52" s="5"/>
      <c r="N52" s="38"/>
    </row>
    <row r="53" spans="1:14" x14ac:dyDescent="0.25">
      <c r="A53" s="8">
        <v>52</v>
      </c>
      <c r="B53" s="37">
        <f t="shared" si="1"/>
        <v>75</v>
      </c>
      <c r="C53" s="7">
        <f>DATA!C75-DATA!E75</f>
        <v>209</v>
      </c>
      <c r="D53" s="7">
        <f>DATA!D75-DATA!F75</f>
        <v>-1</v>
      </c>
      <c r="E53" s="7">
        <f t="shared" si="5"/>
        <v>-10.15</v>
      </c>
      <c r="F53" s="7">
        <f t="shared" si="5"/>
        <v>0.15</v>
      </c>
      <c r="G53" s="6">
        <f t="shared" si="6"/>
        <v>-10194</v>
      </c>
      <c r="H53" s="6">
        <f t="shared" si="6"/>
        <v>3</v>
      </c>
      <c r="I53" s="38"/>
      <c r="J53" s="38"/>
      <c r="K53" s="38"/>
      <c r="L53" s="38"/>
      <c r="M53" s="5"/>
      <c r="N53" s="38"/>
    </row>
    <row r="54" spans="1:14" x14ac:dyDescent="0.25">
      <c r="A54" s="8">
        <v>53</v>
      </c>
      <c r="B54" s="37">
        <f t="shared" si="1"/>
        <v>66</v>
      </c>
      <c r="C54" s="7">
        <f>DATA!C66-DATA!E66</f>
        <v>45</v>
      </c>
      <c r="D54" s="7">
        <f>DATA!D66-DATA!F66</f>
        <v>0</v>
      </c>
      <c r="E54" s="7">
        <f t="shared" ref="E54:F61" si="7">AVERAGE(C35:C54)</f>
        <v>-16</v>
      </c>
      <c r="F54" s="7">
        <f t="shared" si="7"/>
        <v>0.2</v>
      </c>
      <c r="G54" s="6">
        <f t="shared" si="6"/>
        <v>-10149</v>
      </c>
      <c r="H54" s="6">
        <f t="shared" si="6"/>
        <v>3</v>
      </c>
      <c r="I54" s="38"/>
      <c r="J54" s="38"/>
      <c r="K54" s="38"/>
      <c r="L54" s="38"/>
      <c r="M54" s="5"/>
      <c r="N54" s="38"/>
    </row>
    <row r="55" spans="1:14" x14ac:dyDescent="0.25">
      <c r="A55" s="8">
        <v>54</v>
      </c>
      <c r="B55" s="37">
        <f t="shared" si="1"/>
        <v>57</v>
      </c>
      <c r="C55" s="7">
        <f>DATA!C57-DATA!E57</f>
        <v>-81</v>
      </c>
      <c r="D55" s="7">
        <f>DATA!D57-DATA!F57</f>
        <v>9</v>
      </c>
      <c r="E55" s="7">
        <f t="shared" si="7"/>
        <v>-10.4</v>
      </c>
      <c r="F55" s="7">
        <f t="shared" si="7"/>
        <v>0.75</v>
      </c>
      <c r="G55" s="6">
        <f t="shared" si="6"/>
        <v>-10230</v>
      </c>
      <c r="H55" s="6">
        <f t="shared" si="6"/>
        <v>12</v>
      </c>
      <c r="I55" s="38"/>
      <c r="J55" s="38"/>
      <c r="K55" s="38"/>
      <c r="L55" s="38"/>
      <c r="M55" s="5"/>
      <c r="N55" s="38"/>
    </row>
    <row r="56" spans="1:14" x14ac:dyDescent="0.25">
      <c r="A56" s="8">
        <v>55</v>
      </c>
      <c r="B56" s="37">
        <f t="shared" si="1"/>
        <v>48</v>
      </c>
      <c r="C56" s="7">
        <f>DATA!C48-DATA!E48</f>
        <v>-168</v>
      </c>
      <c r="D56" s="7">
        <f>DATA!D48-DATA!F48</f>
        <v>-3</v>
      </c>
      <c r="E56" s="7">
        <f t="shared" si="7"/>
        <v>-27.65</v>
      </c>
      <c r="F56" s="7">
        <f t="shared" si="7"/>
        <v>0.4</v>
      </c>
      <c r="G56" s="6">
        <f t="shared" si="6"/>
        <v>-10398</v>
      </c>
      <c r="H56" s="6">
        <f t="shared" si="6"/>
        <v>9</v>
      </c>
      <c r="I56" s="38"/>
      <c r="J56" s="38"/>
      <c r="K56" s="38"/>
      <c r="L56" s="38"/>
      <c r="M56" s="5"/>
      <c r="N56" s="38"/>
    </row>
    <row r="57" spans="1:14" x14ac:dyDescent="0.25">
      <c r="A57" s="8">
        <v>56</v>
      </c>
      <c r="B57" s="37">
        <f t="shared" si="1"/>
        <v>39</v>
      </c>
      <c r="C57" s="7">
        <f>DATA!C39-DATA!E39</f>
        <v>-140</v>
      </c>
      <c r="D57" s="7">
        <f>DATA!D39-DATA!F39</f>
        <v>3</v>
      </c>
      <c r="E57" s="7">
        <f t="shared" si="7"/>
        <v>3.75</v>
      </c>
      <c r="F57" s="7">
        <f t="shared" si="7"/>
        <v>0.55000000000000004</v>
      </c>
      <c r="G57" s="6">
        <f t="shared" si="6"/>
        <v>-10538</v>
      </c>
      <c r="H57" s="6">
        <f t="shared" si="6"/>
        <v>12</v>
      </c>
      <c r="I57" s="38"/>
      <c r="J57" s="38"/>
      <c r="K57" s="38"/>
      <c r="L57" s="38"/>
      <c r="M57" s="5"/>
      <c r="N57" s="38"/>
    </row>
    <row r="58" spans="1:14" x14ac:dyDescent="0.25">
      <c r="A58" s="8">
        <v>57</v>
      </c>
      <c r="B58" s="37">
        <f t="shared" si="1"/>
        <v>30</v>
      </c>
      <c r="C58" s="7">
        <f>DATA!C30-DATA!E30</f>
        <v>978</v>
      </c>
      <c r="D58" s="7">
        <f>DATA!D30-DATA!F30</f>
        <v>3</v>
      </c>
      <c r="E58" s="7">
        <f t="shared" si="7"/>
        <v>70.7</v>
      </c>
      <c r="F58" s="7">
        <f t="shared" si="7"/>
        <v>0.6</v>
      </c>
      <c r="G58" s="6">
        <f t="shared" si="6"/>
        <v>-9560</v>
      </c>
      <c r="H58" s="6">
        <f t="shared" si="6"/>
        <v>15</v>
      </c>
      <c r="I58" s="38"/>
      <c r="J58" s="38"/>
      <c r="K58" s="38"/>
      <c r="L58" s="38"/>
      <c r="M58" s="5"/>
      <c r="N58" s="38"/>
    </row>
    <row r="59" spans="1:14" x14ac:dyDescent="0.25">
      <c r="A59" s="8">
        <v>58</v>
      </c>
      <c r="B59" s="37">
        <f t="shared" si="1"/>
        <v>21</v>
      </c>
      <c r="C59" s="7">
        <f>DATA!C21-DATA!E21</f>
        <v>758</v>
      </c>
      <c r="D59" s="7">
        <f>DATA!D21-DATA!F21</f>
        <v>-7</v>
      </c>
      <c r="E59" s="7">
        <f t="shared" si="7"/>
        <v>119</v>
      </c>
      <c r="F59" s="7">
        <f t="shared" si="7"/>
        <v>0.15</v>
      </c>
      <c r="G59" s="6">
        <f t="shared" si="6"/>
        <v>-8802</v>
      </c>
      <c r="H59" s="6">
        <f t="shared" si="6"/>
        <v>8</v>
      </c>
      <c r="I59" s="38"/>
      <c r="J59" s="38"/>
      <c r="K59" s="38"/>
      <c r="L59" s="38"/>
      <c r="M59" s="5"/>
      <c r="N59" s="38"/>
    </row>
    <row r="60" spans="1:14" x14ac:dyDescent="0.25">
      <c r="A60" s="8">
        <v>59</v>
      </c>
      <c r="B60" s="37">
        <f t="shared" si="1"/>
        <v>12</v>
      </c>
      <c r="C60" s="7">
        <f>DATA!C12-DATA!E12</f>
        <v>1047</v>
      </c>
      <c r="D60" s="7">
        <f>DATA!D12-DATA!F12</f>
        <v>-14</v>
      </c>
      <c r="E60" s="7">
        <f t="shared" si="7"/>
        <v>217.95</v>
      </c>
      <c r="F60" s="7">
        <f t="shared" si="7"/>
        <v>-0.35</v>
      </c>
      <c r="G60" s="6">
        <f t="shared" si="6"/>
        <v>-7755</v>
      </c>
      <c r="H60" s="6">
        <f t="shared" si="6"/>
        <v>-6</v>
      </c>
      <c r="I60" s="38"/>
      <c r="J60" s="38"/>
      <c r="K60" s="38"/>
      <c r="L60" s="38"/>
      <c r="M60" s="5"/>
      <c r="N60" s="38"/>
    </row>
    <row r="61" spans="1:14" x14ac:dyDescent="0.25">
      <c r="A61" s="8">
        <v>60</v>
      </c>
      <c r="B61" s="37">
        <f t="shared" si="1"/>
        <v>3</v>
      </c>
      <c r="C61" s="7">
        <f>DATA!C3-DATA!E3</f>
        <v>974</v>
      </c>
      <c r="D61" s="7">
        <f>DATA!D3-DATA!F3</f>
        <v>-11</v>
      </c>
      <c r="E61" s="7">
        <f t="shared" si="7"/>
        <v>323</v>
      </c>
      <c r="F61" s="7">
        <f t="shared" si="7"/>
        <v>-0.6</v>
      </c>
      <c r="G61" s="6">
        <f t="shared" si="6"/>
        <v>-6781</v>
      </c>
      <c r="H61" s="6">
        <f t="shared" si="6"/>
        <v>-17</v>
      </c>
      <c r="I61" s="38"/>
      <c r="J61" s="38"/>
      <c r="K61" s="38"/>
      <c r="L61" s="38"/>
      <c r="M61" s="5"/>
      <c r="N61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/>
  <dimension ref="A1:L61"/>
  <sheetViews>
    <sheetView zoomScale="70" zoomScaleNormal="70" workbookViewId="0">
      <pane ySplit="1" topLeftCell="A2" activePane="bottomLeft" state="frozen"/>
      <selection pane="bottomLeft" activeCell="L1" sqref="L1"/>
    </sheetView>
  </sheetViews>
  <sheetFormatPr defaultRowHeight="15" x14ac:dyDescent="0.25"/>
  <cols>
    <col min="2" max="2" width="13.7109375" customWidth="1"/>
    <col min="3" max="5" width="16.140625" style="7" customWidth="1"/>
    <col min="6" max="6" width="17.42578125" style="5" customWidth="1"/>
    <col min="7" max="10" width="16.85546875" style="5" customWidth="1"/>
    <col min="11" max="11" width="24.5703125" style="5" customWidth="1"/>
    <col min="12" max="12" width="12.5703125" style="4" customWidth="1"/>
  </cols>
  <sheetData>
    <row r="1" spans="1:12" s="41" customFormat="1" x14ac:dyDescent="0.25">
      <c r="B1" s="63" t="s">
        <v>14</v>
      </c>
      <c r="C1" s="64" t="s">
        <v>310</v>
      </c>
      <c r="D1" s="64" t="s">
        <v>311</v>
      </c>
      <c r="E1" s="64" t="s">
        <v>16</v>
      </c>
      <c r="F1" s="63" t="s">
        <v>21</v>
      </c>
      <c r="G1" s="64" t="s">
        <v>312</v>
      </c>
      <c r="H1" s="64" t="s">
        <v>313</v>
      </c>
      <c r="I1" s="64" t="s">
        <v>15</v>
      </c>
      <c r="J1" s="63" t="s">
        <v>314</v>
      </c>
      <c r="K1" s="98" t="s">
        <v>491</v>
      </c>
      <c r="L1" s="99"/>
    </row>
    <row r="2" spans="1:12" s="8" customFormat="1" x14ac:dyDescent="0.25">
      <c r="A2" s="8">
        <v>1</v>
      </c>
      <c r="B2" s="9">
        <f t="shared" ref="B2:B20" si="0">B3+9</f>
        <v>535</v>
      </c>
      <c r="C2" s="7">
        <f>IF(DATA!C534=0,0,(DATA!C535/DATA!C534))</f>
        <v>2482.1002386634846</v>
      </c>
      <c r="D2" s="7">
        <f>IF(DATA!E534=0,0,(DATA!E535/DATA!E534))</f>
        <v>1620.8151382823871</v>
      </c>
      <c r="E2" s="7">
        <f t="shared" ref="E2:E18" si="1">C2-D2</f>
        <v>861.28510038109744</v>
      </c>
      <c r="F2" s="6">
        <f>E2</f>
        <v>861.28510038109744</v>
      </c>
      <c r="G2" s="7">
        <f>IF(DATA!D534=0,0,(DATA!D535/DATA!D534))</f>
        <v>228428.57142857142</v>
      </c>
      <c r="H2" s="7">
        <f>IF(DATA!F534=0,0,(DATA!F535/DATA!F534))</f>
        <v>29499.777777777777</v>
      </c>
      <c r="I2" s="10">
        <f>G2-H2</f>
        <v>198928.79365079364</v>
      </c>
      <c r="J2" s="10">
        <f>I2</f>
        <v>198928.79365079364</v>
      </c>
      <c r="K2" s="38">
        <f>(DATA!E534+DATA!F534)/(DATA!C534+DATA!D534)</f>
        <v>2.1811708860759493</v>
      </c>
      <c r="L2" s="35"/>
    </row>
    <row r="3" spans="1:12" s="8" customFormat="1" x14ac:dyDescent="0.25">
      <c r="A3" s="8">
        <v>2</v>
      </c>
      <c r="B3" s="9">
        <f t="shared" si="0"/>
        <v>526</v>
      </c>
      <c r="C3" s="7">
        <f>IF(DATA!C525=0,0,(DATA!C526/DATA!C525))</f>
        <v>1659.7428288822948</v>
      </c>
      <c r="D3" s="7">
        <f>IF(DATA!E525=0,0,(DATA!E526/DATA!E525))</f>
        <v>1792.4784775713638</v>
      </c>
      <c r="E3" s="7">
        <f t="shared" si="1"/>
        <v>-132.73564868906897</v>
      </c>
      <c r="F3" s="6">
        <f>E3+F2</f>
        <v>728.54945169202847</v>
      </c>
      <c r="G3" s="7">
        <f>IF(DATA!D525=0,0,(DATA!D526/DATA!D525))</f>
        <v>54595.058823529413</v>
      </c>
      <c r="H3" s="7">
        <f>IF(DATA!F525=0,0,(DATA!F526/DATA!F525))</f>
        <v>46857.142857142855</v>
      </c>
      <c r="I3" s="7">
        <f t="shared" ref="I3:I18" si="2">G3-H3</f>
        <v>7737.9159663865576</v>
      </c>
      <c r="J3" s="10">
        <f>J2+I3</f>
        <v>206666.7096171802</v>
      </c>
      <c r="K3" s="38">
        <f>(DATA!E525+DATA!F525)/(DATA!C525+DATA!D525)</f>
        <v>1.0858263854830799</v>
      </c>
      <c r="L3" s="35"/>
    </row>
    <row r="4" spans="1:12" s="8" customFormat="1" x14ac:dyDescent="0.25">
      <c r="A4" s="8">
        <v>3</v>
      </c>
      <c r="B4" s="9">
        <f t="shared" si="0"/>
        <v>517</v>
      </c>
      <c r="C4" s="7">
        <f>IF(DATA!C516=0,0,(DATA!C517/DATA!C516))</f>
        <v>1606.7415730337079</v>
      </c>
      <c r="D4" s="7">
        <f>IF(DATA!E516=0,0,(DATA!E517/DATA!E516))</f>
        <v>1586.2197392923649</v>
      </c>
      <c r="E4" s="7">
        <f t="shared" si="1"/>
        <v>20.521833741343016</v>
      </c>
      <c r="F4" s="6">
        <f t="shared" ref="F4:F61" si="3">E4+F3</f>
        <v>749.07128543337149</v>
      </c>
      <c r="G4" s="7">
        <f>IF(DATA!D516=0,0,(DATA!D517/DATA!D516))</f>
        <v>154357.14285714287</v>
      </c>
      <c r="H4" s="7">
        <f>IF(DATA!F516=0,0,(DATA!F517/DATA!F516))</f>
        <v>6878.8571428571431</v>
      </c>
      <c r="I4" s="7">
        <f t="shared" si="2"/>
        <v>147478.28571428574</v>
      </c>
      <c r="J4" s="10">
        <f t="shared" ref="J4:J61" si="4">J3+I4</f>
        <v>354144.99533146597</v>
      </c>
      <c r="K4" s="38">
        <f>(DATA!E516+DATA!F516)/(DATA!C516+DATA!D516)</f>
        <v>1.9955522609340253</v>
      </c>
      <c r="L4" s="35"/>
    </row>
    <row r="5" spans="1:12" s="8" customFormat="1" x14ac:dyDescent="0.25">
      <c r="A5" s="8">
        <v>4</v>
      </c>
      <c r="B5" s="9">
        <f t="shared" si="0"/>
        <v>508</v>
      </c>
      <c r="C5" s="7">
        <f>IF(DATA!C507=0,0,(DATA!C508/DATA!C507))</f>
        <v>2981.7729908864953</v>
      </c>
      <c r="D5" s="7">
        <f>IF(DATA!E507=0,0,(DATA!E508/DATA!E507))</f>
        <v>1736.4248910027745</v>
      </c>
      <c r="E5" s="7">
        <f t="shared" si="1"/>
        <v>1245.3480998837208</v>
      </c>
      <c r="F5" s="6">
        <f t="shared" si="3"/>
        <v>1994.4193853170923</v>
      </c>
      <c r="G5" s="7">
        <f>IF(DATA!D507=0,0,(DATA!D508/DATA!D507))</f>
        <v>136333.33333333334</v>
      </c>
      <c r="H5" s="7">
        <f>IF(DATA!F507=0,0,(DATA!F508/DATA!F507))</f>
        <v>40387.454545454544</v>
      </c>
      <c r="I5" s="7">
        <f t="shared" si="2"/>
        <v>95945.878787878799</v>
      </c>
      <c r="J5" s="10">
        <f t="shared" si="4"/>
        <v>450090.87411934475</v>
      </c>
      <c r="K5" s="38">
        <f>(DATA!E507+DATA!F507)/(DATA!C507+DATA!D507)</f>
        <v>2.0838815789473686</v>
      </c>
      <c r="L5" s="35"/>
    </row>
    <row r="6" spans="1:12" s="8" customFormat="1" x14ac:dyDescent="0.25">
      <c r="A6" s="8">
        <v>5</v>
      </c>
      <c r="B6" s="9">
        <f t="shared" si="0"/>
        <v>499</v>
      </c>
      <c r="C6" s="7">
        <f>IF(DATA!C498=0,0,(DATA!C499/DATA!C498))</f>
        <v>2265.2582159624412</v>
      </c>
      <c r="D6" s="7">
        <f>IF(DATA!E498=0,0,(DATA!E499/DATA!E498))</f>
        <v>1560.3822762814943</v>
      </c>
      <c r="E6" s="7">
        <f t="shared" si="1"/>
        <v>704.87593968094689</v>
      </c>
      <c r="F6" s="6">
        <f t="shared" si="3"/>
        <v>2699.2953249980392</v>
      </c>
      <c r="G6" s="7">
        <f>IF(DATA!D498=0,0,(DATA!D499/DATA!D498))</f>
        <v>94204</v>
      </c>
      <c r="H6" s="7">
        <f>IF(DATA!F498=0,0,(DATA!F499/DATA!F498))</f>
        <v>132269.5</v>
      </c>
      <c r="I6" s="7">
        <f t="shared" si="2"/>
        <v>-38065.5</v>
      </c>
      <c r="J6" s="10">
        <f t="shared" si="4"/>
        <v>412025.37411934475</v>
      </c>
      <c r="K6" s="38">
        <f>(DATA!E498+DATA!F498)/(DATA!C498+DATA!D498)</f>
        <v>1.3469150174621654</v>
      </c>
      <c r="L6" s="35"/>
    </row>
    <row r="7" spans="1:12" s="8" customFormat="1" x14ac:dyDescent="0.25">
      <c r="A7" s="8">
        <v>6</v>
      </c>
      <c r="B7" s="9">
        <f t="shared" si="0"/>
        <v>490</v>
      </c>
      <c r="C7" s="7">
        <f>IF(DATA!C489=0,0,(DATA!C490/DATA!C489))</f>
        <v>1466.5354330708662</v>
      </c>
      <c r="D7" s="7">
        <f>IF(DATA!E489=0,0,(DATA!E490/DATA!E489))</f>
        <v>2013.9860139860141</v>
      </c>
      <c r="E7" s="7">
        <f t="shared" si="1"/>
        <v>-547.45058091514784</v>
      </c>
      <c r="F7" s="6">
        <f t="shared" si="3"/>
        <v>2151.8447440828913</v>
      </c>
      <c r="G7" s="7">
        <f>IF(DATA!D489=0,0,(DATA!D490/DATA!D489))</f>
        <v>149583.33333333334</v>
      </c>
      <c r="H7" s="7">
        <f>IF(DATA!F489=0,0,(DATA!F490/DATA!F489))</f>
        <v>47839.75</v>
      </c>
      <c r="I7" s="7">
        <f t="shared" si="2"/>
        <v>101743.58333333334</v>
      </c>
      <c r="J7" s="10">
        <f t="shared" si="4"/>
        <v>513768.95745267812</v>
      </c>
      <c r="K7" s="38">
        <f>(DATA!E489+DATA!F489)/(DATA!C489+DATA!D489)</f>
        <v>1.125</v>
      </c>
      <c r="L7" s="35"/>
    </row>
    <row r="8" spans="1:12" s="8" customFormat="1" x14ac:dyDescent="0.25">
      <c r="A8" s="8">
        <v>7</v>
      </c>
      <c r="B8" s="9">
        <f t="shared" si="0"/>
        <v>481</v>
      </c>
      <c r="C8" s="7">
        <f>IF(DATA!C480=0,0,(DATA!C481/DATA!C480))</f>
        <v>1787.9120879120878</v>
      </c>
      <c r="D8" s="7">
        <f>IF(DATA!E480=0,0,(DATA!E481/DATA!E480))</f>
        <v>1597.3094170403588</v>
      </c>
      <c r="E8" s="7">
        <f t="shared" si="1"/>
        <v>190.60267087172906</v>
      </c>
      <c r="F8" s="6">
        <f t="shared" si="3"/>
        <v>2342.4474149546204</v>
      </c>
      <c r="G8" s="7">
        <f>IF(DATA!D480=0,0,(DATA!D481/DATA!D480))</f>
        <v>111515.28571428571</v>
      </c>
      <c r="H8" s="7">
        <f>IF(DATA!F480=0,0,(DATA!F481/DATA!F480))</f>
        <v>78263.25</v>
      </c>
      <c r="I8" s="7">
        <f t="shared" si="2"/>
        <v>33252.03571428571</v>
      </c>
      <c r="J8" s="10">
        <f t="shared" si="4"/>
        <v>547020.9931669638</v>
      </c>
      <c r="K8" s="38">
        <f>(DATA!E480+DATA!F480)/(DATA!C480+DATA!D480)</f>
        <v>1.2246455834242094</v>
      </c>
      <c r="L8" s="35"/>
    </row>
    <row r="9" spans="1:12" s="8" customFormat="1" x14ac:dyDescent="0.25">
      <c r="A9" s="8">
        <v>8</v>
      </c>
      <c r="B9" s="9">
        <f t="shared" si="0"/>
        <v>472</v>
      </c>
      <c r="C9" s="7">
        <f>IF(DATA!C471=0,0,(DATA!C472/DATA!C471))</f>
        <v>1687.0503597122301</v>
      </c>
      <c r="D9" s="7">
        <f>IF(DATA!E471=0,0,(DATA!E472/DATA!E471))</f>
        <v>1458.3615436696005</v>
      </c>
      <c r="E9" s="7">
        <f t="shared" si="1"/>
        <v>228.6888160426297</v>
      </c>
      <c r="F9" s="6">
        <f t="shared" si="3"/>
        <v>2571.1362309972501</v>
      </c>
      <c r="G9" s="7">
        <f>IF(DATA!D471=0,0,(DATA!D472/DATA!D471))</f>
        <v>57137</v>
      </c>
      <c r="H9" s="7">
        <f>IF(DATA!F471=0,0,(DATA!F472/DATA!F471))</f>
        <v>9259.1428571428569</v>
      </c>
      <c r="I9" s="7">
        <f t="shared" si="2"/>
        <v>47877.857142857145</v>
      </c>
      <c r="J9" s="10">
        <f t="shared" si="4"/>
        <v>594898.85030982096</v>
      </c>
      <c r="K9" s="38">
        <f>(DATA!E471+DATA!F471)/(DATA!C471+DATA!D471)</f>
        <v>1.3273703041144902</v>
      </c>
      <c r="L9" s="35"/>
    </row>
    <row r="10" spans="1:12" s="8" customFormat="1" x14ac:dyDescent="0.25">
      <c r="A10" s="8">
        <v>9</v>
      </c>
      <c r="B10" s="9">
        <f t="shared" si="0"/>
        <v>463</v>
      </c>
      <c r="C10" s="7">
        <f>IF(DATA!C462=0,0,(DATA!C463/DATA!C462))</f>
        <v>1992.4170616113745</v>
      </c>
      <c r="D10" s="7">
        <f>IF(DATA!E462=0,0,(DATA!E463/DATA!E462))</f>
        <v>1713.6194029850747</v>
      </c>
      <c r="E10" s="7">
        <f t="shared" si="1"/>
        <v>278.79765862629984</v>
      </c>
      <c r="F10" s="6">
        <f t="shared" si="3"/>
        <v>2849.9338896235499</v>
      </c>
      <c r="G10" s="7">
        <f>IF(DATA!D462=0,0,(DATA!D463/DATA!D462))</f>
        <v>56765.5</v>
      </c>
      <c r="H10" s="7">
        <f>IF(DATA!F462=0,0,(DATA!F463/DATA!F462))</f>
        <v>61464.5</v>
      </c>
      <c r="I10" s="7">
        <f t="shared" si="2"/>
        <v>-4699</v>
      </c>
      <c r="J10" s="10">
        <f t="shared" si="4"/>
        <v>590199.85030982096</v>
      </c>
      <c r="K10" s="38">
        <f>(DATA!E462+DATA!F462)/(DATA!C462+DATA!D462)</f>
        <v>1.0198300283286119</v>
      </c>
      <c r="L10" s="35"/>
    </row>
    <row r="11" spans="1:12" s="8" customFormat="1" x14ac:dyDescent="0.25">
      <c r="A11" s="8">
        <v>10</v>
      </c>
      <c r="B11" s="9">
        <f t="shared" si="0"/>
        <v>454</v>
      </c>
      <c r="C11" s="7">
        <f>IF(DATA!C453=0,0,(DATA!C454/DATA!C453))</f>
        <v>2227.2727272727275</v>
      </c>
      <c r="D11" s="7">
        <f>IF(DATA!E453=0,0,(DATA!E454/DATA!E453))</f>
        <v>2140.4456448345713</v>
      </c>
      <c r="E11" s="7">
        <f t="shared" si="1"/>
        <v>86.82708243815614</v>
      </c>
      <c r="F11" s="6">
        <f t="shared" si="3"/>
        <v>2936.7609720617061</v>
      </c>
      <c r="G11" s="7">
        <f>IF(DATA!D453=0,0,(DATA!D454/DATA!D453))</f>
        <v>74357.142857142855</v>
      </c>
      <c r="H11" s="7">
        <f>IF(DATA!F453=0,0,(DATA!F454/DATA!F453))</f>
        <v>45304.666666666664</v>
      </c>
      <c r="I11" s="7">
        <f t="shared" si="2"/>
        <v>29052.476190476191</v>
      </c>
      <c r="J11" s="10">
        <f t="shared" si="4"/>
        <v>619252.32650029717</v>
      </c>
      <c r="K11" s="38">
        <f>(DATA!E453+DATA!F453)/(DATA!C453+DATA!D453)</f>
        <v>1.3617216117216118</v>
      </c>
      <c r="L11" s="35"/>
    </row>
    <row r="12" spans="1:12" s="8" customFormat="1" x14ac:dyDescent="0.25">
      <c r="A12" s="8">
        <v>11</v>
      </c>
      <c r="B12" s="9">
        <f t="shared" si="0"/>
        <v>445</v>
      </c>
      <c r="C12" s="7">
        <f>IF(DATA!C444=0,0,(DATA!C445/DATA!C444))</f>
        <v>2959.4594594594596</v>
      </c>
      <c r="D12" s="7">
        <f>IF(DATA!E444=0,0,(DATA!E445/DATA!E444))</f>
        <v>1766.7746413697362</v>
      </c>
      <c r="E12" s="7">
        <f t="shared" si="1"/>
        <v>1192.6848180897234</v>
      </c>
      <c r="F12" s="6">
        <f t="shared" si="3"/>
        <v>4129.4457901514297</v>
      </c>
      <c r="G12" s="7">
        <f>IF(DATA!D444=0,0,(DATA!D445/DATA!D444))</f>
        <v>351357.14285714284</v>
      </c>
      <c r="H12" s="7">
        <f>IF(DATA!F444=0,0,(DATA!F445/DATA!F444))</f>
        <v>248600</v>
      </c>
      <c r="I12" s="7">
        <f t="shared" si="2"/>
        <v>102757.14285714284</v>
      </c>
      <c r="J12" s="10">
        <f t="shared" si="4"/>
        <v>722009.46935744002</v>
      </c>
      <c r="K12" s="38">
        <f>(DATA!E444+DATA!F444)/(DATA!C444+DATA!D444)</f>
        <v>2.4124168514412418</v>
      </c>
      <c r="L12" s="35"/>
    </row>
    <row r="13" spans="1:12" s="8" customFormat="1" x14ac:dyDescent="0.25">
      <c r="A13" s="8">
        <v>12</v>
      </c>
      <c r="B13" s="9">
        <f t="shared" si="0"/>
        <v>436</v>
      </c>
      <c r="C13" s="7">
        <f>IF(DATA!C435=0,0,(DATA!C436/DATA!C435))</f>
        <v>1504.9884881043745</v>
      </c>
      <c r="D13" s="7">
        <f>IF(DATA!E435=0,0,(DATA!E436/DATA!E435))</f>
        <v>2112.956810631229</v>
      </c>
      <c r="E13" s="7">
        <f t="shared" si="1"/>
        <v>-607.96832252685454</v>
      </c>
      <c r="F13" s="6">
        <f t="shared" si="3"/>
        <v>3521.4774676245752</v>
      </c>
      <c r="G13" s="7">
        <f>IF(DATA!D435=0,0,(DATA!D436/DATA!D435))</f>
        <v>79481</v>
      </c>
      <c r="H13" s="7">
        <f>IF(DATA!F435=0,0,(DATA!F436/DATA!F435))</f>
        <v>26501.25</v>
      </c>
      <c r="I13" s="7">
        <f t="shared" si="2"/>
        <v>52979.75</v>
      </c>
      <c r="J13" s="10">
        <f t="shared" si="4"/>
        <v>774989.21935744002</v>
      </c>
      <c r="K13" s="38">
        <f>(DATA!E435+DATA!F435)/(DATA!C435+DATA!D435)</f>
        <v>0.92307692307692313</v>
      </c>
      <c r="L13" s="35"/>
    </row>
    <row r="14" spans="1:12" s="8" customFormat="1" x14ac:dyDescent="0.25">
      <c r="A14" s="8">
        <v>13</v>
      </c>
      <c r="B14" s="9">
        <f t="shared" si="0"/>
        <v>427</v>
      </c>
      <c r="C14" s="7">
        <f>IF(DATA!C426=0,0,(DATA!C427/DATA!C426))</f>
        <v>1568.1098204857444</v>
      </c>
      <c r="D14" s="7">
        <f>IF(DATA!E426=0,0,(DATA!E427/DATA!E426))</f>
        <v>2235.8926919518963</v>
      </c>
      <c r="E14" s="7">
        <f t="shared" si="1"/>
        <v>-667.78287146615185</v>
      </c>
      <c r="F14" s="6">
        <f t="shared" si="3"/>
        <v>2853.6945961584233</v>
      </c>
      <c r="G14" s="7">
        <f>IF(DATA!D426=0,0,(DATA!D427/DATA!D426))</f>
        <v>131111.11111111112</v>
      </c>
      <c r="H14" s="7">
        <f>IF(DATA!F426=0,0,(DATA!F427/DATA!F426))</f>
        <v>41405.666666666664</v>
      </c>
      <c r="I14" s="7">
        <f t="shared" si="2"/>
        <v>89705.444444444467</v>
      </c>
      <c r="J14" s="10">
        <f t="shared" si="4"/>
        <v>864694.66380188451</v>
      </c>
      <c r="K14" s="38">
        <f>(DATA!E426+DATA!F426)/(DATA!C426+DATA!D426)</f>
        <v>1.137029288702929</v>
      </c>
      <c r="L14" s="35"/>
    </row>
    <row r="15" spans="1:12" s="8" customFormat="1" x14ac:dyDescent="0.25">
      <c r="A15" s="8">
        <v>14</v>
      </c>
      <c r="B15" s="9">
        <f t="shared" si="0"/>
        <v>418</v>
      </c>
      <c r="C15" s="7">
        <f>IF(DATA!C417=0,0,(DATA!C418/DATA!C417))</f>
        <v>1225.8953168044077</v>
      </c>
      <c r="D15" s="7">
        <f>IF(DATA!E417=0,0,(DATA!E418/DATA!E417))</f>
        <v>6802.734375</v>
      </c>
      <c r="E15" s="7">
        <f t="shared" si="1"/>
        <v>-5576.8390581955919</v>
      </c>
      <c r="F15" s="6">
        <f t="shared" si="3"/>
        <v>-2723.1444620371685</v>
      </c>
      <c r="G15" s="7">
        <f>IF(DATA!D417=0,0,(DATA!D418/DATA!D417))</f>
        <v>1089833.3333333333</v>
      </c>
      <c r="H15" s="7">
        <f>IF(DATA!F417=0,0,(DATA!F418/DATA!F417))</f>
        <v>792600</v>
      </c>
      <c r="I15" s="7">
        <f t="shared" si="2"/>
        <v>297233.33333333326</v>
      </c>
      <c r="J15" s="10">
        <f t="shared" si="4"/>
        <v>1161927.9971352178</v>
      </c>
      <c r="K15" s="38">
        <f>(DATA!E417+DATA!F417)/(DATA!C417+DATA!D417)</f>
        <v>1.399636693914623</v>
      </c>
      <c r="L15" s="35"/>
    </row>
    <row r="16" spans="1:12" s="8" customFormat="1" x14ac:dyDescent="0.25">
      <c r="A16" s="8">
        <v>15</v>
      </c>
      <c r="B16" s="9">
        <f t="shared" si="0"/>
        <v>409</v>
      </c>
      <c r="C16" s="7">
        <f>IF(DATA!C408=0,0,(DATA!C409/DATA!C408))</f>
        <v>2305.871212121212</v>
      </c>
      <c r="D16" s="7">
        <f>IF(DATA!E408=0,0,(DATA!E409/DATA!E408))</f>
        <v>4360.3864734299514</v>
      </c>
      <c r="E16" s="7">
        <f t="shared" si="1"/>
        <v>-2054.5152613087394</v>
      </c>
      <c r="F16" s="6">
        <f t="shared" si="3"/>
        <v>-4777.6597233459079</v>
      </c>
      <c r="G16" s="7">
        <f>IF(DATA!D408=0,0,(DATA!D409/DATA!D408))</f>
        <v>534176.4705882353</v>
      </c>
      <c r="H16" s="7">
        <f>IF(DATA!F408=0,0,(DATA!F409/DATA!F408))</f>
        <v>207500</v>
      </c>
      <c r="I16" s="7">
        <f t="shared" si="2"/>
        <v>326676.4705882353</v>
      </c>
      <c r="J16" s="10">
        <f t="shared" si="4"/>
        <v>1488604.467723453</v>
      </c>
      <c r="K16" s="38">
        <f>(DATA!E408+DATA!F408)/(DATA!C408+DATA!D408)</f>
        <v>1.9403541472506989</v>
      </c>
      <c r="L16" s="35"/>
    </row>
    <row r="17" spans="1:12" s="8" customFormat="1" x14ac:dyDescent="0.25">
      <c r="A17" s="8">
        <v>16</v>
      </c>
      <c r="B17" s="9">
        <f t="shared" si="0"/>
        <v>400</v>
      </c>
      <c r="C17" s="7">
        <f>IF(DATA!C399=0,0,(DATA!C400/DATA!C399))</f>
        <v>2022.0653133274493</v>
      </c>
      <c r="D17" s="7">
        <f>IF(DATA!E399=0,0,(DATA!E400/DATA!E399))</f>
        <v>4043.4304562946672</v>
      </c>
      <c r="E17" s="7">
        <f t="shared" si="1"/>
        <v>-2021.3651429672179</v>
      </c>
      <c r="F17" s="6">
        <f t="shared" si="3"/>
        <v>-6799.024866313126</v>
      </c>
      <c r="G17" s="7">
        <f>IF(DATA!D399=0,0,(DATA!D400/DATA!D399))</f>
        <v>456307.69230769231</v>
      </c>
      <c r="H17" s="7">
        <f>IF(DATA!F399=0,0,(DATA!F400/DATA!F399))</f>
        <v>72319.333333333328</v>
      </c>
      <c r="I17" s="7">
        <f t="shared" si="2"/>
        <v>383988.358974359</v>
      </c>
      <c r="J17" s="10">
        <f t="shared" si="4"/>
        <v>1872592.8266978119</v>
      </c>
      <c r="K17" s="38">
        <f>(DATA!E399+DATA!F399)/(DATA!C399+DATA!D399)</f>
        <v>1.5977312390924956</v>
      </c>
      <c r="L17" s="35"/>
    </row>
    <row r="18" spans="1:12" s="8" customFormat="1" x14ac:dyDescent="0.25">
      <c r="A18" s="8">
        <v>17</v>
      </c>
      <c r="B18" s="9">
        <f t="shared" si="0"/>
        <v>391</v>
      </c>
      <c r="C18" s="7">
        <f>IF(DATA!C390=0,0,(DATA!C391/DATA!C390))</f>
        <v>8949.5268138801257</v>
      </c>
      <c r="D18" s="7">
        <f>IF(DATA!E390=0,0,(DATA!E391/DATA!E390))</f>
        <v>3238.871224165342</v>
      </c>
      <c r="E18" s="7">
        <f t="shared" si="1"/>
        <v>5710.6555897147837</v>
      </c>
      <c r="F18" s="6">
        <f t="shared" si="3"/>
        <v>-1088.3692765983424</v>
      </c>
      <c r="G18" s="7">
        <f>IF(DATA!D390=0,0,(DATA!D391/DATA!D390))</f>
        <v>530428.57142857148</v>
      </c>
      <c r="H18" s="7">
        <f>IF(DATA!F390=0,0,(DATA!F391/DATA!F390))</f>
        <v>177000</v>
      </c>
      <c r="I18" s="7">
        <f t="shared" si="2"/>
        <v>353428.57142857148</v>
      </c>
      <c r="J18" s="10">
        <f t="shared" si="4"/>
        <v>2226021.3981263833</v>
      </c>
      <c r="K18" s="38">
        <f>(DATA!E390+DATA!F390)/(DATA!C390+DATA!D390)</f>
        <v>3.93603744149766</v>
      </c>
      <c r="L18" s="35"/>
    </row>
    <row r="19" spans="1:12" s="8" customFormat="1" x14ac:dyDescent="0.25">
      <c r="A19" s="8">
        <v>18</v>
      </c>
      <c r="B19" s="9">
        <f t="shared" si="0"/>
        <v>382</v>
      </c>
      <c r="C19" s="7">
        <f>IF(DATA!C381=0,0,(DATA!C382/DATA!C381))</f>
        <v>73514.666666666672</v>
      </c>
      <c r="D19" s="7">
        <f>IF(DATA!E381=0,0,(DATA!E382/DATA!E381))</f>
        <v>382.55263157894734</v>
      </c>
      <c r="E19" s="7">
        <f>C19-D19</f>
        <v>73132.114035087725</v>
      </c>
      <c r="F19" s="6">
        <f t="shared" si="3"/>
        <v>72043.744758489382</v>
      </c>
      <c r="G19" s="7">
        <f>IF(DATA!D381=0,0,(DATA!D382/DATA!D381))</f>
        <v>0</v>
      </c>
      <c r="H19" s="7">
        <f>IF(DATA!F381=0,0,(DATA!F382/DATA!F381))</f>
        <v>176933</v>
      </c>
      <c r="I19" s="7">
        <f>G19-H19</f>
        <v>-176933</v>
      </c>
      <c r="J19" s="10">
        <f t="shared" si="4"/>
        <v>2049088.3981263833</v>
      </c>
      <c r="K19" s="38">
        <f>(DATA!E381+DATA!F381)/(DATA!C381+DATA!D381)</f>
        <v>38.333333333333336</v>
      </c>
      <c r="L19" s="35"/>
    </row>
    <row r="20" spans="1:12" s="8" customFormat="1" x14ac:dyDescent="0.25">
      <c r="A20" s="8">
        <v>19</v>
      </c>
      <c r="B20" s="9">
        <f t="shared" si="0"/>
        <v>373</v>
      </c>
      <c r="C20" s="7">
        <f>IF(DATA!C372=0,0,(DATA!C373/DATA!C372))</f>
        <v>34218.545454545456</v>
      </c>
      <c r="D20" s="7">
        <f>IF(DATA!E372=0,0,(DATA!E373/DATA!E372))</f>
        <v>473.77459016393442</v>
      </c>
      <c r="E20" s="7">
        <f>C20-D20</f>
        <v>33744.77086438152</v>
      </c>
      <c r="F20" s="6">
        <f t="shared" si="3"/>
        <v>105788.51562287091</v>
      </c>
      <c r="G20" s="7">
        <f>IF(DATA!D372=0,0,(DATA!D373/DATA!D372))</f>
        <v>35536.5</v>
      </c>
      <c r="H20" s="7">
        <f>IF(DATA!F372=0,0,(DATA!F373/DATA!F372))</f>
        <v>110625.33333333333</v>
      </c>
      <c r="I20" s="7">
        <f>G20-H20</f>
        <v>-75088.833333333328</v>
      </c>
      <c r="J20" s="10">
        <f t="shared" si="4"/>
        <v>1973999.5647930501</v>
      </c>
      <c r="K20" s="38">
        <f>(DATA!E372+DATA!F372)/(DATA!C372+DATA!D372)</f>
        <v>19</v>
      </c>
      <c r="L20" s="35"/>
    </row>
    <row r="21" spans="1:12" s="8" customFormat="1" x14ac:dyDescent="0.25">
      <c r="A21" s="8">
        <v>20</v>
      </c>
      <c r="B21" s="9">
        <f>B22+9</f>
        <v>364</v>
      </c>
      <c r="C21" s="7">
        <f>IF(DATA!C363=0,0,(DATA!C364/DATA!C363))</f>
        <v>43027.027027027027</v>
      </c>
      <c r="D21" s="7">
        <f>IF(DATA!E363=0,0,(DATA!E364/DATA!E363))</f>
        <v>768.34533898305085</v>
      </c>
      <c r="E21" s="7">
        <f t="shared" ref="E21" si="5">C21-D21</f>
        <v>42258.681688043973</v>
      </c>
      <c r="F21" s="6">
        <f t="shared" si="3"/>
        <v>148047.19731091487</v>
      </c>
      <c r="G21" s="7">
        <f>IF(DATA!D363=0,0,(DATA!D364/DATA!D363))</f>
        <v>57250</v>
      </c>
      <c r="H21" s="7">
        <f>IF(DATA!F363=0,0,(DATA!F364/DATA!F363))</f>
        <v>291600</v>
      </c>
      <c r="I21" s="7">
        <f t="shared" ref="I21:I22" si="6">G21-H21</f>
        <v>-234350</v>
      </c>
      <c r="J21" s="10">
        <f t="shared" si="4"/>
        <v>1739649.5647930501</v>
      </c>
      <c r="K21" s="38">
        <f>(DATA!E363+DATA!F363)/(DATA!C363+DATA!D363)</f>
        <v>11.634146341463415</v>
      </c>
      <c r="L21" s="35"/>
    </row>
    <row r="22" spans="1:12" x14ac:dyDescent="0.25">
      <c r="A22" s="8">
        <v>21</v>
      </c>
      <c r="B22" s="5">
        <v>355</v>
      </c>
      <c r="C22" s="7">
        <f>IF(DATA!C354=0,0,(DATA!C355/DATA!C354))</f>
        <v>4610.5362182502349</v>
      </c>
      <c r="D22" s="7">
        <f>IF(DATA!E354=0,0,(DATA!E355/DATA!E354))</f>
        <v>2792.4623115577888</v>
      </c>
      <c r="E22" s="7">
        <f t="shared" ref="E22" si="7">C22-D22</f>
        <v>1818.0739066924461</v>
      </c>
      <c r="F22" s="6">
        <f t="shared" si="3"/>
        <v>149865.27121760731</v>
      </c>
      <c r="G22" s="7">
        <f>IF(DATA!D354=0,0,(DATA!D355/DATA!D354))</f>
        <v>225200</v>
      </c>
      <c r="H22" s="7">
        <f>IF(DATA!F354=0,0,(DATA!F355/DATA!F354))</f>
        <v>381150</v>
      </c>
      <c r="I22" s="7">
        <f t="shared" si="6"/>
        <v>-155950</v>
      </c>
      <c r="J22" s="10">
        <f t="shared" si="4"/>
        <v>1583699.5647930501</v>
      </c>
      <c r="K22" s="38">
        <f>(DATA!E354+DATA!F354)/(DATA!C354+DATA!D354)</f>
        <v>0.93881363848668842</v>
      </c>
      <c r="L22" s="35"/>
    </row>
    <row r="23" spans="1:12" x14ac:dyDescent="0.25">
      <c r="A23" s="8">
        <v>22</v>
      </c>
      <c r="B23" s="5">
        <v>346</v>
      </c>
      <c r="C23" s="7">
        <f>IF(DATA!C345=0,0,(DATA!C346/DATA!C345))</f>
        <v>2818.9233278955953</v>
      </c>
      <c r="D23" s="7">
        <f>IF(DATA!E345=0,0,(DATA!E346/DATA!E345))</f>
        <v>2587.719298245614</v>
      </c>
      <c r="E23" s="7">
        <f>C23-D23</f>
        <v>231.20402964998129</v>
      </c>
      <c r="F23" s="6">
        <f t="shared" si="3"/>
        <v>150096.4752472573</v>
      </c>
      <c r="G23" s="7">
        <f>IF(DATA!D345=0,0,(DATA!D346/DATA!D345))</f>
        <v>170150</v>
      </c>
      <c r="H23" s="7">
        <f>IF(DATA!F345=0,0,(DATA!F346/DATA!F345))</f>
        <v>46523.076923076922</v>
      </c>
      <c r="I23" s="7">
        <f>G23-H23</f>
        <v>123626.92307692308</v>
      </c>
      <c r="J23" s="10">
        <f t="shared" si="4"/>
        <v>1707326.4878699731</v>
      </c>
      <c r="K23" s="38">
        <f>(DATA!E345+DATA!F345)/(DATA!C345+DATA!D345)</f>
        <v>1.2415730337078652</v>
      </c>
      <c r="L23" s="35"/>
    </row>
    <row r="24" spans="1:12" x14ac:dyDescent="0.25">
      <c r="A24" s="8">
        <v>23</v>
      </c>
      <c r="B24" s="5">
        <v>337</v>
      </c>
      <c r="C24" s="7">
        <f>IF(DATA!C336=0,0,(DATA!C337/DATA!C336))</f>
        <v>2271.3085234093637</v>
      </c>
      <c r="D24" s="7">
        <f>IF(DATA!E336=0,0,(DATA!E3237/DATA!E336))</f>
        <v>0</v>
      </c>
      <c r="E24" s="7">
        <f>C24-D24</f>
        <v>2271.3085234093637</v>
      </c>
      <c r="F24" s="6">
        <f t="shared" si="3"/>
        <v>152367.78377066666</v>
      </c>
      <c r="G24" s="7">
        <f>IF(DATA!D336=0,0,(DATA!D337/DATA!D336))</f>
        <v>701375</v>
      </c>
      <c r="H24" s="7">
        <f>IF(DATA!F336=0,0,(DATA!F3237/DATA!F336))</f>
        <v>0</v>
      </c>
      <c r="I24" s="7">
        <f>G24-H24</f>
        <v>701375</v>
      </c>
      <c r="J24" s="10">
        <f t="shared" si="4"/>
        <v>2408701.4878699733</v>
      </c>
      <c r="K24" s="38">
        <f>(DATA!E336+DATA!F336)/(DATA!C336+DATA!D336)</f>
        <v>0.65471923536439669</v>
      </c>
      <c r="L24" s="35"/>
    </row>
    <row r="25" spans="1:12" x14ac:dyDescent="0.25">
      <c r="A25" s="8">
        <v>24</v>
      </c>
      <c r="B25" s="5">
        <v>328</v>
      </c>
      <c r="C25" s="7">
        <f>IF(DATA!C327=0,0,(DATA!C328/DATA!C327))</f>
        <v>1658.4967320261437</v>
      </c>
      <c r="D25" s="7">
        <f>IF(DATA!E327=0,0,(DATA!E328/DATA!E327))</f>
        <v>2504.7784535186793</v>
      </c>
      <c r="E25" s="7">
        <f>C25-D25</f>
        <v>-846.28172149253555</v>
      </c>
      <c r="F25" s="6">
        <f t="shared" si="3"/>
        <v>151521.50204917413</v>
      </c>
      <c r="G25" s="7">
        <f>IF(DATA!D327=0,0,(DATA!D328/DATA!D327))</f>
        <v>213272.72727272726</v>
      </c>
      <c r="H25" s="7">
        <f>IF(DATA!F327=0,0,(DATA!F328/DATA!F327))</f>
        <v>248833.33333333334</v>
      </c>
      <c r="I25" s="7">
        <f>G25-H25</f>
        <v>-35560.606060606078</v>
      </c>
      <c r="J25" s="10">
        <f t="shared" si="4"/>
        <v>2373140.8818093673</v>
      </c>
      <c r="K25" s="38">
        <f>(DATA!E327+DATA!F327)/(DATA!C327+DATA!D327)</f>
        <v>0.93684210526315792</v>
      </c>
      <c r="L25" s="35"/>
    </row>
    <row r="26" spans="1:12" x14ac:dyDescent="0.25">
      <c r="A26" s="8">
        <v>25</v>
      </c>
      <c r="B26" s="5">
        <v>319</v>
      </c>
      <c r="C26" s="7">
        <f>IF(DATA!C318=0,0,(DATA!C319/DATA!C318))</f>
        <v>1074.9765698219308</v>
      </c>
      <c r="D26" s="7">
        <f>IF(DATA!E318=0,0,(DATA!E319/DATA!E318))</f>
        <v>2473.1663685152057</v>
      </c>
      <c r="E26" s="7">
        <f>C26-D26</f>
        <v>-1398.189798693275</v>
      </c>
      <c r="F26" s="6">
        <f t="shared" si="3"/>
        <v>150123.31225048084</v>
      </c>
      <c r="G26" s="7">
        <f>IF(DATA!D318=0,0,(DATA!D319/DATA!D318))</f>
        <v>679090.90909090906</v>
      </c>
      <c r="H26" s="7">
        <f>IF(DATA!F318=0,0,(DATA!F319/DATA!F318))</f>
        <v>450076.92307692306</v>
      </c>
      <c r="I26" s="7">
        <f>G26-H26</f>
        <v>229013.986013986</v>
      </c>
      <c r="J26" s="10">
        <f t="shared" si="4"/>
        <v>2602154.8678233535</v>
      </c>
      <c r="K26" s="38">
        <f>(DATA!E318+DATA!F318)/(DATA!C318+DATA!D318)</f>
        <v>1.049165120593692</v>
      </c>
      <c r="L26" s="35"/>
    </row>
    <row r="27" spans="1:12" x14ac:dyDescent="0.25">
      <c r="A27" s="8">
        <v>26</v>
      </c>
      <c r="B27" s="5">
        <v>310</v>
      </c>
      <c r="C27" s="7">
        <f>IF(DATA!C309=0,0,(DATA!C310/DATA!C309))</f>
        <v>1440.3778040141676</v>
      </c>
      <c r="D27" s="7">
        <f>IF(DATA!E309=0,0,(DATA!E310/DATA!E309))</f>
        <v>3270.4691812327505</v>
      </c>
      <c r="E27" s="7">
        <f>C27-D27</f>
        <v>-1830.0913772185829</v>
      </c>
      <c r="F27" s="6">
        <f t="shared" si="3"/>
        <v>148293.22087326227</v>
      </c>
      <c r="G27" s="7">
        <f>IF(DATA!D309=0,0,(DATA!D310/DATA!D309))</f>
        <v>1229428.5714285714</v>
      </c>
      <c r="H27" s="7">
        <f>IF(DATA!F309=0,0,(DATA!F310/DATA!F309))</f>
        <v>570090.90909090906</v>
      </c>
      <c r="I27" s="7">
        <f>G27-H27</f>
        <v>659337.6623376623</v>
      </c>
      <c r="J27" s="10">
        <f t="shared" si="4"/>
        <v>3261492.5301610157</v>
      </c>
      <c r="K27" s="38">
        <f>(DATA!E309+DATA!F309)/(DATA!C309+DATA!D309)</f>
        <v>1.2857142857142858</v>
      </c>
      <c r="L27" s="35"/>
    </row>
    <row r="28" spans="1:12" x14ac:dyDescent="0.25">
      <c r="A28" s="8">
        <v>27</v>
      </c>
      <c r="B28" s="5">
        <v>301</v>
      </c>
      <c r="C28" s="7">
        <f>IF(DATA!C300=0,0,(DATA!C301/DATA!C300))</f>
        <v>1337.5209380234505</v>
      </c>
      <c r="D28" s="7">
        <f>IF(DATA!E300=0,0,(DATA!E301/DATA!E300))</f>
        <v>1678.4351145038167</v>
      </c>
      <c r="E28" s="7">
        <f t="shared" ref="E28:E34" si="8">C28-D28</f>
        <v>-340.91417648036622</v>
      </c>
      <c r="F28" s="6">
        <f t="shared" si="3"/>
        <v>147952.30669678189</v>
      </c>
      <c r="G28" s="7">
        <f>IF(DATA!D300=0,0,(DATA!D301/DATA!D300))</f>
        <v>257111.11111111112</v>
      </c>
      <c r="H28" s="7">
        <f>IF(DATA!F300=0,0,(DATA!F301/DATA!F300))</f>
        <v>269000</v>
      </c>
      <c r="I28" s="7">
        <f t="shared" ref="I28:I34" si="9">G28-H28</f>
        <v>-11888.888888888876</v>
      </c>
      <c r="J28" s="10">
        <f t="shared" si="4"/>
        <v>3249603.6412721267</v>
      </c>
      <c r="K28" s="38">
        <f>(DATA!E300+DATA!F300)/(DATA!C300+DATA!D300)</f>
        <v>0.87780548628428923</v>
      </c>
      <c r="L28" s="35"/>
    </row>
    <row r="29" spans="1:12" x14ac:dyDescent="0.25">
      <c r="A29" s="8">
        <v>28</v>
      </c>
      <c r="B29" s="5">
        <v>292</v>
      </c>
      <c r="C29" s="7">
        <f>IF(DATA!C291=0,0,(DATA!C292/DATA!C291))</f>
        <v>1546.2138084632518</v>
      </c>
      <c r="D29" s="7">
        <f>IF(DATA!E291=0,0,(DATA!E292/DATA!E291))</f>
        <v>1939.068100358423</v>
      </c>
      <c r="E29" s="7">
        <f t="shared" si="8"/>
        <v>-392.85429189517117</v>
      </c>
      <c r="F29" s="6">
        <f t="shared" si="3"/>
        <v>147559.45240488672</v>
      </c>
      <c r="G29" s="7">
        <f>IF(DATA!D291=0,0,(DATA!D292/DATA!D291))</f>
        <v>65409.307692307695</v>
      </c>
      <c r="H29" s="7">
        <f>IF(DATA!F291=0,0,(DATA!F292/DATA!F291))</f>
        <v>461001.5</v>
      </c>
      <c r="I29" s="7">
        <f t="shared" si="9"/>
        <v>-395592.19230769231</v>
      </c>
      <c r="J29" s="10">
        <f t="shared" si="4"/>
        <v>2854011.4489644342</v>
      </c>
      <c r="K29" s="38">
        <f>(DATA!E291+DATA!F291)/(DATA!C291+DATA!D291)</f>
        <v>0.77224986180210065</v>
      </c>
      <c r="L29" s="35"/>
    </row>
    <row r="30" spans="1:12" x14ac:dyDescent="0.25">
      <c r="A30" s="8">
        <v>29</v>
      </c>
      <c r="B30" s="5">
        <v>283</v>
      </c>
      <c r="C30" s="7">
        <f>IF(DATA!C282=0,0,(DATA!C283/DATA!C282))</f>
        <v>2011.3851992409868</v>
      </c>
      <c r="D30" s="7">
        <f>IF(DATA!E282=0,0,(DATA!E283/DATA!E282))</f>
        <v>1717.7914110429447</v>
      </c>
      <c r="E30" s="7">
        <f t="shared" si="8"/>
        <v>293.59378819804215</v>
      </c>
      <c r="F30" s="6">
        <f t="shared" si="3"/>
        <v>147853.04619308477</v>
      </c>
      <c r="G30" s="7">
        <f>IF(DATA!D282=0,0,(DATA!D283/DATA!D282))</f>
        <v>98924.75</v>
      </c>
      <c r="H30" s="7">
        <f>IF(DATA!F282=0,0,(DATA!F283/DATA!F282))</f>
        <v>458400</v>
      </c>
      <c r="I30" s="7">
        <f t="shared" si="9"/>
        <v>-359475.25</v>
      </c>
      <c r="J30" s="10">
        <f t="shared" si="4"/>
        <v>2494536.1989644342</v>
      </c>
      <c r="K30" s="38">
        <f>(DATA!E282+DATA!F282)/(DATA!C282+DATA!D282)</f>
        <v>0.61862806796727499</v>
      </c>
      <c r="L30" s="35"/>
    </row>
    <row r="31" spans="1:12" x14ac:dyDescent="0.25">
      <c r="A31" s="8">
        <v>30</v>
      </c>
      <c r="B31" s="5">
        <v>274</v>
      </c>
      <c r="C31" s="7">
        <f>IF(DATA!C273=0,0,(DATA!C274/DATA!C273))</f>
        <v>2067.7480916030536</v>
      </c>
      <c r="D31" s="7">
        <f>IF(DATA!E273=0,0,(DATA!E274/DATA!E273))</f>
        <v>2458.6312563840652</v>
      </c>
      <c r="E31" s="7">
        <f t="shared" si="8"/>
        <v>-390.8831647810116</v>
      </c>
      <c r="F31" s="6">
        <f t="shared" si="3"/>
        <v>147462.16302830377</v>
      </c>
      <c r="G31" s="7">
        <f>IF(DATA!D273=0,0,(DATA!D274/DATA!D273))</f>
        <v>38605</v>
      </c>
      <c r="H31" s="7">
        <f>IF(DATA!F273=0,0,(DATA!F274/DATA!F273))</f>
        <v>21419.200000000001</v>
      </c>
      <c r="I31" s="7">
        <f t="shared" si="9"/>
        <v>17185.8</v>
      </c>
      <c r="J31" s="10">
        <f t="shared" si="4"/>
        <v>2511721.998964434</v>
      </c>
      <c r="K31" s="38">
        <f>(DATA!E273+DATA!F273)/(DATA!C273+DATA!D273)</f>
        <v>0.93093661305581832</v>
      </c>
      <c r="L31" s="35"/>
    </row>
    <row r="32" spans="1:12" x14ac:dyDescent="0.25">
      <c r="A32" s="8">
        <v>31</v>
      </c>
      <c r="B32" s="5">
        <v>265</v>
      </c>
      <c r="C32" s="7">
        <f>IF(DATA!C264=0,0,(DATA!C265/DATA!C264))</f>
        <v>1914.3155694879833</v>
      </c>
      <c r="D32" s="7">
        <f>IF(DATA!E264=0,0,(DATA!E265/DATA!E264))</f>
        <v>944.7665330661323</v>
      </c>
      <c r="E32" s="7">
        <f t="shared" si="8"/>
        <v>969.54903642185104</v>
      </c>
      <c r="F32" s="6">
        <f t="shared" si="3"/>
        <v>148431.71206472561</v>
      </c>
      <c r="G32" s="7">
        <f>IF(DATA!D264=0,0,(DATA!D265/DATA!D264))</f>
        <v>154972.20000000001</v>
      </c>
      <c r="H32" s="7">
        <f>IF(DATA!F264=0,0,(DATA!F265/DATA!F264))</f>
        <v>277333.33333333331</v>
      </c>
      <c r="I32" s="7">
        <f t="shared" si="9"/>
        <v>-122361.1333333333</v>
      </c>
      <c r="J32" s="10">
        <f t="shared" si="4"/>
        <v>2389360.8656311007</v>
      </c>
      <c r="K32" s="38">
        <f>(DATA!E264+DATA!F264)/(DATA!C264+DATA!D264)</f>
        <v>1.0436590436590436</v>
      </c>
      <c r="L32" s="35"/>
    </row>
    <row r="33" spans="1:12" x14ac:dyDescent="0.25">
      <c r="A33" s="8">
        <v>32</v>
      </c>
      <c r="B33" s="5">
        <v>256</v>
      </c>
      <c r="C33" s="7">
        <f>IF(DATA!C255=0,0,(DATA!C256/DATA!C255))</f>
        <v>1389.9935856318152</v>
      </c>
      <c r="D33" s="7">
        <f>IF(DATA!E255=0,0,(DATA!E256/DATA!E255))</f>
        <v>2369.4390715667309</v>
      </c>
      <c r="E33" s="7">
        <f t="shared" si="8"/>
        <v>-979.44548593491572</v>
      </c>
      <c r="F33" s="6">
        <f t="shared" si="3"/>
        <v>147452.2665787907</v>
      </c>
      <c r="G33" s="7">
        <f>IF(DATA!D255=0,0,(DATA!D256/DATA!D255))</f>
        <v>35098.454545454544</v>
      </c>
      <c r="H33" s="7">
        <f>IF(DATA!F255=0,0,(DATA!F256/DATA!F255))</f>
        <v>34310.666666666664</v>
      </c>
      <c r="I33" s="7">
        <f t="shared" si="9"/>
        <v>787.78787878787989</v>
      </c>
      <c r="J33" s="10">
        <f t="shared" si="4"/>
        <v>2390148.6535098888</v>
      </c>
      <c r="K33" s="38">
        <f>(DATA!E255+DATA!F255)/(DATA!C255+DATA!D255)</f>
        <v>0.66050955414012735</v>
      </c>
      <c r="L33" s="35"/>
    </row>
    <row r="34" spans="1:12" x14ac:dyDescent="0.25">
      <c r="A34" s="8">
        <v>33</v>
      </c>
      <c r="B34" s="5">
        <v>247</v>
      </c>
      <c r="C34" s="7">
        <f>IF(DATA!C246=0,0,(DATA!C247/DATA!C246))</f>
        <v>1268.0890538033395</v>
      </c>
      <c r="D34" s="7">
        <f>IF(DATA!E246=0,0,(DATA!E247/DATA!E246))</f>
        <v>1443.2314410480349</v>
      </c>
      <c r="E34" s="7">
        <f t="shared" si="8"/>
        <v>-175.14238724469533</v>
      </c>
      <c r="F34" s="6">
        <f t="shared" si="3"/>
        <v>147277.124191546</v>
      </c>
      <c r="G34" s="7">
        <f>IF(DATA!D246=0,0,(DATA!D247/DATA!D246))</f>
        <v>35811</v>
      </c>
      <c r="H34" s="7">
        <f>IF(DATA!F246=0,0,(DATA!F247/DATA!F246))</f>
        <v>37350.333333333336</v>
      </c>
      <c r="I34" s="7">
        <f t="shared" si="9"/>
        <v>-1539.3333333333358</v>
      </c>
      <c r="J34" s="10">
        <f t="shared" si="4"/>
        <v>2388609.3201765553</v>
      </c>
      <c r="K34" s="38">
        <f>(DATA!E246+DATA!F246)/(DATA!C246+DATA!D246)</f>
        <v>0.8513388734995383</v>
      </c>
      <c r="L34" s="35"/>
    </row>
    <row r="35" spans="1:12" x14ac:dyDescent="0.25">
      <c r="A35" s="8">
        <v>34</v>
      </c>
      <c r="B35" s="5">
        <v>238</v>
      </c>
      <c r="C35" s="7">
        <f>IF(DATA!C237=0,0,(DATA!C238/DATA!C237))</f>
        <v>1536.4077669902913</v>
      </c>
      <c r="D35" s="7">
        <f>IF(DATA!E237=0,0,(DATA!E238/DATA!E237))</f>
        <v>1328.4169124877089</v>
      </c>
      <c r="E35" s="7">
        <f t="shared" ref="E35:E51" si="10">C35-D35</f>
        <v>207.99085450258235</v>
      </c>
      <c r="F35" s="6">
        <f t="shared" si="3"/>
        <v>147485.11504604857</v>
      </c>
      <c r="G35" s="7">
        <f>IF(DATA!D237=0,0,(DATA!D238/DATA!D237))</f>
        <v>71700</v>
      </c>
      <c r="H35" s="7">
        <f>IF(DATA!F237=0,0,(DATA!F238/DATA!F237))</f>
        <v>39076.285714285717</v>
      </c>
      <c r="I35" s="7">
        <f t="shared" ref="I35:I51" si="11">G35-H35</f>
        <v>32623.714285714283</v>
      </c>
      <c r="J35" s="10">
        <f t="shared" si="4"/>
        <v>2421233.0344622694</v>
      </c>
      <c r="K35" s="38">
        <f>(DATA!E237+DATA!F237)/(DATA!C237+DATA!D237)</f>
        <v>1.2352231604342581</v>
      </c>
      <c r="L35" s="35"/>
    </row>
    <row r="36" spans="1:12" x14ac:dyDescent="0.25">
      <c r="A36" s="8">
        <v>35</v>
      </c>
      <c r="B36" s="5">
        <v>229</v>
      </c>
      <c r="C36" s="7">
        <f>IF(DATA!C228=0,0,(DATA!C229/DATA!C228))</f>
        <v>1788.8198757763976</v>
      </c>
      <c r="D36" s="7">
        <f>IF(DATA!E228=0,0,(DATA!E229/DATA!E228))</f>
        <v>2514.5754119138151</v>
      </c>
      <c r="E36" s="7">
        <f t="shared" si="10"/>
        <v>-725.75553613741749</v>
      </c>
      <c r="F36" s="6">
        <f t="shared" si="3"/>
        <v>146759.35950991116</v>
      </c>
      <c r="G36" s="7">
        <f>IF(DATA!D228=0,0,(DATA!D229/DATA!D228))</f>
        <v>65880</v>
      </c>
      <c r="H36" s="7">
        <f>IF(DATA!F228=0,0,(DATA!F229/DATA!F228))</f>
        <v>70000</v>
      </c>
      <c r="I36" s="7">
        <f t="shared" si="11"/>
        <v>-4120</v>
      </c>
      <c r="J36" s="10">
        <f t="shared" si="4"/>
        <v>2417113.0344622694</v>
      </c>
      <c r="K36" s="38">
        <f>(DATA!E228+DATA!F228)/(DATA!C228+DATA!D228)</f>
        <v>0.81378600823045266</v>
      </c>
      <c r="L36" s="35"/>
    </row>
    <row r="37" spans="1:12" x14ac:dyDescent="0.25">
      <c r="A37" s="8">
        <v>36</v>
      </c>
      <c r="B37" s="5">
        <v>220</v>
      </c>
      <c r="C37" s="7">
        <f>IF(DATA!C219=0,0,(DATA!C220/DATA!C219))</f>
        <v>2144.3123938879457</v>
      </c>
      <c r="D37" s="7">
        <f>IF(DATA!E219=0,0,(DATA!E220/DATA!E219))</f>
        <v>966.83861459100956</v>
      </c>
      <c r="E37" s="7">
        <f t="shared" si="10"/>
        <v>1177.4737792969363</v>
      </c>
      <c r="F37" s="6">
        <f t="shared" si="3"/>
        <v>147936.83328920809</v>
      </c>
      <c r="G37" s="7">
        <f>IF(DATA!D219=0,0,(DATA!D220/DATA!D219))</f>
        <v>145336.5</v>
      </c>
      <c r="H37" s="7">
        <f>IF(DATA!F219=0,0,(DATA!F220/DATA!F219))</f>
        <v>120530.5</v>
      </c>
      <c r="I37" s="7">
        <f t="shared" si="11"/>
        <v>24806</v>
      </c>
      <c r="J37" s="10">
        <f t="shared" si="4"/>
        <v>2441919.0344622694</v>
      </c>
      <c r="K37" s="38">
        <f>(DATA!E219+DATA!F219)/(DATA!C219+DATA!D219)</f>
        <v>2.2994923857868019</v>
      </c>
      <c r="L37" s="35"/>
    </row>
    <row r="38" spans="1:12" x14ac:dyDescent="0.25">
      <c r="A38" s="8">
        <v>37</v>
      </c>
      <c r="B38" s="5">
        <v>211</v>
      </c>
      <c r="C38" s="7">
        <f>IF(DATA!C210=0,0,(DATA!C211/DATA!C210))</f>
        <v>2197.1631205673757</v>
      </c>
      <c r="D38" s="7">
        <f>IF(DATA!E210=0,0,(DATA!E211/DATA!E210))</f>
        <v>1743.9024390243903</v>
      </c>
      <c r="E38" s="7">
        <f t="shared" si="10"/>
        <v>453.26068154298537</v>
      </c>
      <c r="F38" s="6">
        <f t="shared" si="3"/>
        <v>148390.09397075107</v>
      </c>
      <c r="G38" s="7">
        <f>IF(DATA!D210=0,0,(DATA!D211/DATA!D210))</f>
        <v>183195.5</v>
      </c>
      <c r="H38" s="7">
        <f>IF(DATA!F210=0,0,(DATA!F211/DATA!F210))</f>
        <v>211543.5</v>
      </c>
      <c r="I38" s="7">
        <f t="shared" si="11"/>
        <v>-28348</v>
      </c>
      <c r="J38" s="10">
        <f t="shared" si="4"/>
        <v>2413571.0344622694</v>
      </c>
      <c r="K38" s="38">
        <f>(DATA!E210+DATA!F210)/(DATA!C210+DATA!D210)</f>
        <v>1.5063469675599437</v>
      </c>
      <c r="L38" s="35"/>
    </row>
    <row r="39" spans="1:12" x14ac:dyDescent="0.25">
      <c r="A39" s="8">
        <v>38</v>
      </c>
      <c r="B39" s="5">
        <v>202</v>
      </c>
      <c r="C39" s="7">
        <f>IF(DATA!C201=0,0,(DATA!C202/DATA!C201))</f>
        <v>1453.5452322738386</v>
      </c>
      <c r="D39" s="7">
        <f>IF(DATA!E201=0,0,(DATA!E202/DATA!E201))</f>
        <v>1991.2280701754387</v>
      </c>
      <c r="E39" s="7">
        <f t="shared" si="10"/>
        <v>-537.68283790160012</v>
      </c>
      <c r="F39" s="6">
        <f t="shared" si="3"/>
        <v>147852.41113284946</v>
      </c>
      <c r="G39" s="7">
        <f>IF(DATA!D201=0,0,(DATA!D202/DATA!D201))</f>
        <v>161285.71428571429</v>
      </c>
      <c r="H39" s="7">
        <f>IF(DATA!F201=0,0,(DATA!F202/DATA!F201))</f>
        <v>54898.2</v>
      </c>
      <c r="I39" s="7">
        <f t="shared" si="11"/>
        <v>106387.51428571429</v>
      </c>
      <c r="J39" s="10">
        <f t="shared" si="4"/>
        <v>2519958.5487479838</v>
      </c>
      <c r="K39" s="38">
        <f>(DATA!E201+DATA!F201)/(DATA!C201+DATA!D201)</f>
        <v>1.2496969696969698</v>
      </c>
      <c r="L39" s="35"/>
    </row>
    <row r="40" spans="1:12" x14ac:dyDescent="0.25">
      <c r="A40" s="8">
        <v>39</v>
      </c>
      <c r="B40" s="5">
        <v>193</v>
      </c>
      <c r="C40" s="7">
        <f>IF(DATA!C192=0,0,(DATA!C193/DATA!C192))</f>
        <v>2653.0944625407164</v>
      </c>
      <c r="D40" s="7">
        <f>IF(DATA!E192=0,0,(DATA!E193/DATA!E192))</f>
        <v>1034.282018111255</v>
      </c>
      <c r="E40" s="7">
        <f t="shared" si="10"/>
        <v>1618.8124444294615</v>
      </c>
      <c r="F40" s="6">
        <f t="shared" si="3"/>
        <v>149471.22357727893</v>
      </c>
      <c r="G40" s="7">
        <f>IF(DATA!D192=0,0,(DATA!D193/DATA!D192))</f>
        <v>242200</v>
      </c>
      <c r="H40" s="7">
        <f>IF(DATA!F192=0,0,(DATA!F193/DATA!F192))</f>
        <v>137888.88888888888</v>
      </c>
      <c r="I40" s="7">
        <f t="shared" si="11"/>
        <v>104311.11111111112</v>
      </c>
      <c r="J40" s="10">
        <f t="shared" si="4"/>
        <v>2624269.6598590948</v>
      </c>
      <c r="K40" s="38">
        <f>(DATA!E192+DATA!F192)/(DATA!C192+DATA!D192)</f>
        <v>2.5121163166397413</v>
      </c>
      <c r="L40" s="35"/>
    </row>
    <row r="41" spans="1:12" x14ac:dyDescent="0.25">
      <c r="A41" s="8">
        <v>40</v>
      </c>
      <c r="B41" s="5">
        <v>184</v>
      </c>
      <c r="C41" s="7">
        <f>IF(DATA!C183=0,0,(DATA!C184/DATA!C183))</f>
        <v>8291.6666666666661</v>
      </c>
      <c r="D41" s="7">
        <f>IF(DATA!E183=0,0,(DATA!E184/DATA!E183))</f>
        <v>1656.5579984836997</v>
      </c>
      <c r="E41" s="7">
        <f t="shared" si="10"/>
        <v>6635.1086681829665</v>
      </c>
      <c r="F41" s="6">
        <f t="shared" si="3"/>
        <v>156106.3322454619</v>
      </c>
      <c r="G41" s="7">
        <f>IF(DATA!D183=0,0,(DATA!D184/DATA!D183))</f>
        <v>463510</v>
      </c>
      <c r="H41" s="7">
        <f>IF(DATA!F183=0,0,(DATA!F184/DATA!F183))</f>
        <v>41715.625</v>
      </c>
      <c r="I41" s="7">
        <f t="shared" si="11"/>
        <v>421794.375</v>
      </c>
      <c r="J41" s="10">
        <f t="shared" si="4"/>
        <v>3046064.0348590948</v>
      </c>
      <c r="K41" s="38">
        <f>(DATA!E183+DATA!F183)/(DATA!C183+DATA!D183)</f>
        <v>6.84020618556701</v>
      </c>
      <c r="L41" s="35"/>
    </row>
    <row r="42" spans="1:12" x14ac:dyDescent="0.25">
      <c r="A42" s="8">
        <v>41</v>
      </c>
      <c r="B42" s="5">
        <v>175</v>
      </c>
      <c r="C42" s="7">
        <f>IF(DATA!C174=0,0,(DATA!C175/DATA!C174))</f>
        <v>9039.6158463385345</v>
      </c>
      <c r="D42" s="7">
        <f>IF(DATA!E174=0,0,(DATA!E175/DATA!E174))</f>
        <v>2909.090909090909</v>
      </c>
      <c r="E42" s="7">
        <f t="shared" si="10"/>
        <v>6130.5249372476255</v>
      </c>
      <c r="F42" s="6">
        <f t="shared" si="3"/>
        <v>162236.85718270953</v>
      </c>
      <c r="G42" s="7">
        <f>IF(DATA!D174=0,0,(DATA!D175/DATA!D174))</f>
        <v>193111.11111111112</v>
      </c>
      <c r="H42" s="7">
        <f>IF(DATA!F174=0,0,(DATA!F175/DATA!F174))</f>
        <v>375705.8823529412</v>
      </c>
      <c r="I42" s="7">
        <f t="shared" si="11"/>
        <v>-182594.77124183008</v>
      </c>
      <c r="J42" s="10">
        <f t="shared" si="4"/>
        <v>2863469.2636172646</v>
      </c>
      <c r="K42" s="38">
        <f>(DATA!E174+DATA!F174)/(DATA!C174+DATA!D174)</f>
        <v>1.1959619952494063</v>
      </c>
      <c r="L42" s="35"/>
    </row>
    <row r="43" spans="1:12" x14ac:dyDescent="0.25">
      <c r="A43" s="8">
        <v>42</v>
      </c>
      <c r="B43" s="5">
        <v>166</v>
      </c>
      <c r="C43" s="7">
        <f>IF(DATA!C165=0,0,(DATA!C166/DATA!C165))</f>
        <v>5515.9461374911407</v>
      </c>
      <c r="D43" s="7">
        <f>IF(DATA!E165=0,0,(DATA!E166/DATA!E165))</f>
        <v>3454.1484716157206</v>
      </c>
      <c r="E43" s="7">
        <f t="shared" si="10"/>
        <v>2061.7976658754201</v>
      </c>
      <c r="F43" s="6">
        <f t="shared" si="3"/>
        <v>164298.65484858496</v>
      </c>
      <c r="G43" s="7">
        <f>IF(DATA!D165=0,0,(DATA!D166/DATA!D165))</f>
        <v>310900</v>
      </c>
      <c r="H43" s="7">
        <f>IF(DATA!F165=0,0,(DATA!F166/DATA!F165))</f>
        <v>644000</v>
      </c>
      <c r="I43" s="7">
        <f t="shared" si="11"/>
        <v>-333100</v>
      </c>
      <c r="J43" s="10">
        <f t="shared" si="4"/>
        <v>2530369.2636172646</v>
      </c>
      <c r="K43" s="38">
        <f>(DATA!E165+DATA!F165)/(DATA!C165+DATA!D165)</f>
        <v>0.65306122448979587</v>
      </c>
      <c r="L43" s="35"/>
    </row>
    <row r="44" spans="1:12" x14ac:dyDescent="0.25">
      <c r="A44" s="8">
        <v>43</v>
      </c>
      <c r="B44" s="5">
        <v>157</v>
      </c>
      <c r="C44" s="7">
        <f>IF(DATA!C156=0,0,(DATA!C157/DATA!C156))</f>
        <v>2227.298364354202</v>
      </c>
      <c r="D44" s="7">
        <f>IF(DATA!E156=0,0,(DATA!E157/DATA!E156))</f>
        <v>3406.499080318823</v>
      </c>
      <c r="E44" s="7">
        <f t="shared" si="10"/>
        <v>-1179.2007159646209</v>
      </c>
      <c r="F44" s="6">
        <f t="shared" si="3"/>
        <v>163119.45413262033</v>
      </c>
      <c r="G44" s="7">
        <f>IF(DATA!D156=0,0,(DATA!D157/DATA!D156))</f>
        <v>284111.11111111112</v>
      </c>
      <c r="H44" s="7">
        <f>IF(DATA!F156=0,0,(DATA!F157/DATA!F156))</f>
        <v>95035.4</v>
      </c>
      <c r="I44" s="7">
        <f t="shared" si="11"/>
        <v>189075.71111111113</v>
      </c>
      <c r="J44" s="10">
        <f t="shared" si="4"/>
        <v>2719444.9747283757</v>
      </c>
      <c r="K44" s="38">
        <f>(DATA!E156+DATA!F156)/(DATA!C156+DATA!D156)</f>
        <v>0.92087542087542085</v>
      </c>
      <c r="L44" s="35"/>
    </row>
    <row r="45" spans="1:12" x14ac:dyDescent="0.25">
      <c r="A45" s="8">
        <v>44</v>
      </c>
      <c r="B45" s="5">
        <v>148</v>
      </c>
      <c r="C45" s="7">
        <f>IF(DATA!C147=0,0,(DATA!C148/DATA!C147))</f>
        <v>2450.3891050583657</v>
      </c>
      <c r="D45" s="7">
        <f>IF(DATA!E147=0,0,(DATA!E148/DATA!E147))</f>
        <v>1672.0647773279352</v>
      </c>
      <c r="E45" s="7">
        <f t="shared" si="10"/>
        <v>778.32432773043047</v>
      </c>
      <c r="F45" s="6">
        <f t="shared" si="3"/>
        <v>163897.77846035076</v>
      </c>
      <c r="G45" s="7">
        <f>IF(DATA!D147=0,0,(DATA!D148/DATA!D147))</f>
        <v>193222.22222222222</v>
      </c>
      <c r="H45" s="7">
        <f>IF(DATA!F147=0,0,(DATA!F148/DATA!F147))</f>
        <v>227666.66666666666</v>
      </c>
      <c r="I45" s="7">
        <f t="shared" si="11"/>
        <v>-34444.444444444438</v>
      </c>
      <c r="J45" s="10">
        <f t="shared" si="4"/>
        <v>2685000.5302839312</v>
      </c>
      <c r="K45" s="38">
        <f>(DATA!E147+DATA!F147)/(DATA!C147+DATA!D147)</f>
        <v>1.6730954676952747</v>
      </c>
      <c r="L45" s="35"/>
    </row>
    <row r="46" spans="1:12" x14ac:dyDescent="0.25">
      <c r="A46" s="8">
        <v>45</v>
      </c>
      <c r="B46" s="5">
        <v>139</v>
      </c>
      <c r="C46" s="7">
        <f>IF(DATA!C138=0,0,(DATA!C139/DATA!C138))</f>
        <v>1429.6066252587991</v>
      </c>
      <c r="D46" s="7">
        <f>IF(DATA!E138=0,0,(DATA!E139/DATA!E138))</f>
        <v>1526.0869565217392</v>
      </c>
      <c r="E46" s="7">
        <f t="shared" si="10"/>
        <v>-96.480331262940126</v>
      </c>
      <c r="F46" s="6">
        <f t="shared" si="3"/>
        <v>163801.29812908781</v>
      </c>
      <c r="G46" s="7">
        <f>IF(DATA!D138=0,0,(DATA!D139/DATA!D138))</f>
        <v>104454.54545454546</v>
      </c>
      <c r="H46" s="7">
        <f>IF(DATA!F138=0,0,(DATA!F139/DATA!F138))</f>
        <v>42312.2</v>
      </c>
      <c r="I46" s="7">
        <f t="shared" si="11"/>
        <v>62142.345454545459</v>
      </c>
      <c r="J46" s="10">
        <f t="shared" si="4"/>
        <v>2747142.8757384764</v>
      </c>
      <c r="K46" s="38">
        <f>(DATA!E138+DATA!F138)/(DATA!C138+DATA!D138)</f>
        <v>1.4227226202661207</v>
      </c>
      <c r="L46" s="35"/>
    </row>
    <row r="47" spans="1:12" x14ac:dyDescent="0.25">
      <c r="A47" s="8">
        <v>46</v>
      </c>
      <c r="B47" s="5">
        <v>130</v>
      </c>
      <c r="C47" s="7">
        <f>IF(DATA!C129=0,0,(DATA!C130/DATA!C129))</f>
        <v>1289.4736842105262</v>
      </c>
      <c r="D47" s="7">
        <f>IF(DATA!E129=0,0,(DATA!E130/DATA!E129))</f>
        <v>1986.9524697110903</v>
      </c>
      <c r="E47" s="7">
        <f t="shared" si="10"/>
        <v>-697.47878550056407</v>
      </c>
      <c r="F47" s="6">
        <f t="shared" si="3"/>
        <v>163103.81934358724</v>
      </c>
      <c r="G47" s="7">
        <f>IF(DATA!D129=0,0,(DATA!D130/DATA!D129))</f>
        <v>171000</v>
      </c>
      <c r="H47" s="7">
        <f>IF(DATA!F129=0,0,(DATA!F130/DATA!F129))</f>
        <v>89339.888888888891</v>
      </c>
      <c r="I47" s="7">
        <f t="shared" si="11"/>
        <v>81660.111111111109</v>
      </c>
      <c r="J47" s="10">
        <f t="shared" si="4"/>
        <v>2828802.9868495874</v>
      </c>
      <c r="K47" s="38">
        <f>(DATA!E129+DATA!F129)/(DATA!C129+DATA!D129)</f>
        <v>0.88398692810457513</v>
      </c>
      <c r="L47" s="35"/>
    </row>
    <row r="48" spans="1:12" x14ac:dyDescent="0.25">
      <c r="A48" s="8">
        <v>47</v>
      </c>
      <c r="B48" s="5">
        <v>121</v>
      </c>
      <c r="C48" s="7">
        <f>IF(DATA!C120=0,0,(DATA!C121/DATA!C120))</f>
        <v>1472.2222222222222</v>
      </c>
      <c r="D48" s="7">
        <f>IF(DATA!E120=0,0,(DATA!E121/DATA!E120))</f>
        <v>1798.6577181208054</v>
      </c>
      <c r="E48" s="7">
        <f t="shared" si="10"/>
        <v>-326.43549589858321</v>
      </c>
      <c r="F48" s="6">
        <f t="shared" si="3"/>
        <v>162777.38384768864</v>
      </c>
      <c r="G48" s="7">
        <f>IF(DATA!D120=0,0,(DATA!D121/DATA!D120))</f>
        <v>184500</v>
      </c>
      <c r="H48" s="7">
        <f>IF(DATA!F120=0,0,(DATA!F121/DATA!F120))</f>
        <v>225300</v>
      </c>
      <c r="I48" s="7">
        <f t="shared" si="11"/>
        <v>-40800</v>
      </c>
      <c r="J48" s="10">
        <f t="shared" si="4"/>
        <v>2788002.9868495874</v>
      </c>
      <c r="K48" s="38">
        <f>(DATA!E120+DATA!F120)/(DATA!C120+DATA!D120)</f>
        <v>0.55528255528255532</v>
      </c>
      <c r="L48" s="35"/>
    </row>
    <row r="49" spans="1:12" x14ac:dyDescent="0.25">
      <c r="A49" s="8">
        <v>48</v>
      </c>
      <c r="B49" s="5">
        <v>112</v>
      </c>
      <c r="C49" s="7">
        <f>IF(DATA!C111=0,0,(DATA!C112/DATA!C111))</f>
        <v>1078.7878787878788</v>
      </c>
      <c r="D49" s="7">
        <f>IF(DATA!E111=0,0,(DATA!E112/DATA!E111))</f>
        <v>2008.6299892125135</v>
      </c>
      <c r="E49" s="7">
        <f t="shared" si="10"/>
        <v>-929.84211042463471</v>
      </c>
      <c r="F49" s="6">
        <f t="shared" si="3"/>
        <v>161847.54173726402</v>
      </c>
      <c r="G49" s="7">
        <f>IF(DATA!D111=0,0,(DATA!D112/DATA!D111))</f>
        <v>409333.33333333331</v>
      </c>
      <c r="H49" s="7">
        <f>IF(DATA!F111=0,0,(DATA!F112/DATA!F111))</f>
        <v>368000</v>
      </c>
      <c r="I49" s="7">
        <f t="shared" si="11"/>
        <v>41333.333333333314</v>
      </c>
      <c r="J49" s="10">
        <f t="shared" si="4"/>
        <v>2829336.3201829209</v>
      </c>
      <c r="K49" s="38">
        <f>(DATA!E111+DATA!F111)/(DATA!C111+DATA!D111)</f>
        <v>0.80275624461670969</v>
      </c>
      <c r="L49" s="35"/>
    </row>
    <row r="50" spans="1:12" x14ac:dyDescent="0.25">
      <c r="A50" s="8">
        <v>49</v>
      </c>
      <c r="B50" s="5">
        <v>103</v>
      </c>
      <c r="C50" s="7">
        <f>IF(DATA!C102=0,0,(DATA!C103/DATA!C102))</f>
        <v>1209.1836734693877</v>
      </c>
      <c r="D50" s="7">
        <f>IF(DATA!E102=0,0,(DATA!E103/DATA!E102))</f>
        <v>2636.8477103301384</v>
      </c>
      <c r="E50" s="7">
        <f t="shared" si="10"/>
        <v>-1427.6640368607507</v>
      </c>
      <c r="F50" s="6">
        <f t="shared" si="3"/>
        <v>160419.87770040327</v>
      </c>
      <c r="G50" s="7">
        <f>IF(DATA!D102=0,0,(DATA!D103/DATA!D102))</f>
        <v>104426.25</v>
      </c>
      <c r="H50" s="7">
        <f>IF(DATA!F102=0,0,(DATA!F103/DATA!F102))</f>
        <v>98508.4</v>
      </c>
      <c r="I50" s="7">
        <f t="shared" si="11"/>
        <v>5917.8500000000058</v>
      </c>
      <c r="J50" s="10">
        <f t="shared" si="4"/>
        <v>2835254.170182921</v>
      </c>
      <c r="K50" s="38">
        <f>(DATA!E102+DATA!F102)/(DATA!C102+DATA!D102)</f>
        <v>0.53273137697516926</v>
      </c>
      <c r="L50" s="35"/>
    </row>
    <row r="51" spans="1:12" x14ac:dyDescent="0.25">
      <c r="A51" s="8">
        <v>50</v>
      </c>
      <c r="B51" s="5">
        <v>94</v>
      </c>
      <c r="C51" s="7">
        <f>IF(DATA!C93=0,0,(DATA!C94/DATA!C93))</f>
        <v>1291.9792267743796</v>
      </c>
      <c r="D51" s="7">
        <f>IF(DATA!E93=0,0,(DATA!E94/DATA!E93))</f>
        <v>3623.1101511879051</v>
      </c>
      <c r="E51" s="7">
        <f t="shared" si="10"/>
        <v>-2331.1309244135255</v>
      </c>
      <c r="F51" s="6">
        <f t="shared" si="3"/>
        <v>158088.74677598974</v>
      </c>
      <c r="G51" s="7">
        <f>IF(DATA!D93=0,0,(DATA!D94/DATA!D93))</f>
        <v>94416.666666666672</v>
      </c>
      <c r="H51" s="7">
        <f>IF(DATA!F93=0,0,(DATA!F94/DATA!F93))</f>
        <v>17471</v>
      </c>
      <c r="I51" s="7">
        <f t="shared" si="11"/>
        <v>76945.666666666672</v>
      </c>
      <c r="J51" s="10">
        <f t="shared" si="4"/>
        <v>2912199.8368495875</v>
      </c>
      <c r="K51" s="38">
        <f>(DATA!E93+DATA!F93)/(DATA!C93+DATA!D93)</f>
        <v>0.53123209169054442</v>
      </c>
      <c r="L51" s="35"/>
    </row>
    <row r="52" spans="1:12" x14ac:dyDescent="0.25">
      <c r="A52" s="8">
        <v>51</v>
      </c>
      <c r="B52" s="5">
        <v>85</v>
      </c>
      <c r="C52" s="7">
        <f>IF(DATA!C84=0,0,(DATA!C85/DATA!C84))</f>
        <v>1081.0679611650485</v>
      </c>
      <c r="D52" s="7">
        <f>IF(DATA!E84=0,0,(DATA!E85/DATA!E84))</f>
        <v>2565.3495440729484</v>
      </c>
      <c r="E52" s="7">
        <f t="shared" ref="E52:E61" si="12">C52-D52</f>
        <v>-1484.2815829079</v>
      </c>
      <c r="F52" s="6">
        <f t="shared" si="3"/>
        <v>156604.46519308185</v>
      </c>
      <c r="G52" s="7">
        <f>IF(DATA!D84=0,0,(DATA!D85/DATA!D84))</f>
        <v>190000</v>
      </c>
      <c r="H52" s="7">
        <f>IF(DATA!F84=0,0,(DATA!F85/DATA!F84))</f>
        <v>92746.75</v>
      </c>
      <c r="I52" s="7">
        <f t="shared" ref="I52:I61" si="13">G52-H52</f>
        <v>97253.25</v>
      </c>
      <c r="J52" s="10">
        <f t="shared" si="4"/>
        <v>3009453.0868495875</v>
      </c>
      <c r="K52" s="38">
        <f>(DATA!E84+DATA!F84)/(DATA!C84+DATA!D84)</f>
        <v>0.63829787234042556</v>
      </c>
      <c r="L52" s="35"/>
    </row>
    <row r="53" spans="1:12" x14ac:dyDescent="0.25">
      <c r="A53" s="8">
        <v>52</v>
      </c>
      <c r="B53" s="5">
        <v>76</v>
      </c>
      <c r="C53" s="7">
        <f>IF(DATA!C75=0,0,(DATA!C76/DATA!C75))</f>
        <v>1133.3333333333333</v>
      </c>
      <c r="D53" s="7">
        <f>IF(DATA!E75=0,0,(DATA!E76/DATA!E75))</f>
        <v>1348.5639686684074</v>
      </c>
      <c r="E53" s="7">
        <f t="shared" si="12"/>
        <v>-215.23063533507411</v>
      </c>
      <c r="F53" s="6">
        <f t="shared" si="3"/>
        <v>156389.23455774676</v>
      </c>
      <c r="G53" s="7">
        <f>IF(DATA!D75=0,0,(DATA!D76/DATA!D75))</f>
        <v>85500</v>
      </c>
      <c r="H53" s="7">
        <f>IF(DATA!F75=0,0,(DATA!F76/DATA!F75))</f>
        <v>82129.25</v>
      </c>
      <c r="I53" s="7">
        <f t="shared" si="13"/>
        <v>3370.75</v>
      </c>
      <c r="J53" s="10">
        <f t="shared" si="4"/>
        <v>3012823.8368495875</v>
      </c>
      <c r="K53" s="38">
        <f>(DATA!E75+DATA!F75)/(DATA!C75+DATA!D75)</f>
        <v>0.787321063394683</v>
      </c>
      <c r="L53" s="35"/>
    </row>
    <row r="54" spans="1:12" x14ac:dyDescent="0.25">
      <c r="A54" s="8">
        <v>53</v>
      </c>
      <c r="B54" s="5">
        <v>67</v>
      </c>
      <c r="C54" s="7">
        <f>IF(DATA!C66=0,0,(DATA!C67/DATA!C66))</f>
        <v>1799.7630331753555</v>
      </c>
      <c r="D54" s="7">
        <f>IF(DATA!E66=0,0,(DATA!E67/DATA!E66))</f>
        <v>2093.8673341677095</v>
      </c>
      <c r="E54" s="7">
        <f t="shared" si="12"/>
        <v>-294.10430099235396</v>
      </c>
      <c r="F54" s="6">
        <f t="shared" si="3"/>
        <v>156095.1302567544</v>
      </c>
      <c r="G54" s="7">
        <f>IF(DATA!D66=0,0,(DATA!D67/DATA!D66))</f>
        <v>291000</v>
      </c>
      <c r="H54" s="7">
        <f>IF(DATA!F66=0,0,(DATA!F67/DATA!F66))</f>
        <v>252500</v>
      </c>
      <c r="I54" s="7">
        <f t="shared" si="13"/>
        <v>38500</v>
      </c>
      <c r="J54" s="10">
        <f t="shared" si="4"/>
        <v>3051323.8368495875</v>
      </c>
      <c r="K54" s="38">
        <f>(DATA!E66+DATA!F66)/(DATA!C66+DATA!D66)</f>
        <v>0.94693396226415094</v>
      </c>
      <c r="L54" s="35"/>
    </row>
    <row r="55" spans="1:12" x14ac:dyDescent="0.25">
      <c r="A55" s="8">
        <v>54</v>
      </c>
      <c r="B55" s="5">
        <v>58</v>
      </c>
      <c r="C55" s="7">
        <f>IF(DATA!C57=0,0,(DATA!C58/DATA!C57))</f>
        <v>1850.0527983104541</v>
      </c>
      <c r="D55" s="7">
        <f>IF(DATA!E57=0,0,(DATA!E58/DATA!E57))</f>
        <v>918.73443579766536</v>
      </c>
      <c r="E55" s="7">
        <f t="shared" si="12"/>
        <v>931.31836251278878</v>
      </c>
      <c r="F55" s="6">
        <f t="shared" si="3"/>
        <v>157026.4486192672</v>
      </c>
      <c r="G55" s="7">
        <f>IF(DATA!D57=0,0,(DATA!D58/DATA!D57))</f>
        <v>51614.5625</v>
      </c>
      <c r="H55" s="7">
        <f>IF(DATA!F57=0,0,(DATA!F58/DATA!F57))</f>
        <v>233285.71428571429</v>
      </c>
      <c r="I55" s="7">
        <f t="shared" si="13"/>
        <v>-181671.15178571429</v>
      </c>
      <c r="J55" s="10">
        <f t="shared" si="4"/>
        <v>2869652.6850638734</v>
      </c>
      <c r="K55" s="38">
        <f>(DATA!E57+DATA!F57)/(DATA!C57+DATA!D57)</f>
        <v>1.0747663551401869</v>
      </c>
      <c r="L55" s="35"/>
    </row>
    <row r="56" spans="1:12" x14ac:dyDescent="0.25">
      <c r="A56" s="8">
        <v>55</v>
      </c>
      <c r="B56" s="5">
        <v>49</v>
      </c>
      <c r="C56" s="7">
        <f>IF(DATA!C48=0,0,(DATA!C49/DATA!C48))</f>
        <v>1258.6520947176684</v>
      </c>
      <c r="D56" s="7">
        <f>IF(DATA!E48=0,0,(DATA!E49/DATA!E48))</f>
        <v>941.54818325434439</v>
      </c>
      <c r="E56" s="7">
        <f t="shared" si="12"/>
        <v>317.10391146332404</v>
      </c>
      <c r="F56" s="6">
        <f t="shared" si="3"/>
        <v>157343.55253073052</v>
      </c>
      <c r="G56" s="7">
        <f>IF(DATA!D48=0,0,(DATA!D49/DATA!D48))</f>
        <v>25258.5</v>
      </c>
      <c r="H56" s="7">
        <f>IF(DATA!F48=0,0,(DATA!F49/DATA!F48))</f>
        <v>48024.4</v>
      </c>
      <c r="I56" s="7">
        <f t="shared" si="13"/>
        <v>-22765.9</v>
      </c>
      <c r="J56" s="10">
        <f t="shared" si="4"/>
        <v>2846886.7850638735</v>
      </c>
      <c r="K56" s="38">
        <f>(DATA!E48+DATA!F48)/(DATA!C48+DATA!D48)</f>
        <v>1.1554545454545455</v>
      </c>
      <c r="L56" s="35"/>
    </row>
    <row r="57" spans="1:12" x14ac:dyDescent="0.25">
      <c r="A57" s="8">
        <v>56</v>
      </c>
      <c r="B57" s="5">
        <v>40</v>
      </c>
      <c r="C57" s="7">
        <f>IF(DATA!C39=0,0,(DATA!C40/DATA!C39))</f>
        <v>1397.3154362416108</v>
      </c>
      <c r="D57" s="7">
        <f>IF(DATA!E39=0,0,(DATA!E40/DATA!E39))</f>
        <v>1866.2576687116564</v>
      </c>
      <c r="E57" s="7">
        <f t="shared" si="12"/>
        <v>-468.94223247004561</v>
      </c>
      <c r="F57" s="6">
        <f t="shared" si="3"/>
        <v>156874.61029826046</v>
      </c>
      <c r="G57" s="7">
        <f>IF(DATA!D39=0,0,(DATA!D40/DATA!D39))</f>
        <v>225714.28571428571</v>
      </c>
      <c r="H57" s="7">
        <f>IF(DATA!F39=0,0,(DATA!F40/DATA!F39))</f>
        <v>155274.5</v>
      </c>
      <c r="I57" s="7">
        <f t="shared" si="13"/>
        <v>70439.78571428571</v>
      </c>
      <c r="J57" s="10">
        <f t="shared" si="4"/>
        <v>2917326.5707781594</v>
      </c>
      <c r="K57" s="38">
        <f>(DATA!E39+DATA!F39)/(DATA!C39+DATA!D39)</f>
        <v>1.0915163660654643</v>
      </c>
      <c r="L57" s="35"/>
    </row>
    <row r="58" spans="1:12" x14ac:dyDescent="0.25">
      <c r="A58" s="8">
        <v>57</v>
      </c>
      <c r="B58" s="5">
        <v>31</v>
      </c>
      <c r="C58" s="7">
        <f>IF(DATA!C30=0,0,(DATA!C31/DATA!C30))</f>
        <v>447.24974619289338</v>
      </c>
      <c r="D58" s="7">
        <f>IF(DATA!E30=0,0,(DATA!E31/DATA!E30))</f>
        <v>105791.57142857143</v>
      </c>
      <c r="E58" s="7">
        <f t="shared" si="12"/>
        <v>-105344.32168237855</v>
      </c>
      <c r="F58" s="6">
        <f t="shared" si="3"/>
        <v>51530.288615881916</v>
      </c>
      <c r="G58" s="7">
        <f>IF(DATA!D30=0,0,(DATA!D31/DATA!D30))</f>
        <v>100000</v>
      </c>
      <c r="H58" s="7">
        <f>IF(DATA!F30=0,0,(DATA!F31/DATA!F30))</f>
        <v>0</v>
      </c>
      <c r="I58" s="7">
        <f t="shared" si="13"/>
        <v>100000</v>
      </c>
      <c r="J58" s="10">
        <f t="shared" si="4"/>
        <v>3017326.5707781594</v>
      </c>
      <c r="K58" s="38">
        <f>(DATA!E30+DATA!F30)/(DATA!C30+DATA!D30)</f>
        <v>7.0850202429149798E-3</v>
      </c>
      <c r="L58" s="35"/>
    </row>
    <row r="59" spans="1:12" x14ac:dyDescent="0.25">
      <c r="A59" s="8">
        <v>58</v>
      </c>
      <c r="B59" s="5">
        <v>22</v>
      </c>
      <c r="C59" s="7">
        <f>IF(DATA!C21=0,0,(DATA!C22/DATA!C21))</f>
        <v>669.18656716417911</v>
      </c>
      <c r="D59" s="7">
        <f>IF(DATA!E21=0,0,(DATA!E22/DATA!E21))</f>
        <v>26152.17391304348</v>
      </c>
      <c r="E59" s="7">
        <f t="shared" si="12"/>
        <v>-25482.987345879301</v>
      </c>
      <c r="F59" s="6">
        <f t="shared" si="3"/>
        <v>26047.301270002616</v>
      </c>
      <c r="G59" s="7">
        <f>IF(DATA!D21=0,0,(DATA!D22/DATA!D21))</f>
        <v>313750</v>
      </c>
      <c r="H59" s="7">
        <f>IF(DATA!F21=0,0,(DATA!F22/DATA!F21))</f>
        <v>53654.545454545456</v>
      </c>
      <c r="I59" s="7">
        <f t="shared" si="13"/>
        <v>260095.45454545453</v>
      </c>
      <c r="J59" s="10">
        <f t="shared" si="4"/>
        <v>3277422.025323614</v>
      </c>
      <c r="K59" s="38">
        <f>(DATA!E21+DATA!F21)/(DATA!C21+DATA!D21)</f>
        <v>7.0544554455445538E-2</v>
      </c>
      <c r="L59" s="35"/>
    </row>
    <row r="60" spans="1:12" x14ac:dyDescent="0.25">
      <c r="A60" s="8">
        <v>59</v>
      </c>
      <c r="B60" s="5">
        <v>13</v>
      </c>
      <c r="C60" s="7">
        <f>IF(DATA!C12=0,0,(DATA!C13/DATA!C12))</f>
        <v>1502.739148756848</v>
      </c>
      <c r="D60" s="7">
        <f>IF(DATA!E12=0,0,(DATA!E13/DATA!E12))</f>
        <v>2763.1975867269985</v>
      </c>
      <c r="E60" s="7">
        <f t="shared" si="12"/>
        <v>-1260.4584379701505</v>
      </c>
      <c r="F60" s="6">
        <f t="shared" si="3"/>
        <v>24786.842832032464</v>
      </c>
      <c r="G60" s="7">
        <f>IF(DATA!D12=0,0,(DATA!D13/DATA!D12))</f>
        <v>230222.22222222222</v>
      </c>
      <c r="H60" s="7">
        <f>IF(DATA!F12=0,0,(DATA!F13/DATA!F12))</f>
        <v>85826.086956521744</v>
      </c>
      <c r="I60" s="7">
        <f t="shared" si="13"/>
        <v>144396.13526570046</v>
      </c>
      <c r="J60" s="10">
        <f t="shared" si="4"/>
        <v>3421818.1605893145</v>
      </c>
      <c r="K60" s="38">
        <f>(DATA!E12+DATA!F12)/(DATA!C12+DATA!D12)</f>
        <v>0.56633081444164568</v>
      </c>
      <c r="L60" s="35"/>
    </row>
    <row r="61" spans="1:12" x14ac:dyDescent="0.25">
      <c r="A61" s="8">
        <v>60</v>
      </c>
      <c r="B61" s="5">
        <v>4</v>
      </c>
      <c r="C61" s="7">
        <f>IF(DATA!C3=0,0,(DATA!C4/DATA!C3))</f>
        <v>853.10588235294119</v>
      </c>
      <c r="D61" s="7">
        <f>IF(DATA!E3=0,0,(DATA!E4/DATA!E3))</f>
        <v>5795.160305343511</v>
      </c>
      <c r="E61" s="7">
        <f t="shared" si="12"/>
        <v>-4942.0544229905699</v>
      </c>
      <c r="F61" s="6">
        <f t="shared" si="3"/>
        <v>19844.788409041896</v>
      </c>
      <c r="G61" s="7">
        <f>IF(DATA!D3=0,0,(DATA!D4/DATA!D3))</f>
        <v>208339.33333333334</v>
      </c>
      <c r="H61" s="7">
        <f>IF(DATA!F3=0,0,(DATA!F4/DATA!F3))</f>
        <v>57752.428571428572</v>
      </c>
      <c r="I61" s="7">
        <f t="shared" si="13"/>
        <v>150586.90476190476</v>
      </c>
      <c r="J61" s="10">
        <f t="shared" si="4"/>
        <v>3572405.0653512194</v>
      </c>
      <c r="K61" s="38">
        <f>(DATA!E3+DATA!F3)/(DATA!C3+DATA!D3)</f>
        <v>0.13086642599277978</v>
      </c>
      <c r="L61" s="3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5"/>
  <dimension ref="A1:CO62"/>
  <sheetViews>
    <sheetView tabSelected="1" zoomScale="70" zoomScaleNormal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BA22" sqref="BA22"/>
    </sheetView>
  </sheetViews>
  <sheetFormatPr defaultRowHeight="15" x14ac:dyDescent="0.25"/>
  <cols>
    <col min="1" max="1" width="9.140625" style="25"/>
    <col min="2" max="8" width="13.7109375" style="25" customWidth="1"/>
    <col min="9" max="10" width="18.5703125" style="26" customWidth="1"/>
    <col min="11" max="12" width="18.5703125" style="30" customWidth="1"/>
    <col min="13" max="14" width="15.85546875" style="29" customWidth="1"/>
    <col min="15" max="15" width="13.7109375" style="25" customWidth="1"/>
    <col min="16" max="17" width="16.140625" style="10" customWidth="1"/>
    <col min="18" max="18" width="16.140625" style="38" customWidth="1"/>
    <col min="19" max="19" width="19" style="38" customWidth="1"/>
    <col min="20" max="22" width="16.140625" style="38" customWidth="1"/>
    <col min="23" max="23" width="16.140625" style="10" customWidth="1"/>
    <col min="24" max="24" width="17.42578125" style="26" customWidth="1"/>
    <col min="25" max="25" width="16.85546875" style="26" customWidth="1"/>
    <col min="26" max="26" width="21.140625" style="26" customWidth="1"/>
    <col min="27" max="27" width="21.5703125" style="26" customWidth="1"/>
    <col min="28" max="34" width="17.85546875" style="25" customWidth="1"/>
    <col min="35" max="35" width="22.140625" style="25" customWidth="1"/>
    <col min="36" max="37" width="22.28515625" style="25" customWidth="1"/>
    <col min="38" max="39" width="17.85546875" style="25" customWidth="1"/>
    <col min="40" max="40" width="24" style="25" customWidth="1"/>
    <col min="41" max="45" width="30.140625" style="25" customWidth="1"/>
    <col min="46" max="52" width="17.85546875" style="25" customWidth="1"/>
    <col min="53" max="54" width="21.5703125" style="25" customWidth="1"/>
    <col min="55" max="55" width="25" style="25" customWidth="1"/>
    <col min="56" max="56" width="21.5703125" style="25" customWidth="1"/>
    <col min="57" max="59" width="11.85546875" style="31" customWidth="1"/>
    <col min="60" max="62" width="14.5703125" style="33" customWidth="1"/>
    <col min="63" max="65" width="14.5703125" style="25" customWidth="1"/>
    <col min="66" max="68" width="14.140625" style="33" customWidth="1"/>
    <col min="69" max="69" width="16.140625" style="38" customWidth="1"/>
    <col min="70" max="70" width="26.5703125" style="38" customWidth="1"/>
    <col min="71" max="71" width="27.42578125" style="38" customWidth="1"/>
    <col min="72" max="72" width="33" style="37" customWidth="1"/>
    <col min="73" max="73" width="15.85546875" style="38" customWidth="1"/>
    <col min="74" max="74" width="18.28515625" style="38" customWidth="1"/>
    <col min="75" max="75" width="14.5703125" style="38" customWidth="1"/>
    <col min="76" max="78" width="20.28515625" style="38" customWidth="1"/>
    <col min="79" max="79" width="15" style="38" customWidth="1"/>
    <col min="80" max="86" width="13.5703125" style="36" customWidth="1"/>
    <col min="87" max="90" width="9.140625" style="36"/>
    <col min="91" max="91" width="16.85546875" style="36" customWidth="1"/>
    <col min="92" max="92" width="14" style="36" customWidth="1"/>
    <col min="93" max="93" width="13.42578125" style="36" customWidth="1"/>
    <col min="94" max="16384" width="9.140625" style="25"/>
  </cols>
  <sheetData>
    <row r="1" spans="1:93" s="45" customFormat="1" x14ac:dyDescent="0.25">
      <c r="E1" s="123" t="s">
        <v>327</v>
      </c>
      <c r="F1" s="123"/>
      <c r="G1" s="123"/>
      <c r="H1" s="123"/>
      <c r="I1" s="123" t="s">
        <v>350</v>
      </c>
      <c r="J1" s="123"/>
      <c r="K1" s="123"/>
      <c r="L1" s="123"/>
      <c r="M1" s="123" t="s">
        <v>333</v>
      </c>
      <c r="N1" s="123"/>
      <c r="O1" s="123" t="s">
        <v>326</v>
      </c>
      <c r="P1" s="123"/>
      <c r="Q1" s="123"/>
      <c r="R1" s="123" t="s">
        <v>472</v>
      </c>
      <c r="S1" s="123"/>
      <c r="T1" s="123"/>
      <c r="U1" s="123"/>
      <c r="V1" s="123"/>
      <c r="W1" s="122" t="s">
        <v>349</v>
      </c>
      <c r="X1" s="122"/>
      <c r="Y1" s="122"/>
      <c r="Z1" s="122"/>
      <c r="AA1" s="122"/>
      <c r="AB1" s="122"/>
      <c r="AC1" s="122" t="s">
        <v>462</v>
      </c>
      <c r="AD1" s="122"/>
      <c r="AE1" s="122" t="s">
        <v>453</v>
      </c>
      <c r="AF1" s="122"/>
      <c r="AG1" s="122"/>
      <c r="AH1" s="122"/>
      <c r="AI1" s="122"/>
      <c r="AJ1" s="122"/>
      <c r="AK1" s="122"/>
      <c r="AL1" s="122" t="s">
        <v>433</v>
      </c>
      <c r="AM1" s="122"/>
      <c r="AN1" s="122"/>
      <c r="AO1" s="122"/>
      <c r="AP1" s="122"/>
      <c r="AQ1" s="122"/>
      <c r="AR1" s="122"/>
      <c r="AS1" s="122"/>
      <c r="AT1" s="122" t="s">
        <v>415</v>
      </c>
      <c r="AU1" s="122"/>
      <c r="AV1" s="122"/>
      <c r="AW1" s="122"/>
      <c r="AX1" s="122"/>
      <c r="AY1" s="122"/>
      <c r="AZ1" s="122" t="s">
        <v>422</v>
      </c>
      <c r="BA1" s="122"/>
      <c r="BB1" s="122"/>
      <c r="BC1" s="122" t="s">
        <v>434</v>
      </c>
      <c r="BD1" s="122"/>
      <c r="BE1" s="123" t="s">
        <v>360</v>
      </c>
      <c r="BF1" s="123"/>
      <c r="BG1" s="123"/>
      <c r="BH1" s="124" t="s">
        <v>337</v>
      </c>
      <c r="BI1" s="124"/>
      <c r="BJ1" s="124"/>
      <c r="BK1" s="123" t="s">
        <v>341</v>
      </c>
      <c r="BL1" s="123"/>
      <c r="BM1" s="123"/>
      <c r="BN1" s="123" t="s">
        <v>437</v>
      </c>
      <c r="BO1" s="123"/>
      <c r="BP1" s="123"/>
      <c r="BQ1" s="122" t="s">
        <v>439</v>
      </c>
      <c r="BR1" s="122"/>
      <c r="BS1" s="122"/>
      <c r="BT1" s="122"/>
      <c r="BU1" s="121" t="s">
        <v>443</v>
      </c>
      <c r="BV1" s="121"/>
      <c r="BW1" s="121"/>
      <c r="BX1" s="121"/>
      <c r="BY1" s="121"/>
      <c r="BZ1" s="121"/>
      <c r="CA1" s="121"/>
      <c r="CB1" s="121"/>
      <c r="CC1" s="121"/>
      <c r="CD1" s="121"/>
      <c r="CE1" s="121"/>
      <c r="CF1" s="121"/>
      <c r="CG1" s="121"/>
      <c r="CH1" s="121"/>
      <c r="CI1" s="121"/>
      <c r="CJ1" s="121"/>
      <c r="CK1" s="121"/>
      <c r="CL1" s="121"/>
      <c r="CM1" s="121"/>
      <c r="CN1" s="121"/>
      <c r="CO1" s="121"/>
    </row>
    <row r="2" spans="1:93" s="41" customFormat="1" x14ac:dyDescent="0.25">
      <c r="B2" s="42" t="s">
        <v>315</v>
      </c>
      <c r="C2" s="42" t="s">
        <v>317</v>
      </c>
      <c r="D2" s="42" t="s">
        <v>318</v>
      </c>
      <c r="E2" s="101" t="s">
        <v>330</v>
      </c>
      <c r="F2" s="101" t="s">
        <v>331</v>
      </c>
      <c r="G2" s="101" t="s">
        <v>332</v>
      </c>
      <c r="H2" s="101" t="s">
        <v>464</v>
      </c>
      <c r="I2" s="102" t="s">
        <v>328</v>
      </c>
      <c r="J2" s="101" t="s">
        <v>329</v>
      </c>
      <c r="K2" s="101" t="s">
        <v>334</v>
      </c>
      <c r="L2" s="101" t="s">
        <v>335</v>
      </c>
      <c r="M2" s="102" t="s">
        <v>320</v>
      </c>
      <c r="N2" s="102" t="s">
        <v>319</v>
      </c>
      <c r="O2" s="101" t="s">
        <v>316</v>
      </c>
      <c r="P2" s="102" t="s">
        <v>320</v>
      </c>
      <c r="Q2" s="102" t="s">
        <v>319</v>
      </c>
      <c r="R2" s="102" t="s">
        <v>467</v>
      </c>
      <c r="S2" s="102" t="s">
        <v>468</v>
      </c>
      <c r="T2" s="102" t="s">
        <v>469</v>
      </c>
      <c r="U2" s="102" t="s">
        <v>470</v>
      </c>
      <c r="V2" s="102" t="s">
        <v>471</v>
      </c>
      <c r="W2" s="102" t="s">
        <v>321</v>
      </c>
      <c r="X2" s="101" t="s">
        <v>322</v>
      </c>
      <c r="Y2" s="101" t="s">
        <v>323</v>
      </c>
      <c r="Z2" s="102" t="s">
        <v>324</v>
      </c>
      <c r="AA2" s="102" t="s">
        <v>325</v>
      </c>
      <c r="AB2" s="102" t="s">
        <v>363</v>
      </c>
      <c r="AC2" s="102" t="s">
        <v>462</v>
      </c>
      <c r="AD2" s="102" t="s">
        <v>463</v>
      </c>
      <c r="AE2" s="102" t="s">
        <v>455</v>
      </c>
      <c r="AF2" s="102" t="s">
        <v>456</v>
      </c>
      <c r="AG2" s="102" t="s">
        <v>457</v>
      </c>
      <c r="AH2" s="102" t="s">
        <v>458</v>
      </c>
      <c r="AI2" s="102" t="s">
        <v>459</v>
      </c>
      <c r="AJ2" s="102" t="s">
        <v>460</v>
      </c>
      <c r="AK2" s="102" t="s">
        <v>454</v>
      </c>
      <c r="AL2" s="102" t="s">
        <v>425</v>
      </c>
      <c r="AM2" s="102" t="s">
        <v>426</v>
      </c>
      <c r="AN2" s="102" t="s">
        <v>427</v>
      </c>
      <c r="AO2" s="102" t="s">
        <v>428</v>
      </c>
      <c r="AP2" s="102" t="s">
        <v>429</v>
      </c>
      <c r="AQ2" s="102" t="s">
        <v>430</v>
      </c>
      <c r="AR2" s="102" t="s">
        <v>431</v>
      </c>
      <c r="AS2" s="102" t="s">
        <v>432</v>
      </c>
      <c r="AT2" s="102" t="s">
        <v>416</v>
      </c>
      <c r="AU2" s="102" t="s">
        <v>417</v>
      </c>
      <c r="AV2" s="102" t="s">
        <v>418</v>
      </c>
      <c r="AW2" s="102" t="s">
        <v>419</v>
      </c>
      <c r="AX2" s="102" t="s">
        <v>420</v>
      </c>
      <c r="AY2" s="102" t="s">
        <v>421</v>
      </c>
      <c r="AZ2" s="102" t="s">
        <v>331</v>
      </c>
      <c r="BA2" s="102" t="s">
        <v>423</v>
      </c>
      <c r="BB2" s="102" t="s">
        <v>424</v>
      </c>
      <c r="BC2" s="102" t="s">
        <v>435</v>
      </c>
      <c r="BD2" s="102" t="s">
        <v>436</v>
      </c>
      <c r="BE2" s="102" t="s">
        <v>320</v>
      </c>
      <c r="BF2" s="102" t="s">
        <v>319</v>
      </c>
      <c r="BG2" s="101" t="s">
        <v>336</v>
      </c>
      <c r="BH2" s="101" t="s">
        <v>338</v>
      </c>
      <c r="BI2" s="101" t="s">
        <v>339</v>
      </c>
      <c r="BJ2" s="101" t="s">
        <v>340</v>
      </c>
      <c r="BK2" s="101" t="s">
        <v>338</v>
      </c>
      <c r="BL2" s="101" t="s">
        <v>339</v>
      </c>
      <c r="BM2" s="101" t="s">
        <v>342</v>
      </c>
      <c r="BN2" s="101" t="s">
        <v>338</v>
      </c>
      <c r="BO2" s="101" t="s">
        <v>339</v>
      </c>
      <c r="BP2" s="101" t="s">
        <v>438</v>
      </c>
      <c r="BQ2" s="102" t="s">
        <v>425</v>
      </c>
      <c r="BR2" s="102" t="s">
        <v>440</v>
      </c>
      <c r="BS2" s="102" t="s">
        <v>441</v>
      </c>
      <c r="BT2" s="101" t="s">
        <v>442</v>
      </c>
      <c r="BU2" s="121" t="s">
        <v>444</v>
      </c>
      <c r="BV2" s="121"/>
      <c r="BW2" s="121"/>
      <c r="BX2" s="121"/>
      <c r="BY2" s="121"/>
      <c r="BZ2" s="121"/>
      <c r="CA2" s="121"/>
      <c r="CB2" s="121" t="s">
        <v>449</v>
      </c>
      <c r="CC2" s="121"/>
      <c r="CD2" s="121"/>
      <c r="CE2" s="121"/>
      <c r="CF2" s="121"/>
      <c r="CG2" s="121"/>
      <c r="CH2" s="121"/>
      <c r="CI2" s="121" t="s">
        <v>450</v>
      </c>
      <c r="CJ2" s="121"/>
      <c r="CK2" s="121"/>
      <c r="CL2" s="121"/>
      <c r="CM2" s="121"/>
      <c r="CN2" s="121"/>
      <c r="CO2" s="121"/>
    </row>
    <row r="3" spans="1:93" s="8" customFormat="1" x14ac:dyDescent="0.25">
      <c r="A3" s="8">
        <v>1</v>
      </c>
      <c r="B3" s="9">
        <f>DATA!H2</f>
        <v>44993</v>
      </c>
      <c r="C3" s="10">
        <f>DATA!C535+DATA!D535</f>
        <v>4719000</v>
      </c>
      <c r="D3" s="10">
        <f>B3*C3</f>
        <v>212321967000</v>
      </c>
      <c r="E3" s="10"/>
      <c r="F3" s="10"/>
      <c r="G3" s="10"/>
      <c r="H3" s="38"/>
      <c r="I3" s="10"/>
      <c r="J3" s="9"/>
      <c r="K3" s="9"/>
      <c r="L3" s="9"/>
      <c r="M3" s="9"/>
      <c r="N3" s="9"/>
      <c r="O3" s="9"/>
      <c r="P3" s="10"/>
      <c r="Q3" s="10"/>
      <c r="R3" s="38"/>
      <c r="S3" s="38"/>
      <c r="T3" s="38"/>
      <c r="U3" s="38"/>
      <c r="V3" s="38"/>
      <c r="W3" s="10"/>
      <c r="X3" s="27"/>
      <c r="Y3" s="10"/>
      <c r="Z3" s="10"/>
      <c r="AA3" s="10"/>
      <c r="AB3" s="10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9"/>
      <c r="BF3" s="9"/>
      <c r="BG3" s="32"/>
      <c r="BH3" s="34"/>
      <c r="BI3" s="9"/>
      <c r="BJ3" s="9"/>
      <c r="BN3" s="37"/>
      <c r="BO3" s="37"/>
      <c r="BP3" s="37"/>
      <c r="BQ3" s="38"/>
      <c r="BR3" s="38"/>
      <c r="BS3" s="38"/>
      <c r="BT3" s="37"/>
      <c r="BU3" s="38" t="s">
        <v>447</v>
      </c>
      <c r="BV3" s="38" t="s">
        <v>446</v>
      </c>
      <c r="BW3" s="38" t="s">
        <v>445</v>
      </c>
      <c r="BX3" s="38" t="s">
        <v>448</v>
      </c>
      <c r="BY3" s="38" t="s">
        <v>452</v>
      </c>
      <c r="BZ3" s="38" t="s">
        <v>451</v>
      </c>
      <c r="CA3" s="38" t="s">
        <v>444</v>
      </c>
      <c r="CB3" s="38" t="s">
        <v>447</v>
      </c>
      <c r="CC3" s="38" t="s">
        <v>446</v>
      </c>
      <c r="CD3" s="38" t="s">
        <v>445</v>
      </c>
      <c r="CE3" s="38" t="s">
        <v>448</v>
      </c>
      <c r="CF3" s="38" t="s">
        <v>452</v>
      </c>
      <c r="CG3" s="38" t="s">
        <v>451</v>
      </c>
      <c r="CH3" s="38" t="s">
        <v>449</v>
      </c>
      <c r="CI3" s="38" t="s">
        <v>447</v>
      </c>
      <c r="CJ3" s="38" t="s">
        <v>446</v>
      </c>
      <c r="CK3" s="38" t="s">
        <v>445</v>
      </c>
      <c r="CL3" s="38" t="s">
        <v>448</v>
      </c>
      <c r="CM3" s="38" t="s">
        <v>452</v>
      </c>
      <c r="CN3" s="38" t="s">
        <v>451</v>
      </c>
      <c r="CO3" s="38" t="s">
        <v>450</v>
      </c>
    </row>
    <row r="4" spans="1:93" s="8" customFormat="1" x14ac:dyDescent="0.25">
      <c r="A4" s="8">
        <v>2</v>
      </c>
      <c r="B4" s="9">
        <f>DATA!H3</f>
        <v>45474</v>
      </c>
      <c r="C4" s="10">
        <f>DATA!C526+DATA!D526</f>
        <v>4284116</v>
      </c>
      <c r="D4" s="10">
        <f t="shared" ref="D4:D62" si="0">B4*C4</f>
        <v>194815890984</v>
      </c>
      <c r="E4" s="10"/>
      <c r="F4" s="10"/>
      <c r="G4" s="10"/>
      <c r="H4" s="38"/>
      <c r="I4" s="10"/>
      <c r="J4" s="9"/>
      <c r="K4" s="9"/>
      <c r="L4" s="9"/>
      <c r="M4" s="9"/>
      <c r="N4" s="9"/>
      <c r="O4" s="9"/>
      <c r="P4" s="10"/>
      <c r="Q4" s="10"/>
      <c r="R4" s="38"/>
      <c r="S4" s="38"/>
      <c r="T4" s="38"/>
      <c r="U4" s="38"/>
      <c r="V4" s="38"/>
      <c r="W4" s="10">
        <f t="shared" ref="W4:W35" si="1">(B4-B3)/B3</f>
        <v>1.069055186362323E-2</v>
      </c>
      <c r="X4" s="27">
        <f>IF(W4&gt;=0,W4,0)</f>
        <v>1.069055186362323E-2</v>
      </c>
      <c r="Y4" s="27">
        <f>IF(W4&lt;0,ABS(W4),0)</f>
        <v>0</v>
      </c>
      <c r="Z4" s="10"/>
      <c r="AA4" s="10"/>
      <c r="AB4" s="10"/>
      <c r="AC4" s="38"/>
      <c r="AD4" s="38"/>
      <c r="AE4" s="38"/>
      <c r="AF4" s="38"/>
      <c r="AG4" s="38"/>
      <c r="AH4" s="38"/>
      <c r="AI4" s="38"/>
      <c r="AJ4" s="38"/>
      <c r="AK4" s="38"/>
      <c r="AL4" s="38">
        <f t="shared" ref="AL4:AL35" si="2">B4-B3</f>
        <v>481</v>
      </c>
      <c r="AM4" s="38"/>
      <c r="AN4" s="38"/>
      <c r="AO4" s="38">
        <f>ABS(AL4)</f>
        <v>481</v>
      </c>
      <c r="AP4" s="38"/>
      <c r="AQ4" s="38"/>
      <c r="AR4" s="38"/>
      <c r="AS4" s="38"/>
      <c r="AT4" s="38">
        <f t="shared" ref="AT4:AT35" si="3">IF(W4&gt;=0,D4,0)</f>
        <v>194815890984</v>
      </c>
      <c r="AU4" s="38">
        <f t="shared" ref="AU4:AU35" si="4">IF(W4&lt;0,D4,0)</f>
        <v>0</v>
      </c>
      <c r="AV4" s="38"/>
      <c r="AW4" s="38"/>
      <c r="AX4" s="38"/>
      <c r="AY4" s="38"/>
      <c r="AZ4" s="38"/>
      <c r="BA4" s="38"/>
      <c r="BB4" s="38"/>
      <c r="BC4" s="38">
        <f t="shared" ref="BC4:BC35" si="5">(B4-B3)*C4</f>
        <v>2060659796</v>
      </c>
      <c r="BD4" s="38"/>
      <c r="BE4" s="9"/>
      <c r="BF4" s="9"/>
      <c r="BG4" s="32"/>
      <c r="BH4" s="34"/>
      <c r="BI4" s="9"/>
      <c r="BJ4" s="9"/>
      <c r="BN4" s="37"/>
      <c r="BO4" s="37"/>
      <c r="BP4" s="37"/>
      <c r="BQ4" s="38">
        <f t="shared" ref="BQ4:BQ35" si="6">B4-B3</f>
        <v>481</v>
      </c>
      <c r="BR4" s="38">
        <f>IF(BQ4&gt;=0,BQ4,0)</f>
        <v>481</v>
      </c>
      <c r="BS4" s="38">
        <f>IF(BQ4&lt;0,ABS(BQ4),0)</f>
        <v>0</v>
      </c>
      <c r="BT4" s="37"/>
      <c r="BU4" s="38"/>
      <c r="BV4" s="38"/>
      <c r="BW4" s="38"/>
      <c r="BX4" s="38"/>
      <c r="BY4" s="38"/>
      <c r="BZ4" s="38"/>
      <c r="CA4" s="38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</row>
    <row r="5" spans="1:93" s="8" customFormat="1" x14ac:dyDescent="0.25">
      <c r="A5" s="8">
        <v>3</v>
      </c>
      <c r="B5" s="9">
        <f>DATA!H4</f>
        <v>44514</v>
      </c>
      <c r="C5" s="10">
        <f>DATA!C517+DATA!D517</f>
        <v>4306000</v>
      </c>
      <c r="D5" s="10">
        <f t="shared" si="0"/>
        <v>191677284000</v>
      </c>
      <c r="E5" s="10"/>
      <c r="F5" s="10"/>
      <c r="G5" s="10"/>
      <c r="H5" s="38"/>
      <c r="I5" s="10"/>
      <c r="J5" s="9"/>
      <c r="K5" s="9"/>
      <c r="L5" s="9"/>
      <c r="M5" s="9"/>
      <c r="N5" s="9"/>
      <c r="O5" s="9"/>
      <c r="P5" s="10"/>
      <c r="Q5" s="10"/>
      <c r="R5" s="38"/>
      <c r="S5" s="38"/>
      <c r="T5" s="38"/>
      <c r="U5" s="38"/>
      <c r="V5" s="38"/>
      <c r="W5" s="10">
        <f t="shared" si="1"/>
        <v>-2.1110964507190921E-2</v>
      </c>
      <c r="X5" s="27">
        <f t="shared" ref="X5:X62" si="7">IF(W5&gt;=0,W5,0)</f>
        <v>0</v>
      </c>
      <c r="Y5" s="27">
        <f t="shared" ref="Y5:Y62" si="8">IF(W5&lt;0,ABS(W5),0)</f>
        <v>2.1110964507190921E-2</v>
      </c>
      <c r="Z5" s="10"/>
      <c r="AA5" s="10"/>
      <c r="AB5" s="10"/>
      <c r="AC5" s="38"/>
      <c r="AD5" s="38"/>
      <c r="AE5" s="38"/>
      <c r="AF5" s="38"/>
      <c r="AG5" s="38"/>
      <c r="AH5" s="38"/>
      <c r="AI5" s="38"/>
      <c r="AJ5" s="38"/>
      <c r="AK5" s="38"/>
      <c r="AL5" s="38">
        <f t="shared" si="2"/>
        <v>-960</v>
      </c>
      <c r="AM5" s="38"/>
      <c r="AN5" s="38"/>
      <c r="AO5" s="38">
        <f t="shared" ref="AO5:AO62" si="9">ABS(AL5)</f>
        <v>960</v>
      </c>
      <c r="AP5" s="38"/>
      <c r="AQ5" s="38"/>
      <c r="AR5" s="38"/>
      <c r="AS5" s="38"/>
      <c r="AT5" s="38">
        <f t="shared" si="3"/>
        <v>0</v>
      </c>
      <c r="AU5" s="38">
        <f t="shared" si="4"/>
        <v>191677284000</v>
      </c>
      <c r="AV5" s="38"/>
      <c r="AW5" s="38"/>
      <c r="AX5" s="38"/>
      <c r="AY5" s="38"/>
      <c r="AZ5" s="38"/>
      <c r="BA5" s="38"/>
      <c r="BB5" s="38"/>
      <c r="BC5" s="38">
        <f t="shared" si="5"/>
        <v>-4133760000</v>
      </c>
      <c r="BD5" s="38"/>
      <c r="BE5" s="9"/>
      <c r="BF5" s="9"/>
      <c r="BG5" s="32"/>
      <c r="BH5" s="34"/>
      <c r="BI5" s="9"/>
      <c r="BJ5" s="9"/>
      <c r="BN5" s="37"/>
      <c r="BO5" s="37"/>
      <c r="BP5" s="37"/>
      <c r="BQ5" s="38">
        <f t="shared" si="6"/>
        <v>-960</v>
      </c>
      <c r="BR5" s="38">
        <f t="shared" ref="BR5:BR62" si="10">IF(BQ5&gt;=0,BQ5,0)</f>
        <v>0</v>
      </c>
      <c r="BS5" s="38">
        <f t="shared" ref="BS5:BS62" si="11">IF(BQ5&lt;0,ABS(BQ5),0)</f>
        <v>960</v>
      </c>
      <c r="BT5" s="37"/>
      <c r="BU5" s="38"/>
      <c r="BV5" s="38"/>
      <c r="BW5" s="38"/>
      <c r="BX5" s="38"/>
      <c r="BY5" s="38"/>
      <c r="BZ5" s="38"/>
      <c r="CA5" s="38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</row>
    <row r="6" spans="1:93" s="8" customFormat="1" x14ac:dyDescent="0.25">
      <c r="A6" s="8">
        <v>4</v>
      </c>
      <c r="B6" s="9">
        <f>DATA!H5</f>
        <v>46186</v>
      </c>
      <c r="C6" s="10">
        <f>DATA!C508+DATA!D508</f>
        <v>4826000</v>
      </c>
      <c r="D6" s="10">
        <f t="shared" si="0"/>
        <v>222893636000</v>
      </c>
      <c r="E6" s="10"/>
      <c r="F6" s="10"/>
      <c r="G6" s="10"/>
      <c r="H6" s="38"/>
      <c r="I6" s="10"/>
      <c r="J6" s="9"/>
      <c r="K6" s="9"/>
      <c r="L6" s="9"/>
      <c r="M6" s="9"/>
      <c r="N6" s="9"/>
      <c r="O6" s="9"/>
      <c r="P6" s="10"/>
      <c r="Q6" s="10"/>
      <c r="R6" s="38"/>
      <c r="S6" s="38"/>
      <c r="T6" s="38"/>
      <c r="U6" s="38"/>
      <c r="V6" s="38"/>
      <c r="W6" s="10">
        <f t="shared" si="1"/>
        <v>3.756121669587096E-2</v>
      </c>
      <c r="X6" s="27">
        <f t="shared" si="7"/>
        <v>3.756121669587096E-2</v>
      </c>
      <c r="Y6" s="27">
        <f t="shared" si="8"/>
        <v>0</v>
      </c>
      <c r="Z6" s="10"/>
      <c r="AA6" s="10"/>
      <c r="AB6" s="10"/>
      <c r="AC6" s="38"/>
      <c r="AD6" s="38"/>
      <c r="AE6" s="38"/>
      <c r="AF6" s="38"/>
      <c r="AG6" s="38"/>
      <c r="AH6" s="38"/>
      <c r="AI6" s="38"/>
      <c r="AJ6" s="38"/>
      <c r="AK6" s="38"/>
      <c r="AL6" s="38">
        <f t="shared" si="2"/>
        <v>1672</v>
      </c>
      <c r="AM6" s="38"/>
      <c r="AN6" s="38"/>
      <c r="AO6" s="38">
        <f t="shared" si="9"/>
        <v>1672</v>
      </c>
      <c r="AP6" s="38"/>
      <c r="AQ6" s="38"/>
      <c r="AR6" s="38"/>
      <c r="AS6" s="38"/>
      <c r="AT6" s="38">
        <f t="shared" si="3"/>
        <v>222893636000</v>
      </c>
      <c r="AU6" s="38">
        <f t="shared" si="4"/>
        <v>0</v>
      </c>
      <c r="AV6" s="38"/>
      <c r="AW6" s="38"/>
      <c r="AX6" s="38"/>
      <c r="AY6" s="38"/>
      <c r="AZ6" s="38"/>
      <c r="BA6" s="38"/>
      <c r="BB6" s="38"/>
      <c r="BC6" s="38">
        <f t="shared" si="5"/>
        <v>8069072000</v>
      </c>
      <c r="BD6" s="38"/>
      <c r="BE6" s="9"/>
      <c r="BF6" s="9"/>
      <c r="BG6" s="32"/>
      <c r="BH6" s="34"/>
      <c r="BI6" s="9"/>
      <c r="BJ6" s="9"/>
      <c r="BN6" s="37"/>
      <c r="BO6" s="37"/>
      <c r="BP6" s="37"/>
      <c r="BQ6" s="38">
        <f t="shared" si="6"/>
        <v>1672</v>
      </c>
      <c r="BR6" s="38">
        <f t="shared" si="10"/>
        <v>1672</v>
      </c>
      <c r="BS6" s="38">
        <f t="shared" si="11"/>
        <v>0</v>
      </c>
      <c r="BT6" s="37"/>
      <c r="BU6" s="38"/>
      <c r="BV6" s="38"/>
      <c r="BW6" s="38"/>
      <c r="BX6" s="38"/>
      <c r="BY6" s="38"/>
      <c r="BZ6" s="38"/>
      <c r="CA6" s="38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</row>
    <row r="7" spans="1:93" s="8" customFormat="1" x14ac:dyDescent="0.25">
      <c r="A7" s="8">
        <v>5</v>
      </c>
      <c r="B7" s="9">
        <f>DATA!H6</f>
        <v>47709</v>
      </c>
      <c r="C7" s="10">
        <f>DATA!C499+DATA!D499</f>
        <v>2589428</v>
      </c>
      <c r="D7" s="10">
        <f t="shared" si="0"/>
        <v>123539020452</v>
      </c>
      <c r="E7" s="10"/>
      <c r="F7" s="10"/>
      <c r="G7" s="10"/>
      <c r="H7" s="38"/>
      <c r="I7" s="10"/>
      <c r="J7" s="9"/>
      <c r="K7" s="9"/>
      <c r="L7" s="9"/>
      <c r="M7" s="9"/>
      <c r="N7" s="9"/>
      <c r="O7" s="9"/>
      <c r="P7" s="10"/>
      <c r="Q7" s="10"/>
      <c r="R7" s="38"/>
      <c r="S7" s="38"/>
      <c r="T7" s="38"/>
      <c r="U7" s="38"/>
      <c r="V7" s="38"/>
      <c r="W7" s="10">
        <f t="shared" si="1"/>
        <v>3.2975360498852468E-2</v>
      </c>
      <c r="X7" s="27">
        <f t="shared" si="7"/>
        <v>3.2975360498852468E-2</v>
      </c>
      <c r="Y7" s="27">
        <f t="shared" si="8"/>
        <v>0</v>
      </c>
      <c r="Z7" s="10"/>
      <c r="AA7" s="10"/>
      <c r="AB7" s="10"/>
      <c r="AC7" s="38"/>
      <c r="AD7" s="38"/>
      <c r="AE7" s="38"/>
      <c r="AF7" s="38"/>
      <c r="AG7" s="38"/>
      <c r="AH7" s="38"/>
      <c r="AI7" s="38"/>
      <c r="AJ7" s="38"/>
      <c r="AK7" s="38"/>
      <c r="AL7" s="38">
        <f t="shared" si="2"/>
        <v>1523</v>
      </c>
      <c r="AM7" s="38"/>
      <c r="AN7" s="38"/>
      <c r="AO7" s="38">
        <f t="shared" si="9"/>
        <v>1523</v>
      </c>
      <c r="AP7" s="38"/>
      <c r="AQ7" s="38"/>
      <c r="AR7" s="38"/>
      <c r="AS7" s="38"/>
      <c r="AT7" s="38">
        <f t="shared" si="3"/>
        <v>123539020452</v>
      </c>
      <c r="AU7" s="38">
        <f t="shared" si="4"/>
        <v>0</v>
      </c>
      <c r="AV7" s="38"/>
      <c r="AW7" s="38"/>
      <c r="AX7" s="38"/>
      <c r="AY7" s="38"/>
      <c r="AZ7" s="38"/>
      <c r="BA7" s="38"/>
      <c r="BB7" s="38"/>
      <c r="BC7" s="38">
        <f t="shared" si="5"/>
        <v>3943698844</v>
      </c>
      <c r="BD7" s="38"/>
      <c r="BE7" s="9"/>
      <c r="BF7" s="9"/>
      <c r="BG7" s="32"/>
      <c r="BH7" s="34">
        <f>AVERAGE(B3:B7)</f>
        <v>45775.199999999997</v>
      </c>
      <c r="BI7" s="9"/>
      <c r="BJ7" s="9"/>
      <c r="BK7" s="35">
        <f>AVERAGE(C3:C7)</f>
        <v>4144908.8</v>
      </c>
      <c r="BN7" s="38">
        <f>AVERAGE(D3:D7)</f>
        <v>189049559687.20001</v>
      </c>
      <c r="BO7" s="37"/>
      <c r="BP7" s="37"/>
      <c r="BQ7" s="38">
        <f t="shared" si="6"/>
        <v>1523</v>
      </c>
      <c r="BR7" s="38">
        <f t="shared" si="10"/>
        <v>1523</v>
      </c>
      <c r="BS7" s="38">
        <f t="shared" si="11"/>
        <v>0</v>
      </c>
      <c r="BT7" s="37"/>
      <c r="BU7" s="38"/>
      <c r="BV7" s="38"/>
      <c r="BW7" s="38"/>
      <c r="BX7" s="38"/>
      <c r="BY7" s="38"/>
      <c r="BZ7" s="38"/>
      <c r="CA7" s="38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</row>
    <row r="8" spans="1:93" s="8" customFormat="1" x14ac:dyDescent="0.25">
      <c r="A8" s="8">
        <v>6</v>
      </c>
      <c r="B8" s="9">
        <f>DATA!H7</f>
        <v>48024</v>
      </c>
      <c r="C8" s="10">
        <f>DATA!C490+DATA!D490</f>
        <v>4030000</v>
      </c>
      <c r="D8" s="10">
        <f t="shared" si="0"/>
        <v>193536720000</v>
      </c>
      <c r="E8" s="10"/>
      <c r="F8" s="10"/>
      <c r="G8" s="10"/>
      <c r="H8" s="38"/>
      <c r="I8" s="10"/>
      <c r="J8" s="9"/>
      <c r="K8" s="9"/>
      <c r="L8" s="9"/>
      <c r="M8" s="9"/>
      <c r="N8" s="9"/>
      <c r="O8" s="9"/>
      <c r="P8" s="10"/>
      <c r="Q8" s="10"/>
      <c r="R8" s="38"/>
      <c r="S8" s="38"/>
      <c r="T8" s="38"/>
      <c r="U8" s="38"/>
      <c r="V8" s="38"/>
      <c r="W8" s="10">
        <f t="shared" si="1"/>
        <v>6.6025278249386907E-3</v>
      </c>
      <c r="X8" s="27">
        <f t="shared" si="7"/>
        <v>6.6025278249386907E-3</v>
      </c>
      <c r="Y8" s="27">
        <f t="shared" si="8"/>
        <v>0</v>
      </c>
      <c r="Z8" s="10"/>
      <c r="AA8" s="10"/>
      <c r="AB8" s="10"/>
      <c r="AC8" s="38"/>
      <c r="AD8" s="38"/>
      <c r="AE8" s="38"/>
      <c r="AF8" s="38"/>
      <c r="AG8" s="38"/>
      <c r="AH8" s="38"/>
      <c r="AI8" s="38"/>
      <c r="AJ8" s="38"/>
      <c r="AK8" s="38"/>
      <c r="AL8" s="38">
        <f t="shared" si="2"/>
        <v>315</v>
      </c>
      <c r="AM8" s="38"/>
      <c r="AN8" s="38"/>
      <c r="AO8" s="38">
        <f t="shared" si="9"/>
        <v>315</v>
      </c>
      <c r="AP8" s="38"/>
      <c r="AQ8" s="38"/>
      <c r="AR8" s="38"/>
      <c r="AS8" s="38"/>
      <c r="AT8" s="38">
        <f t="shared" si="3"/>
        <v>193536720000</v>
      </c>
      <c r="AU8" s="38">
        <f t="shared" si="4"/>
        <v>0</v>
      </c>
      <c r="AV8" s="38"/>
      <c r="AW8" s="38"/>
      <c r="AX8" s="38"/>
      <c r="AY8" s="38"/>
      <c r="AZ8" s="38"/>
      <c r="BA8" s="38"/>
      <c r="BB8" s="38"/>
      <c r="BC8" s="38">
        <f t="shared" si="5"/>
        <v>1269450000</v>
      </c>
      <c r="BD8" s="38"/>
      <c r="BE8" s="9"/>
      <c r="BF8" s="9"/>
      <c r="BG8" s="32"/>
      <c r="BH8" s="34">
        <f t="shared" ref="BH8:BH39" si="12">(2/6)*(B8-BH7)+BH7</f>
        <v>46524.799999999996</v>
      </c>
      <c r="BI8" s="9"/>
      <c r="BJ8" s="9"/>
      <c r="BK8" s="35">
        <f t="shared" ref="BK8:BK39" si="13">(2/6)*(C8-BK7)+BK7</f>
        <v>4106605.8666666667</v>
      </c>
      <c r="BN8" s="38">
        <f t="shared" ref="BN8:BN39" si="14">(2/6)*(D8-BN7)+BN7</f>
        <v>190545279791.46667</v>
      </c>
      <c r="BO8" s="37"/>
      <c r="BP8" s="37"/>
      <c r="BQ8" s="38">
        <f t="shared" si="6"/>
        <v>315</v>
      </c>
      <c r="BR8" s="38">
        <f t="shared" si="10"/>
        <v>315</v>
      </c>
      <c r="BS8" s="38">
        <f t="shared" si="11"/>
        <v>0</v>
      </c>
      <c r="BT8" s="37"/>
      <c r="BU8" s="38"/>
      <c r="BV8" s="38"/>
      <c r="BW8" s="38"/>
      <c r="BX8" s="38"/>
      <c r="BY8" s="38"/>
      <c r="BZ8" s="38"/>
      <c r="CA8" s="38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</row>
    <row r="9" spans="1:93" s="8" customFormat="1" x14ac:dyDescent="0.25">
      <c r="A9" s="8">
        <v>7</v>
      </c>
      <c r="B9" s="9">
        <f>DATA!H8</f>
        <v>48090</v>
      </c>
      <c r="C9" s="10">
        <f>DATA!C481+DATA!D481</f>
        <v>2407607</v>
      </c>
      <c r="D9" s="10">
        <f t="shared" si="0"/>
        <v>115781820630</v>
      </c>
      <c r="E9" s="10"/>
      <c r="F9" s="10"/>
      <c r="G9" s="10"/>
      <c r="H9" s="38"/>
      <c r="I9" s="10"/>
      <c r="J9" s="9"/>
      <c r="K9" s="9"/>
      <c r="L9" s="9"/>
      <c r="M9" s="9"/>
      <c r="N9" s="9"/>
      <c r="O9" s="9"/>
      <c r="P9" s="10"/>
      <c r="Q9" s="10"/>
      <c r="R9" s="38"/>
      <c r="S9" s="38"/>
      <c r="T9" s="38"/>
      <c r="U9" s="38"/>
      <c r="V9" s="38"/>
      <c r="W9" s="10">
        <f t="shared" si="1"/>
        <v>1.3743128435782109E-3</v>
      </c>
      <c r="X9" s="27">
        <f t="shared" si="7"/>
        <v>1.3743128435782109E-3</v>
      </c>
      <c r="Y9" s="27">
        <f t="shared" si="8"/>
        <v>0</v>
      </c>
      <c r="Z9" s="10"/>
      <c r="AA9" s="10"/>
      <c r="AB9" s="10"/>
      <c r="AC9" s="38"/>
      <c r="AD9" s="38"/>
      <c r="AE9" s="38"/>
      <c r="AF9" s="38"/>
      <c r="AG9" s="38"/>
      <c r="AH9" s="38"/>
      <c r="AI9" s="38"/>
      <c r="AJ9" s="38"/>
      <c r="AK9" s="38"/>
      <c r="AL9" s="38">
        <f t="shared" si="2"/>
        <v>66</v>
      </c>
      <c r="AM9" s="38"/>
      <c r="AN9" s="38"/>
      <c r="AO9" s="38">
        <f t="shared" si="9"/>
        <v>66</v>
      </c>
      <c r="AP9" s="38"/>
      <c r="AQ9" s="38"/>
      <c r="AR9" s="38"/>
      <c r="AS9" s="38"/>
      <c r="AT9" s="38">
        <f t="shared" si="3"/>
        <v>115781820630</v>
      </c>
      <c r="AU9" s="38">
        <f t="shared" si="4"/>
        <v>0</v>
      </c>
      <c r="AV9" s="38"/>
      <c r="AW9" s="38"/>
      <c r="AX9" s="38"/>
      <c r="AY9" s="38"/>
      <c r="AZ9" s="38"/>
      <c r="BA9" s="38"/>
      <c r="BB9" s="38"/>
      <c r="BC9" s="38">
        <f t="shared" si="5"/>
        <v>158902062</v>
      </c>
      <c r="BD9" s="38"/>
      <c r="BE9" s="9"/>
      <c r="BF9" s="9"/>
      <c r="BG9" s="32"/>
      <c r="BH9" s="34">
        <f t="shared" si="12"/>
        <v>47046.533333333333</v>
      </c>
      <c r="BI9" s="9"/>
      <c r="BJ9" s="9"/>
      <c r="BK9" s="35">
        <f t="shared" si="13"/>
        <v>3540272.9111111113</v>
      </c>
      <c r="BN9" s="38">
        <f t="shared" si="14"/>
        <v>165624126737.64444</v>
      </c>
      <c r="BO9" s="37"/>
      <c r="BP9" s="37"/>
      <c r="BQ9" s="38">
        <f t="shared" si="6"/>
        <v>66</v>
      </c>
      <c r="BR9" s="38">
        <f t="shared" si="10"/>
        <v>66</v>
      </c>
      <c r="BS9" s="38">
        <f t="shared" si="11"/>
        <v>0</v>
      </c>
      <c r="BT9" s="37"/>
      <c r="BU9" s="38"/>
      <c r="BV9" s="38"/>
      <c r="BW9" s="38"/>
      <c r="BX9" s="38"/>
      <c r="BY9" s="38"/>
      <c r="BZ9" s="38"/>
      <c r="CA9" s="38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</row>
    <row r="10" spans="1:93" s="8" customFormat="1" x14ac:dyDescent="0.25">
      <c r="A10" s="8">
        <v>8</v>
      </c>
      <c r="B10" s="9">
        <f>DATA!H9</f>
        <v>47193</v>
      </c>
      <c r="C10" s="10">
        <f>DATA!C472+DATA!D472</f>
        <v>2218822</v>
      </c>
      <c r="D10" s="10">
        <f t="shared" si="0"/>
        <v>104712866646</v>
      </c>
      <c r="E10" s="10"/>
      <c r="F10" s="10"/>
      <c r="G10" s="10"/>
      <c r="H10" s="38"/>
      <c r="I10" s="10"/>
      <c r="J10" s="9"/>
      <c r="K10" s="9"/>
      <c r="L10" s="9"/>
      <c r="M10" s="9"/>
      <c r="N10" s="9"/>
      <c r="O10" s="9"/>
      <c r="P10" s="10"/>
      <c r="Q10" s="10"/>
      <c r="R10" s="38"/>
      <c r="S10" s="38"/>
      <c r="T10" s="38"/>
      <c r="U10" s="38"/>
      <c r="V10" s="38"/>
      <c r="W10" s="10">
        <f t="shared" si="1"/>
        <v>-1.8652526512788523E-2</v>
      </c>
      <c r="X10" s="27">
        <f t="shared" si="7"/>
        <v>0</v>
      </c>
      <c r="Y10" s="27">
        <f t="shared" si="8"/>
        <v>1.8652526512788523E-2</v>
      </c>
      <c r="Z10" s="10"/>
      <c r="AA10" s="10"/>
      <c r="AB10" s="10"/>
      <c r="AC10" s="38"/>
      <c r="AD10" s="38"/>
      <c r="AE10" s="38"/>
      <c r="AF10" s="38"/>
      <c r="AG10" s="38"/>
      <c r="AH10" s="38"/>
      <c r="AI10" s="38"/>
      <c r="AJ10" s="38"/>
      <c r="AK10" s="38"/>
      <c r="AL10" s="38">
        <f t="shared" si="2"/>
        <v>-897</v>
      </c>
      <c r="AM10" s="38"/>
      <c r="AN10" s="38"/>
      <c r="AO10" s="38">
        <f t="shared" si="9"/>
        <v>897</v>
      </c>
      <c r="AP10" s="38"/>
      <c r="AQ10" s="38"/>
      <c r="AR10" s="38"/>
      <c r="AS10" s="38"/>
      <c r="AT10" s="38">
        <f t="shared" si="3"/>
        <v>0</v>
      </c>
      <c r="AU10" s="38">
        <f t="shared" si="4"/>
        <v>104712866646</v>
      </c>
      <c r="AV10" s="38"/>
      <c r="AW10" s="38"/>
      <c r="AX10" s="38"/>
      <c r="AY10" s="38"/>
      <c r="AZ10" s="38"/>
      <c r="BA10" s="38"/>
      <c r="BB10" s="38"/>
      <c r="BC10" s="38">
        <f t="shared" si="5"/>
        <v>-1990283334</v>
      </c>
      <c r="BD10" s="38"/>
      <c r="BE10" s="9"/>
      <c r="BF10" s="9"/>
      <c r="BG10" s="32"/>
      <c r="BH10" s="34">
        <f t="shared" si="12"/>
        <v>47095.355555555558</v>
      </c>
      <c r="BI10" s="9"/>
      <c r="BJ10" s="9"/>
      <c r="BK10" s="35">
        <f t="shared" si="13"/>
        <v>3099789.2740740743</v>
      </c>
      <c r="BN10" s="38">
        <f t="shared" si="14"/>
        <v>145320373373.76297</v>
      </c>
      <c r="BO10" s="37"/>
      <c r="BP10" s="37"/>
      <c r="BQ10" s="38">
        <f t="shared" si="6"/>
        <v>-897</v>
      </c>
      <c r="BR10" s="38">
        <f t="shared" si="10"/>
        <v>0</v>
      </c>
      <c r="BS10" s="38">
        <f t="shared" si="11"/>
        <v>897</v>
      </c>
      <c r="BT10" s="37"/>
      <c r="BU10" s="38"/>
      <c r="BV10" s="38"/>
      <c r="BW10" s="38"/>
      <c r="BX10" s="38"/>
      <c r="BY10" s="38"/>
      <c r="BZ10" s="38"/>
      <c r="CA10" s="38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</row>
    <row r="11" spans="1:93" s="8" customFormat="1" x14ac:dyDescent="0.25">
      <c r="A11" s="8">
        <v>9</v>
      </c>
      <c r="B11" s="9">
        <f>DATA!H10</f>
        <v>48133</v>
      </c>
      <c r="C11" s="10">
        <f>DATA!C463+DATA!D463</f>
        <v>2329062</v>
      </c>
      <c r="D11" s="10">
        <f t="shared" si="0"/>
        <v>112104741246</v>
      </c>
      <c r="E11" s="10"/>
      <c r="F11" s="10"/>
      <c r="G11" s="10"/>
      <c r="H11" s="38"/>
      <c r="I11" s="10"/>
      <c r="J11" s="9"/>
      <c r="K11" s="9"/>
      <c r="L11" s="9"/>
      <c r="M11" s="9"/>
      <c r="N11" s="9"/>
      <c r="O11" s="9"/>
      <c r="P11" s="10"/>
      <c r="Q11" s="10"/>
      <c r="R11" s="38">
        <f>(MIN(B3:B11)+MAX(B3:B11))*0.5</f>
        <v>46323.5</v>
      </c>
      <c r="S11" s="38"/>
      <c r="T11" s="38"/>
      <c r="U11" s="38"/>
      <c r="V11" s="38"/>
      <c r="W11" s="10">
        <f t="shared" si="1"/>
        <v>1.9918208208844532E-2</v>
      </c>
      <c r="X11" s="27">
        <f t="shared" si="7"/>
        <v>1.9918208208844532E-2</v>
      </c>
      <c r="Y11" s="27">
        <f t="shared" si="8"/>
        <v>0</v>
      </c>
      <c r="Z11" s="10"/>
      <c r="AA11" s="10"/>
      <c r="AB11" s="10"/>
      <c r="AC11" s="38"/>
      <c r="AD11" s="38"/>
      <c r="AE11" s="38"/>
      <c r="AF11" s="38"/>
      <c r="AG11" s="38"/>
      <c r="AH11" s="38"/>
      <c r="AI11" s="38"/>
      <c r="AJ11" s="38"/>
      <c r="AK11" s="38"/>
      <c r="AL11" s="38">
        <f t="shared" si="2"/>
        <v>940</v>
      </c>
      <c r="AM11" s="38"/>
      <c r="AN11" s="38"/>
      <c r="AO11" s="38">
        <f t="shared" si="9"/>
        <v>940</v>
      </c>
      <c r="AP11" s="38"/>
      <c r="AQ11" s="38"/>
      <c r="AR11" s="38"/>
      <c r="AS11" s="38"/>
      <c r="AT11" s="38">
        <f t="shared" si="3"/>
        <v>112104741246</v>
      </c>
      <c r="AU11" s="38">
        <f t="shared" si="4"/>
        <v>0</v>
      </c>
      <c r="AV11" s="38"/>
      <c r="AW11" s="38"/>
      <c r="AX11" s="38"/>
      <c r="AY11" s="38"/>
      <c r="AZ11" s="38"/>
      <c r="BA11" s="38"/>
      <c r="BB11" s="38"/>
      <c r="BC11" s="38">
        <f t="shared" si="5"/>
        <v>2189318280</v>
      </c>
      <c r="BD11" s="38"/>
      <c r="BE11" s="9"/>
      <c r="BF11" s="9"/>
      <c r="BG11" s="32"/>
      <c r="BH11" s="34">
        <f t="shared" si="12"/>
        <v>47441.237037037041</v>
      </c>
      <c r="BI11" s="9"/>
      <c r="BJ11" s="9"/>
      <c r="BK11" s="35">
        <f t="shared" si="13"/>
        <v>2842880.1827160497</v>
      </c>
      <c r="BN11" s="38">
        <f t="shared" si="14"/>
        <v>134248495997.84198</v>
      </c>
      <c r="BO11" s="37"/>
      <c r="BP11" s="37"/>
      <c r="BQ11" s="38">
        <f t="shared" si="6"/>
        <v>940</v>
      </c>
      <c r="BR11" s="38">
        <f t="shared" si="10"/>
        <v>940</v>
      </c>
      <c r="BS11" s="38">
        <f t="shared" si="11"/>
        <v>0</v>
      </c>
      <c r="BT11" s="37"/>
      <c r="BU11" s="38"/>
      <c r="BV11" s="38"/>
      <c r="BW11" s="38"/>
      <c r="BX11" s="38"/>
      <c r="BY11" s="38"/>
      <c r="BZ11" s="38"/>
      <c r="CA11" s="38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</row>
    <row r="12" spans="1:93" s="8" customFormat="1" x14ac:dyDescent="0.25">
      <c r="A12" s="8">
        <v>10</v>
      </c>
      <c r="B12" s="9">
        <f>DATA!H11</f>
        <v>47628</v>
      </c>
      <c r="C12" s="10">
        <f>DATA!C454+DATA!D454</f>
        <v>3442000</v>
      </c>
      <c r="D12" s="10">
        <f t="shared" si="0"/>
        <v>163935576000</v>
      </c>
      <c r="E12" s="10">
        <f t="shared" ref="E12:E43" si="15">AVERAGE(B3:B12)</f>
        <v>46794.400000000001</v>
      </c>
      <c r="F12" s="10"/>
      <c r="G12" s="10"/>
      <c r="H12" s="38"/>
      <c r="I12" s="10"/>
      <c r="J12" s="9"/>
      <c r="K12" s="9"/>
      <c r="L12" s="9"/>
      <c r="M12" s="9"/>
      <c r="N12" s="9"/>
      <c r="O12" s="9"/>
      <c r="P12" s="10"/>
      <c r="Q12" s="10"/>
      <c r="R12" s="38">
        <f t="shared" ref="R12:R62" si="16">(MIN(B4:B12)+MAX(B4:B12))*0.5</f>
        <v>46323.5</v>
      </c>
      <c r="S12" s="38"/>
      <c r="T12" s="38"/>
      <c r="U12" s="38"/>
      <c r="V12" s="38"/>
      <c r="W12" s="10">
        <f t="shared" si="1"/>
        <v>-1.0491762408326928E-2</v>
      </c>
      <c r="X12" s="27">
        <f t="shared" si="7"/>
        <v>0</v>
      </c>
      <c r="Y12" s="27">
        <f t="shared" si="8"/>
        <v>1.0491762408326928E-2</v>
      </c>
      <c r="Z12" s="10"/>
      <c r="AA12" s="10"/>
      <c r="AB12" s="10"/>
      <c r="AC12" s="38"/>
      <c r="AD12" s="38"/>
      <c r="AE12" s="38"/>
      <c r="AF12" s="38"/>
      <c r="AG12" s="38"/>
      <c r="AH12" s="38"/>
      <c r="AI12" s="38"/>
      <c r="AJ12" s="38"/>
      <c r="AK12" s="38"/>
      <c r="AL12" s="38">
        <f t="shared" si="2"/>
        <v>-505</v>
      </c>
      <c r="AM12" s="38"/>
      <c r="AN12" s="38"/>
      <c r="AO12" s="38">
        <f t="shared" si="9"/>
        <v>505</v>
      </c>
      <c r="AP12" s="38"/>
      <c r="AQ12" s="38"/>
      <c r="AR12" s="38"/>
      <c r="AS12" s="38"/>
      <c r="AT12" s="38">
        <f t="shared" si="3"/>
        <v>0</v>
      </c>
      <c r="AU12" s="38">
        <f t="shared" si="4"/>
        <v>163935576000</v>
      </c>
      <c r="AV12" s="38"/>
      <c r="AW12" s="38"/>
      <c r="AX12" s="38"/>
      <c r="AY12" s="38"/>
      <c r="AZ12" s="38"/>
      <c r="BA12" s="38"/>
      <c r="BB12" s="38"/>
      <c r="BC12" s="38">
        <f t="shared" si="5"/>
        <v>-1738210000</v>
      </c>
      <c r="BD12" s="38"/>
      <c r="BE12" s="9"/>
      <c r="BF12" s="9"/>
      <c r="BG12" s="32"/>
      <c r="BH12" s="34">
        <f t="shared" si="12"/>
        <v>47503.491358024694</v>
      </c>
      <c r="BI12" s="9"/>
      <c r="BJ12" s="9"/>
      <c r="BK12" s="35">
        <f t="shared" si="13"/>
        <v>3042586.7884773663</v>
      </c>
      <c r="BN12" s="38">
        <f t="shared" si="14"/>
        <v>144144189331.89465</v>
      </c>
      <c r="BO12" s="37"/>
      <c r="BP12" s="37"/>
      <c r="BQ12" s="38">
        <f t="shared" si="6"/>
        <v>-505</v>
      </c>
      <c r="BR12" s="38">
        <f t="shared" si="10"/>
        <v>0</v>
      </c>
      <c r="BS12" s="38">
        <f t="shared" si="11"/>
        <v>505</v>
      </c>
      <c r="BT12" s="38">
        <f>(SUM(BR4:BR12)-SUM(BS4:BS12))/(SUM(BR4:BR12)+SUM(BS4:BS12))*100</f>
        <v>35.806495447751054</v>
      </c>
      <c r="BU12" s="38">
        <f t="shared" ref="BU12:BU43" si="17">SUM(A3:A12)</f>
        <v>55</v>
      </c>
      <c r="BV12" s="38">
        <f t="shared" ref="BV12:BV43" si="18">(A3*A3)+(A4*A4)+(A5*A5)+(A6*A6)+(A7*A7)+(A8*A8)+(A9*A9)+(A10*A10)+(A11*A11)+(A12*A12)</f>
        <v>385</v>
      </c>
      <c r="BW12" s="38">
        <f t="shared" ref="BW12:BW43" si="19">SUM(B3:B12)</f>
        <v>467944</v>
      </c>
      <c r="BX12" s="38">
        <f t="shared" ref="BX12:BX43" si="20">(A3*B3)+(A4*B4)+(A5*B5)+(A6*B6)+(A7*B7)+(A8*B8)+(A9*B9)+(A10*B10)+(A11*B11)+(A12*B12)</f>
        <v>2604567</v>
      </c>
      <c r="BY12" s="38">
        <f>(10*BX12-BU12*BW12)/(10*BV12-BU12*BU12)</f>
        <v>374.24242424242425</v>
      </c>
      <c r="BZ12" s="38">
        <f>(BW12*BV12-BU12*BX12)/(10*BV12-BU12*BU12)</f>
        <v>44736.066666666666</v>
      </c>
      <c r="CA12" s="38">
        <f t="shared" ref="CA12:CA43" si="21">BY12*A12+BZ12</f>
        <v>48478.490909090906</v>
      </c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</row>
    <row r="13" spans="1:93" s="8" customFormat="1" x14ac:dyDescent="0.25">
      <c r="A13" s="8">
        <v>11</v>
      </c>
      <c r="B13" s="9">
        <f>DATA!H12</f>
        <v>49789</v>
      </c>
      <c r="C13" s="10">
        <f>DATA!C445+DATA!D445</f>
        <v>7547000</v>
      </c>
      <c r="D13" s="10">
        <f t="shared" si="0"/>
        <v>375757583000</v>
      </c>
      <c r="E13" s="10">
        <f t="shared" si="15"/>
        <v>47274</v>
      </c>
      <c r="F13" s="10"/>
      <c r="G13" s="10"/>
      <c r="H13" s="38"/>
      <c r="I13" s="10"/>
      <c r="J13" s="9"/>
      <c r="K13" s="9"/>
      <c r="L13" s="9"/>
      <c r="M13" s="9"/>
      <c r="N13" s="9"/>
      <c r="O13" s="9"/>
      <c r="P13" s="10"/>
      <c r="Q13" s="10"/>
      <c r="R13" s="38">
        <f t="shared" si="16"/>
        <v>47151.5</v>
      </c>
      <c r="S13" s="38"/>
      <c r="T13" s="38"/>
      <c r="U13" s="38"/>
      <c r="V13" s="38"/>
      <c r="W13" s="10">
        <f t="shared" si="1"/>
        <v>4.5372469975644578E-2</v>
      </c>
      <c r="X13" s="27">
        <f t="shared" si="7"/>
        <v>4.5372469975644578E-2</v>
      </c>
      <c r="Y13" s="27">
        <f t="shared" si="8"/>
        <v>0</v>
      </c>
      <c r="Z13" s="10"/>
      <c r="AA13" s="10"/>
      <c r="AB13" s="10"/>
      <c r="AC13" s="38"/>
      <c r="AD13" s="38"/>
      <c r="AE13" s="38"/>
      <c r="AF13" s="38"/>
      <c r="AG13" s="38"/>
      <c r="AH13" s="38"/>
      <c r="AI13" s="38"/>
      <c r="AJ13" s="38"/>
      <c r="AK13" s="38"/>
      <c r="AL13" s="38">
        <f t="shared" si="2"/>
        <v>2161</v>
      </c>
      <c r="AM13" s="38"/>
      <c r="AN13" s="38"/>
      <c r="AO13" s="38">
        <f t="shared" si="9"/>
        <v>2161</v>
      </c>
      <c r="AP13" s="38"/>
      <c r="AQ13" s="38"/>
      <c r="AR13" s="38"/>
      <c r="AS13" s="38"/>
      <c r="AT13" s="38">
        <f t="shared" si="3"/>
        <v>375757583000</v>
      </c>
      <c r="AU13" s="38">
        <f t="shared" si="4"/>
        <v>0</v>
      </c>
      <c r="AV13" s="38"/>
      <c r="AW13" s="38"/>
      <c r="AX13" s="38"/>
      <c r="AY13" s="38"/>
      <c r="AZ13" s="38"/>
      <c r="BA13" s="38"/>
      <c r="BB13" s="38"/>
      <c r="BC13" s="38">
        <f t="shared" si="5"/>
        <v>16309067000</v>
      </c>
      <c r="BD13" s="38"/>
      <c r="BE13" s="9"/>
      <c r="BF13" s="9"/>
      <c r="BG13" s="32"/>
      <c r="BH13" s="34">
        <f t="shared" si="12"/>
        <v>48265.32757201646</v>
      </c>
      <c r="BI13" s="9"/>
      <c r="BJ13" s="9"/>
      <c r="BK13" s="35">
        <f t="shared" si="13"/>
        <v>4544057.8589849109</v>
      </c>
      <c r="BN13" s="38">
        <f t="shared" si="14"/>
        <v>221348653887.92975</v>
      </c>
      <c r="BO13" s="37"/>
      <c r="BP13" s="37"/>
      <c r="BQ13" s="38">
        <f t="shared" si="6"/>
        <v>2161</v>
      </c>
      <c r="BR13" s="38">
        <f t="shared" si="10"/>
        <v>2161</v>
      </c>
      <c r="BS13" s="38">
        <f t="shared" si="11"/>
        <v>0</v>
      </c>
      <c r="BT13" s="38">
        <f t="shared" ref="BT13:BT62" si="22">(SUM(BR5:BR13)-SUM(BS5:BS13))/(SUM(BR5:BR13)+SUM(BS5:BS13))*100</f>
        <v>47.737581590883948</v>
      </c>
      <c r="BU13" s="38">
        <f t="shared" si="17"/>
        <v>65</v>
      </c>
      <c r="BV13" s="38">
        <f t="shared" si="18"/>
        <v>505</v>
      </c>
      <c r="BW13" s="38">
        <f t="shared" si="19"/>
        <v>472740</v>
      </c>
      <c r="BX13" s="38">
        <f t="shared" si="20"/>
        <v>3107253</v>
      </c>
      <c r="BY13" s="38">
        <f t="shared" ref="BY13:BY62" si="23">(10*BX13-BU13*BW13)/(10*BV13-BU13*BU13)</f>
        <v>417.4909090909091</v>
      </c>
      <c r="BZ13" s="38">
        <f t="shared" ref="BZ13:BZ62" si="24">(BW13*BV13-BU13*BX13)/(10*BV13-BU13*BU13)</f>
        <v>44560.30909090909</v>
      </c>
      <c r="CA13" s="38">
        <f t="shared" si="21"/>
        <v>49152.709090909091</v>
      </c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</row>
    <row r="14" spans="1:93" s="8" customFormat="1" x14ac:dyDescent="0.25">
      <c r="A14" s="8">
        <v>12</v>
      </c>
      <c r="B14" s="9">
        <f>DATA!H13</f>
        <v>50347</v>
      </c>
      <c r="C14" s="10">
        <f>DATA!C436+DATA!D436</f>
        <v>2755810</v>
      </c>
      <c r="D14" s="10">
        <f t="shared" si="0"/>
        <v>138746766070</v>
      </c>
      <c r="E14" s="10">
        <f t="shared" si="15"/>
        <v>47761.3</v>
      </c>
      <c r="F14" s="10"/>
      <c r="G14" s="10"/>
      <c r="H14" s="38"/>
      <c r="I14" s="10">
        <f>AVERAGE(B3:B14)</f>
        <v>47340</v>
      </c>
      <c r="J14" s="9"/>
      <c r="K14" s="9"/>
      <c r="L14" s="9"/>
      <c r="M14" s="9"/>
      <c r="N14" s="9"/>
      <c r="O14" s="9"/>
      <c r="P14" s="10"/>
      <c r="Q14" s="10"/>
      <c r="R14" s="38">
        <f t="shared" si="16"/>
        <v>48266.5</v>
      </c>
      <c r="S14" s="38"/>
      <c r="T14" s="38"/>
      <c r="U14" s="38"/>
      <c r="V14" s="38"/>
      <c r="W14" s="10">
        <f t="shared" si="1"/>
        <v>1.1207294783988431E-2</v>
      </c>
      <c r="X14" s="27">
        <f t="shared" si="7"/>
        <v>1.1207294783988431E-2</v>
      </c>
      <c r="Y14" s="27">
        <f t="shared" si="8"/>
        <v>0</v>
      </c>
      <c r="Z14" s="10"/>
      <c r="AA14" s="10"/>
      <c r="AB14" s="10"/>
      <c r="AC14" s="38"/>
      <c r="AD14" s="38"/>
      <c r="AE14" s="38"/>
      <c r="AF14" s="38"/>
      <c r="AG14" s="38"/>
      <c r="AH14" s="38"/>
      <c r="AI14" s="38"/>
      <c r="AJ14" s="38"/>
      <c r="AK14" s="38"/>
      <c r="AL14" s="38">
        <f t="shared" si="2"/>
        <v>558</v>
      </c>
      <c r="AM14" s="38"/>
      <c r="AN14" s="38"/>
      <c r="AO14" s="38">
        <f t="shared" si="9"/>
        <v>558</v>
      </c>
      <c r="AP14" s="38"/>
      <c r="AQ14" s="38"/>
      <c r="AR14" s="38"/>
      <c r="AS14" s="38"/>
      <c r="AT14" s="38">
        <f t="shared" si="3"/>
        <v>138746766070</v>
      </c>
      <c r="AU14" s="38">
        <f t="shared" si="4"/>
        <v>0</v>
      </c>
      <c r="AV14" s="38"/>
      <c r="AW14" s="38"/>
      <c r="AX14" s="38"/>
      <c r="AY14" s="38"/>
      <c r="AZ14" s="38"/>
      <c r="BA14" s="38"/>
      <c r="BB14" s="38"/>
      <c r="BC14" s="38">
        <f t="shared" si="5"/>
        <v>1537741980</v>
      </c>
      <c r="BD14" s="38"/>
      <c r="BE14" s="9"/>
      <c r="BF14" s="9"/>
      <c r="BG14" s="32"/>
      <c r="BH14" s="34">
        <f t="shared" si="12"/>
        <v>48959.218381344304</v>
      </c>
      <c r="BI14" s="9"/>
      <c r="BJ14" s="9"/>
      <c r="BK14" s="35">
        <f t="shared" si="13"/>
        <v>3947975.2393232742</v>
      </c>
      <c r="BN14" s="38">
        <f t="shared" si="14"/>
        <v>193814691281.95316</v>
      </c>
      <c r="BO14" s="37"/>
      <c r="BP14" s="37"/>
      <c r="BQ14" s="38">
        <f t="shared" si="6"/>
        <v>558</v>
      </c>
      <c r="BR14" s="38">
        <f t="shared" si="10"/>
        <v>558</v>
      </c>
      <c r="BS14" s="38">
        <f t="shared" si="11"/>
        <v>0</v>
      </c>
      <c r="BT14" s="38">
        <f t="shared" si="22"/>
        <v>67.535023735093205</v>
      </c>
      <c r="BU14" s="38">
        <f t="shared" si="17"/>
        <v>75</v>
      </c>
      <c r="BV14" s="38">
        <f t="shared" si="18"/>
        <v>645</v>
      </c>
      <c r="BW14" s="38">
        <f t="shared" si="19"/>
        <v>477613</v>
      </c>
      <c r="BX14" s="38">
        <f t="shared" si="20"/>
        <v>3620469</v>
      </c>
      <c r="BY14" s="38">
        <f t="shared" si="23"/>
        <v>465.10909090909092</v>
      </c>
      <c r="BZ14" s="38">
        <f t="shared" si="24"/>
        <v>44272.981818181819</v>
      </c>
      <c r="CA14" s="38">
        <f t="shared" si="21"/>
        <v>49854.290909090909</v>
      </c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</row>
    <row r="15" spans="1:93" s="8" customFormat="1" x14ac:dyDescent="0.25">
      <c r="A15" s="8">
        <v>13</v>
      </c>
      <c r="B15" s="9">
        <f>DATA!H14</f>
        <v>51032</v>
      </c>
      <c r="C15" s="10">
        <f>DATA!C427+DATA!D427</f>
        <v>2665000</v>
      </c>
      <c r="D15" s="10">
        <f t="shared" si="0"/>
        <v>136000280000</v>
      </c>
      <c r="E15" s="10">
        <f t="shared" si="15"/>
        <v>48413.1</v>
      </c>
      <c r="F15" s="10"/>
      <c r="G15" s="10"/>
      <c r="H15" s="38"/>
      <c r="I15" s="10">
        <f t="shared" ref="I15:I62" si="25">(2/13)*(B15-I14)+I14</f>
        <v>47908</v>
      </c>
      <c r="J15" s="9"/>
      <c r="K15" s="9"/>
      <c r="L15" s="9"/>
      <c r="M15" s="9"/>
      <c r="N15" s="9"/>
      <c r="O15" s="9"/>
      <c r="P15" s="10"/>
      <c r="Q15" s="10"/>
      <c r="R15" s="38">
        <f t="shared" si="16"/>
        <v>49112.5</v>
      </c>
      <c r="S15" s="38"/>
      <c r="T15" s="38"/>
      <c r="U15" s="38"/>
      <c r="V15" s="38"/>
      <c r="W15" s="10">
        <f t="shared" si="1"/>
        <v>1.3605577293582537E-2</v>
      </c>
      <c r="X15" s="27">
        <f t="shared" si="7"/>
        <v>1.3605577293582537E-2</v>
      </c>
      <c r="Y15" s="27">
        <f t="shared" si="8"/>
        <v>0</v>
      </c>
      <c r="Z15" s="10"/>
      <c r="AA15" s="10"/>
      <c r="AB15" s="10"/>
      <c r="AC15" s="38"/>
      <c r="AD15" s="38"/>
      <c r="AE15" s="38"/>
      <c r="AF15" s="38"/>
      <c r="AG15" s="38"/>
      <c r="AH15" s="38"/>
      <c r="AI15" s="38"/>
      <c r="AJ15" s="38"/>
      <c r="AK15" s="38"/>
      <c r="AL15" s="38">
        <f t="shared" si="2"/>
        <v>685</v>
      </c>
      <c r="AM15" s="38"/>
      <c r="AN15" s="38"/>
      <c r="AO15" s="38">
        <f t="shared" si="9"/>
        <v>685</v>
      </c>
      <c r="AP15" s="38"/>
      <c r="AQ15" s="38"/>
      <c r="AR15" s="38"/>
      <c r="AS15" s="38"/>
      <c r="AT15" s="38">
        <f t="shared" si="3"/>
        <v>136000280000</v>
      </c>
      <c r="AU15" s="38">
        <f t="shared" si="4"/>
        <v>0</v>
      </c>
      <c r="AV15" s="38"/>
      <c r="AW15" s="38"/>
      <c r="AX15" s="38"/>
      <c r="AY15" s="38"/>
      <c r="AZ15" s="38"/>
      <c r="BA15" s="38"/>
      <c r="BB15" s="38"/>
      <c r="BC15" s="38">
        <f t="shared" si="5"/>
        <v>1825525000</v>
      </c>
      <c r="BD15" s="38"/>
      <c r="BE15" s="9"/>
      <c r="BF15" s="9"/>
      <c r="BG15" s="32"/>
      <c r="BH15" s="34">
        <f t="shared" si="12"/>
        <v>49650.145587562867</v>
      </c>
      <c r="BI15" s="9"/>
      <c r="BJ15" s="9"/>
      <c r="BK15" s="35">
        <f t="shared" si="13"/>
        <v>3520316.8262155163</v>
      </c>
      <c r="BN15" s="38">
        <f t="shared" si="14"/>
        <v>174543220854.63544</v>
      </c>
      <c r="BO15" s="37"/>
      <c r="BP15" s="37"/>
      <c r="BQ15" s="38">
        <f t="shared" si="6"/>
        <v>685</v>
      </c>
      <c r="BR15" s="38">
        <f t="shared" si="10"/>
        <v>685</v>
      </c>
      <c r="BS15" s="38">
        <f t="shared" si="11"/>
        <v>0</v>
      </c>
      <c r="BT15" s="38">
        <f t="shared" si="22"/>
        <v>63.346405228758172</v>
      </c>
      <c r="BU15" s="38">
        <f t="shared" si="17"/>
        <v>85</v>
      </c>
      <c r="BV15" s="38">
        <f t="shared" si="18"/>
        <v>805</v>
      </c>
      <c r="BW15" s="38">
        <f t="shared" si="19"/>
        <v>484131</v>
      </c>
      <c r="BX15" s="38">
        <f t="shared" si="20"/>
        <v>4150343</v>
      </c>
      <c r="BY15" s="38">
        <f t="shared" si="23"/>
        <v>427.0242424242424</v>
      </c>
      <c r="BZ15" s="38">
        <f t="shared" si="24"/>
        <v>44783.393939393936</v>
      </c>
      <c r="CA15" s="38">
        <f t="shared" si="21"/>
        <v>50334.709090909091</v>
      </c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</row>
    <row r="16" spans="1:93" s="8" customFormat="1" x14ac:dyDescent="0.25">
      <c r="A16" s="8">
        <v>14</v>
      </c>
      <c r="B16" s="9">
        <f>DATA!H15</f>
        <v>50410</v>
      </c>
      <c r="C16" s="10">
        <f>DATA!C418+DATA!D418</f>
        <v>14413000</v>
      </c>
      <c r="D16" s="10">
        <f t="shared" si="0"/>
        <v>726559330000</v>
      </c>
      <c r="E16" s="10">
        <f t="shared" si="15"/>
        <v>48835.5</v>
      </c>
      <c r="F16" s="10"/>
      <c r="G16" s="10"/>
      <c r="H16" s="38"/>
      <c r="I16" s="28">
        <f t="shared" si="25"/>
        <v>48292.923076923078</v>
      </c>
      <c r="J16" s="9"/>
      <c r="K16" s="9"/>
      <c r="L16" s="9"/>
      <c r="M16" s="9"/>
      <c r="N16" s="9"/>
      <c r="O16" s="9"/>
      <c r="P16" s="10"/>
      <c r="Q16" s="10"/>
      <c r="R16" s="38">
        <f t="shared" si="16"/>
        <v>49112.5</v>
      </c>
      <c r="S16" s="38"/>
      <c r="T16" s="38"/>
      <c r="U16" s="38"/>
      <c r="V16" s="38"/>
      <c r="W16" s="10">
        <f t="shared" si="1"/>
        <v>-1.2188430788524848E-2</v>
      </c>
      <c r="X16" s="27">
        <f t="shared" si="7"/>
        <v>0</v>
      </c>
      <c r="Y16" s="27">
        <f t="shared" si="8"/>
        <v>1.2188430788524848E-2</v>
      </c>
      <c r="Z16" s="10"/>
      <c r="AA16" s="10"/>
      <c r="AB16" s="10"/>
      <c r="AC16" s="38"/>
      <c r="AD16" s="38"/>
      <c r="AE16" s="38">
        <f>AVERAGE(B3:B16)</f>
        <v>47823</v>
      </c>
      <c r="AF16" s="38">
        <f>STDEV(B3:B16)</f>
        <v>2057.5871605054604</v>
      </c>
      <c r="AG16" s="38">
        <f>IF(W16&gt;=0,AF16,0)</f>
        <v>0</v>
      </c>
      <c r="AH16" s="38">
        <f>IF(W16&lt;0,AF16,0)</f>
        <v>2057.5871605054604</v>
      </c>
      <c r="AI16" s="38"/>
      <c r="AJ16" s="38"/>
      <c r="AK16" s="38"/>
      <c r="AL16" s="38">
        <f t="shared" si="2"/>
        <v>-622</v>
      </c>
      <c r="AM16" s="38"/>
      <c r="AN16" s="38"/>
      <c r="AO16" s="38">
        <f t="shared" si="9"/>
        <v>622</v>
      </c>
      <c r="AP16" s="38"/>
      <c r="AQ16" s="38"/>
      <c r="AR16" s="38"/>
      <c r="AS16" s="38"/>
      <c r="AT16" s="38">
        <f t="shared" si="3"/>
        <v>0</v>
      </c>
      <c r="AU16" s="38">
        <f t="shared" si="4"/>
        <v>726559330000</v>
      </c>
      <c r="AV16" s="38"/>
      <c r="AW16" s="38"/>
      <c r="AX16" s="38"/>
      <c r="AY16" s="38"/>
      <c r="AZ16" s="38"/>
      <c r="BA16" s="38"/>
      <c r="BB16" s="38"/>
      <c r="BC16" s="38">
        <f t="shared" si="5"/>
        <v>-8964886000</v>
      </c>
      <c r="BD16" s="38">
        <f>AVERAGE(BC4:BC16)</f>
        <v>1579715048.3076923</v>
      </c>
      <c r="BE16" s="9">
        <f t="shared" ref="BE16:BE62" si="26">MAX(B3:B16)</f>
        <v>51032</v>
      </c>
      <c r="BF16" s="9">
        <f t="shared" ref="BF16:BF62" si="27">MIN(B3:B16)</f>
        <v>44514</v>
      </c>
      <c r="BG16" s="32">
        <f t="shared" ref="BG16:BG62" si="28">(B16-BF16)/(BE16-BF16)</f>
        <v>0.90457195458729667</v>
      </c>
      <c r="BH16" s="34">
        <f t="shared" si="12"/>
        <v>49903.430391708578</v>
      </c>
      <c r="BI16" s="9"/>
      <c r="BJ16" s="9"/>
      <c r="BK16" s="35">
        <f t="shared" si="13"/>
        <v>7151211.2174770106</v>
      </c>
      <c r="BN16" s="38">
        <f t="shared" si="14"/>
        <v>358548590569.75696</v>
      </c>
      <c r="BO16" s="37"/>
      <c r="BP16" s="37"/>
      <c r="BQ16" s="38">
        <f t="shared" si="6"/>
        <v>-622</v>
      </c>
      <c r="BR16" s="38">
        <f t="shared" si="10"/>
        <v>0</v>
      </c>
      <c r="BS16" s="38">
        <f t="shared" si="11"/>
        <v>622</v>
      </c>
      <c r="BT16" s="38">
        <f t="shared" si="22"/>
        <v>40.020743813898356</v>
      </c>
      <c r="BU16" s="38">
        <f t="shared" si="17"/>
        <v>95</v>
      </c>
      <c r="BV16" s="38">
        <f t="shared" si="18"/>
        <v>985</v>
      </c>
      <c r="BW16" s="38">
        <f t="shared" si="19"/>
        <v>488355</v>
      </c>
      <c r="BX16" s="38">
        <f t="shared" si="20"/>
        <v>4671339</v>
      </c>
      <c r="BY16" s="38">
        <f t="shared" si="23"/>
        <v>387.4727272727273</v>
      </c>
      <c r="BZ16" s="38">
        <f t="shared" si="24"/>
        <v>45154.509090909094</v>
      </c>
      <c r="CA16" s="38">
        <f t="shared" si="21"/>
        <v>50579.127272727274</v>
      </c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</row>
    <row r="17" spans="1:93" s="8" customFormat="1" x14ac:dyDescent="0.25">
      <c r="A17" s="8">
        <v>15</v>
      </c>
      <c r="B17" s="9">
        <f>DATA!H16</f>
        <v>50352</v>
      </c>
      <c r="C17" s="10">
        <f>DATA!C409+DATA!D409</f>
        <v>11516000</v>
      </c>
      <c r="D17" s="10">
        <f t="shared" si="0"/>
        <v>579853632000</v>
      </c>
      <c r="E17" s="10">
        <f t="shared" si="15"/>
        <v>49099.8</v>
      </c>
      <c r="F17" s="10"/>
      <c r="G17" s="10"/>
      <c r="H17" s="38"/>
      <c r="I17" s="28">
        <f t="shared" si="25"/>
        <v>48609.704142011833</v>
      </c>
      <c r="J17" s="9"/>
      <c r="K17" s="9"/>
      <c r="L17" s="9"/>
      <c r="M17" s="9"/>
      <c r="N17" s="9"/>
      <c r="O17" s="9"/>
      <c r="P17" s="10"/>
      <c r="Q17" s="10"/>
      <c r="R17" s="38">
        <f t="shared" si="16"/>
        <v>49112.5</v>
      </c>
      <c r="S17" s="38"/>
      <c r="T17" s="38"/>
      <c r="U17" s="38"/>
      <c r="V17" s="38"/>
      <c r="W17" s="10">
        <f t="shared" si="1"/>
        <v>-1.1505653640150764E-3</v>
      </c>
      <c r="X17" s="27">
        <f t="shared" si="7"/>
        <v>0</v>
      </c>
      <c r="Y17" s="27">
        <f t="shared" si="8"/>
        <v>1.1505653640150764E-3</v>
      </c>
      <c r="Z17" s="10">
        <f>AVERAGE(X4:X17)</f>
        <v>1.2807679999208829E-2</v>
      </c>
      <c r="AA17" s="10">
        <f>AVERAGE(Y4:Y17)</f>
        <v>4.5424463986318787E-3</v>
      </c>
      <c r="AB17" s="10">
        <f>100*Z17/(Z17+AA17)</f>
        <v>73.818943479298198</v>
      </c>
      <c r="AC17" s="38"/>
      <c r="AD17" s="38"/>
      <c r="AE17" s="38">
        <f t="shared" ref="AE17:AE62" si="29">AVERAGE(B4:B17)</f>
        <v>48205.785714285717</v>
      </c>
      <c r="AF17" s="38">
        <f t="shared" ref="AF17:AF62" si="30">STDEV(B4:B17)</f>
        <v>1987.9103128883637</v>
      </c>
      <c r="AG17" s="38">
        <f t="shared" ref="AG17:AG62" si="31">IF(W17&gt;=0,AF17,0)</f>
        <v>0</v>
      </c>
      <c r="AH17" s="38">
        <f t="shared" ref="AH17:AH62" si="32">IF(W17&lt;0,AF17,0)</f>
        <v>1987.9103128883637</v>
      </c>
      <c r="AI17" s="38"/>
      <c r="AJ17" s="38"/>
      <c r="AK17" s="38"/>
      <c r="AL17" s="38">
        <f t="shared" si="2"/>
        <v>-58</v>
      </c>
      <c r="AM17" s="38"/>
      <c r="AN17" s="38"/>
      <c r="AO17" s="38">
        <f t="shared" si="9"/>
        <v>58</v>
      </c>
      <c r="AP17" s="38"/>
      <c r="AQ17" s="38"/>
      <c r="AR17" s="38"/>
      <c r="AS17" s="38"/>
      <c r="AT17" s="38">
        <f t="shared" si="3"/>
        <v>0</v>
      </c>
      <c r="AU17" s="38">
        <f t="shared" si="4"/>
        <v>579853632000</v>
      </c>
      <c r="AV17" s="38">
        <f>AVERAGE(AT4:AT17)</f>
        <v>115226889884.42857</v>
      </c>
      <c r="AW17" s="38">
        <f>AVERAGE(AU4:AU17)</f>
        <v>126195620617.57143</v>
      </c>
      <c r="AX17" s="38">
        <f>AV17/AW17</f>
        <v>0.91308152628859474</v>
      </c>
      <c r="AY17" s="38">
        <f>IF(AW17=0,100,100-(100/(1+AX17)))</f>
        <v>47.728312345370135</v>
      </c>
      <c r="AZ17" s="38"/>
      <c r="BA17" s="38"/>
      <c r="BB17" s="38"/>
      <c r="BC17" s="38">
        <f t="shared" si="5"/>
        <v>-667928000</v>
      </c>
      <c r="BD17" s="38">
        <f>(2/14)*(BC17-BD16)+BD16</f>
        <v>1258623184.2637362</v>
      </c>
      <c r="BE17" s="9">
        <f t="shared" si="26"/>
        <v>51032</v>
      </c>
      <c r="BF17" s="9">
        <f t="shared" si="27"/>
        <v>44514</v>
      </c>
      <c r="BG17" s="32">
        <f t="shared" si="28"/>
        <v>0.89567351948450447</v>
      </c>
      <c r="BH17" s="34">
        <f t="shared" si="12"/>
        <v>50052.953594472383</v>
      </c>
      <c r="BI17" s="9"/>
      <c r="BJ17" s="9"/>
      <c r="BK17" s="35">
        <f t="shared" si="13"/>
        <v>8606140.8116513398</v>
      </c>
      <c r="BN17" s="38">
        <f t="shared" si="14"/>
        <v>432316937713.17126</v>
      </c>
      <c r="BO17" s="37"/>
      <c r="BP17" s="37"/>
      <c r="BQ17" s="38">
        <f t="shared" si="6"/>
        <v>-58</v>
      </c>
      <c r="BR17" s="38">
        <f t="shared" si="10"/>
        <v>0</v>
      </c>
      <c r="BS17" s="38">
        <f t="shared" si="11"/>
        <v>58</v>
      </c>
      <c r="BT17" s="38">
        <f t="shared" si="22"/>
        <v>35.85951940850277</v>
      </c>
      <c r="BU17" s="38">
        <f t="shared" si="17"/>
        <v>105</v>
      </c>
      <c r="BV17" s="38">
        <f t="shared" si="18"/>
        <v>1185</v>
      </c>
      <c r="BW17" s="38">
        <f t="shared" si="19"/>
        <v>490998</v>
      </c>
      <c r="BX17" s="38">
        <f t="shared" si="20"/>
        <v>5188074</v>
      </c>
      <c r="BY17" s="38">
        <f t="shared" si="23"/>
        <v>395.09090909090907</v>
      </c>
      <c r="BZ17" s="38">
        <f t="shared" si="24"/>
        <v>44951.345454545452</v>
      </c>
      <c r="CA17" s="38">
        <f t="shared" si="21"/>
        <v>50877.709090909091</v>
      </c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</row>
    <row r="18" spans="1:93" s="8" customFormat="1" x14ac:dyDescent="0.25">
      <c r="A18" s="8">
        <v>16</v>
      </c>
      <c r="B18" s="9">
        <f>DATA!H17</f>
        <v>48388</v>
      </c>
      <c r="C18" s="10">
        <f>DATA!C400+DATA!D5400</f>
        <v>2291000</v>
      </c>
      <c r="D18" s="10">
        <f t="shared" si="0"/>
        <v>110856908000</v>
      </c>
      <c r="E18" s="10">
        <f t="shared" si="15"/>
        <v>49136.2</v>
      </c>
      <c r="F18" s="10"/>
      <c r="G18" s="10"/>
      <c r="H18" s="38"/>
      <c r="I18" s="28">
        <f t="shared" si="25"/>
        <v>48575.595812471554</v>
      </c>
      <c r="J18" s="9"/>
      <c r="K18" s="9"/>
      <c r="L18" s="9"/>
      <c r="M18" s="9"/>
      <c r="N18" s="9"/>
      <c r="O18" s="9"/>
      <c r="P18" s="10"/>
      <c r="Q18" s="10"/>
      <c r="R18" s="38">
        <f t="shared" si="16"/>
        <v>49112.5</v>
      </c>
      <c r="S18" s="38"/>
      <c r="T18" s="38"/>
      <c r="U18" s="38"/>
      <c r="V18" s="38"/>
      <c r="W18" s="10">
        <f t="shared" si="1"/>
        <v>-3.9005401970130284E-2</v>
      </c>
      <c r="X18" s="27">
        <f t="shared" si="7"/>
        <v>0</v>
      </c>
      <c r="Y18" s="27">
        <f t="shared" si="8"/>
        <v>3.9005401970130284E-2</v>
      </c>
      <c r="Z18" s="10">
        <f t="shared" ref="Z18:AA18" si="33">AVERAGE(X5:X18)</f>
        <v>1.204406915180717E-2</v>
      </c>
      <c r="AA18" s="10">
        <f t="shared" si="33"/>
        <v>7.32854653935547E-3</v>
      </c>
      <c r="AB18" s="38">
        <f t="shared" ref="AB18:AB62" si="34">100*Z18/(Z18+AA18)</f>
        <v>62.170588338782821</v>
      </c>
      <c r="AC18" s="38"/>
      <c r="AD18" s="38"/>
      <c r="AE18" s="38">
        <f t="shared" si="29"/>
        <v>48413.928571428572</v>
      </c>
      <c r="AF18" s="38">
        <f t="shared" si="30"/>
        <v>1825.8245119265021</v>
      </c>
      <c r="AG18" s="38">
        <f t="shared" si="31"/>
        <v>0</v>
      </c>
      <c r="AH18" s="38">
        <f t="shared" si="32"/>
        <v>1825.8245119265021</v>
      </c>
      <c r="AI18" s="38"/>
      <c r="AJ18" s="38"/>
      <c r="AK18" s="38"/>
      <c r="AL18" s="38">
        <f t="shared" si="2"/>
        <v>-1964</v>
      </c>
      <c r="AM18" s="38"/>
      <c r="AN18" s="38"/>
      <c r="AO18" s="38">
        <f t="shared" si="9"/>
        <v>1964</v>
      </c>
      <c r="AP18" s="38"/>
      <c r="AQ18" s="38"/>
      <c r="AR18" s="38"/>
      <c r="AS18" s="38"/>
      <c r="AT18" s="38">
        <f t="shared" si="3"/>
        <v>0</v>
      </c>
      <c r="AU18" s="38">
        <f t="shared" si="4"/>
        <v>110856908000</v>
      </c>
      <c r="AV18" s="38">
        <f t="shared" ref="AV18:AW18" si="35">AVERAGE(AT5:AT18)</f>
        <v>101311469099.85715</v>
      </c>
      <c r="AW18" s="38">
        <f t="shared" si="35"/>
        <v>134113971189</v>
      </c>
      <c r="AX18" s="38">
        <f t="shared" ref="AX18:AX62" si="36">AV18/AW18</f>
        <v>0.75541323697800322</v>
      </c>
      <c r="AY18" s="38">
        <f t="shared" ref="AY18:AY62" si="37">IF(AW18=0,100,100-(100/(1+AX18)))</f>
        <v>43.033356537658904</v>
      </c>
      <c r="AZ18" s="38"/>
      <c r="BA18" s="38"/>
      <c r="BB18" s="38"/>
      <c r="BC18" s="38">
        <f t="shared" si="5"/>
        <v>-4499524000</v>
      </c>
      <c r="BD18" s="38">
        <f t="shared" ref="BD18:BD62" si="38">(2/14)*(BC18-BD17)+BD17</f>
        <v>436030729.36891675</v>
      </c>
      <c r="BE18" s="9">
        <f t="shared" si="26"/>
        <v>51032</v>
      </c>
      <c r="BF18" s="9">
        <f t="shared" si="27"/>
        <v>44514</v>
      </c>
      <c r="BG18" s="32">
        <f t="shared" si="28"/>
        <v>0.59435409634857317</v>
      </c>
      <c r="BH18" s="34">
        <f t="shared" si="12"/>
        <v>49497.969062981589</v>
      </c>
      <c r="BI18" s="9"/>
      <c r="BJ18" s="9"/>
      <c r="BK18" s="35">
        <f t="shared" si="13"/>
        <v>6501093.8744342271</v>
      </c>
      <c r="BN18" s="38">
        <f t="shared" si="14"/>
        <v>325163594475.44751</v>
      </c>
      <c r="BO18" s="37"/>
      <c r="BP18" s="37"/>
      <c r="BQ18" s="38">
        <f t="shared" si="6"/>
        <v>-1964</v>
      </c>
      <c r="BR18" s="38">
        <f t="shared" si="10"/>
        <v>0</v>
      </c>
      <c r="BS18" s="38">
        <f t="shared" si="11"/>
        <v>1964</v>
      </c>
      <c r="BT18" s="38">
        <f t="shared" si="22"/>
        <v>3.5518474374255065</v>
      </c>
      <c r="BU18" s="38">
        <f t="shared" si="17"/>
        <v>115</v>
      </c>
      <c r="BV18" s="38">
        <f t="shared" si="18"/>
        <v>1405</v>
      </c>
      <c r="BW18" s="38">
        <f t="shared" si="19"/>
        <v>491362</v>
      </c>
      <c r="BX18" s="38">
        <f t="shared" si="20"/>
        <v>5674138</v>
      </c>
      <c r="BY18" s="38">
        <f t="shared" si="23"/>
        <v>284.54545454545456</v>
      </c>
      <c r="BZ18" s="38">
        <f t="shared" si="24"/>
        <v>45863.927272727269</v>
      </c>
      <c r="CA18" s="38">
        <f t="shared" si="21"/>
        <v>50416.654545454541</v>
      </c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</row>
    <row r="19" spans="1:93" s="8" customFormat="1" x14ac:dyDescent="0.25">
      <c r="A19" s="8">
        <v>17</v>
      </c>
      <c r="B19" s="9">
        <f>DATA!H18</f>
        <v>47514</v>
      </c>
      <c r="C19" s="10">
        <f>DATA!C391+DATA!D391</f>
        <v>9387000</v>
      </c>
      <c r="D19" s="10">
        <f t="shared" si="0"/>
        <v>446013918000</v>
      </c>
      <c r="E19" s="10">
        <f t="shared" si="15"/>
        <v>49078.6</v>
      </c>
      <c r="F19" s="10"/>
      <c r="G19" s="10"/>
      <c r="H19" s="38"/>
      <c r="I19" s="28">
        <f t="shared" si="25"/>
        <v>48412.273379783626</v>
      </c>
      <c r="J19" s="9"/>
      <c r="K19" s="9"/>
      <c r="L19" s="9"/>
      <c r="M19" s="9"/>
      <c r="N19" s="9"/>
      <c r="O19" s="9"/>
      <c r="P19" s="10"/>
      <c r="Q19" s="10"/>
      <c r="R19" s="38">
        <f t="shared" si="16"/>
        <v>49273</v>
      </c>
      <c r="S19" s="38"/>
      <c r="T19" s="38"/>
      <c r="U19" s="38"/>
      <c r="V19" s="38"/>
      <c r="W19" s="10">
        <f t="shared" si="1"/>
        <v>-1.8062329503182609E-2</v>
      </c>
      <c r="X19" s="27">
        <f t="shared" si="7"/>
        <v>0</v>
      </c>
      <c r="Y19" s="27">
        <f t="shared" si="8"/>
        <v>1.8062329503182609E-2</v>
      </c>
      <c r="Z19" s="10">
        <f t="shared" ref="Z19:AA19" si="39">AVERAGE(X6:X19)</f>
        <v>1.204406915180717E-2</v>
      </c>
      <c r="AA19" s="10">
        <f t="shared" si="39"/>
        <v>7.1107868962120195E-3</v>
      </c>
      <c r="AB19" s="38">
        <f t="shared" si="34"/>
        <v>62.877367084430013</v>
      </c>
      <c r="AC19" s="38"/>
      <c r="AD19" s="38"/>
      <c r="AE19" s="38">
        <f t="shared" si="29"/>
        <v>48628.214285714283</v>
      </c>
      <c r="AF19" s="38">
        <f t="shared" si="30"/>
        <v>1475.3051407223381</v>
      </c>
      <c r="AG19" s="38">
        <f t="shared" si="31"/>
        <v>0</v>
      </c>
      <c r="AH19" s="38">
        <f t="shared" si="32"/>
        <v>1475.3051407223381</v>
      </c>
      <c r="AI19" s="38"/>
      <c r="AJ19" s="38"/>
      <c r="AK19" s="38"/>
      <c r="AL19" s="38">
        <f t="shared" si="2"/>
        <v>-874</v>
      </c>
      <c r="AM19" s="38"/>
      <c r="AN19" s="38"/>
      <c r="AO19" s="38">
        <f t="shared" si="9"/>
        <v>874</v>
      </c>
      <c r="AP19" s="38"/>
      <c r="AQ19" s="38"/>
      <c r="AR19" s="38"/>
      <c r="AS19" s="38"/>
      <c r="AT19" s="38">
        <f t="shared" si="3"/>
        <v>0</v>
      </c>
      <c r="AU19" s="38">
        <f t="shared" si="4"/>
        <v>446013918000</v>
      </c>
      <c r="AV19" s="38">
        <f t="shared" ref="AV19:AW19" si="40">AVERAGE(AT6:AT19)</f>
        <v>101311469099.85715</v>
      </c>
      <c r="AW19" s="38">
        <f t="shared" si="40"/>
        <v>152280873617.57144</v>
      </c>
      <c r="AX19" s="38">
        <f t="shared" si="36"/>
        <v>0.66529345868007272</v>
      </c>
      <c r="AY19" s="38">
        <f t="shared" si="37"/>
        <v>39.950523747771797</v>
      </c>
      <c r="AZ19" s="38"/>
      <c r="BA19" s="38"/>
      <c r="BB19" s="38"/>
      <c r="BC19" s="38">
        <f t="shared" si="5"/>
        <v>-8204238000</v>
      </c>
      <c r="BD19" s="38">
        <f t="shared" si="38"/>
        <v>-798293374.82664275</v>
      </c>
      <c r="BE19" s="9">
        <f t="shared" si="26"/>
        <v>51032</v>
      </c>
      <c r="BF19" s="9">
        <f t="shared" si="27"/>
        <v>46186</v>
      </c>
      <c r="BG19" s="32">
        <f t="shared" si="28"/>
        <v>0.27404044572843583</v>
      </c>
      <c r="BH19" s="34">
        <f t="shared" si="12"/>
        <v>48836.646041987726</v>
      </c>
      <c r="BI19" s="9"/>
      <c r="BJ19" s="9"/>
      <c r="BK19" s="35">
        <f t="shared" si="13"/>
        <v>7463062.5829561511</v>
      </c>
      <c r="BN19" s="38">
        <f t="shared" si="14"/>
        <v>365447035650.29834</v>
      </c>
      <c r="BO19" s="37"/>
      <c r="BP19" s="37"/>
      <c r="BQ19" s="38">
        <f t="shared" si="6"/>
        <v>-874</v>
      </c>
      <c r="BR19" s="38">
        <f t="shared" si="10"/>
        <v>0</v>
      </c>
      <c r="BS19" s="38">
        <f t="shared" si="11"/>
        <v>874</v>
      </c>
      <c r="BT19" s="38">
        <f t="shared" si="22"/>
        <v>3.8365005378271784</v>
      </c>
      <c r="BU19" s="38">
        <f t="shared" si="17"/>
        <v>125</v>
      </c>
      <c r="BV19" s="38">
        <f t="shared" si="18"/>
        <v>1645</v>
      </c>
      <c r="BW19" s="38">
        <f t="shared" si="19"/>
        <v>490786</v>
      </c>
      <c r="BX19" s="38">
        <f t="shared" si="20"/>
        <v>6145246</v>
      </c>
      <c r="BY19" s="38">
        <f t="shared" si="23"/>
        <v>126.31515151515151</v>
      </c>
      <c r="BZ19" s="38">
        <f t="shared" si="24"/>
        <v>47499.660606060606</v>
      </c>
      <c r="CA19" s="38">
        <f t="shared" si="21"/>
        <v>49647.018181818181</v>
      </c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</row>
    <row r="20" spans="1:93" s="8" customFormat="1" x14ac:dyDescent="0.25">
      <c r="A20" s="8">
        <v>18</v>
      </c>
      <c r="B20" s="9">
        <f>DATA!H19</f>
        <v>48464</v>
      </c>
      <c r="C20" s="10">
        <f>DATA!C382+DATA!D382</f>
        <v>220544</v>
      </c>
      <c r="D20" s="10">
        <f t="shared" si="0"/>
        <v>10688444416</v>
      </c>
      <c r="E20" s="10">
        <f t="shared" si="15"/>
        <v>49205.7</v>
      </c>
      <c r="F20" s="10"/>
      <c r="G20" s="10"/>
      <c r="H20" s="38"/>
      <c r="I20" s="28">
        <f t="shared" si="25"/>
        <v>48420.231321355379</v>
      </c>
      <c r="J20" s="9"/>
      <c r="K20" s="9"/>
      <c r="L20" s="9"/>
      <c r="M20" s="9"/>
      <c r="N20" s="9"/>
      <c r="O20" s="9"/>
      <c r="P20" s="10"/>
      <c r="Q20" s="10"/>
      <c r="R20" s="38">
        <f t="shared" si="16"/>
        <v>49273</v>
      </c>
      <c r="S20" s="38"/>
      <c r="T20" s="38"/>
      <c r="U20" s="38"/>
      <c r="V20" s="38"/>
      <c r="W20" s="10">
        <f t="shared" si="1"/>
        <v>1.9994107000042092E-2</v>
      </c>
      <c r="X20" s="27">
        <f t="shared" si="7"/>
        <v>1.9994107000042092E-2</v>
      </c>
      <c r="Y20" s="27">
        <f t="shared" si="8"/>
        <v>0</v>
      </c>
      <c r="Z20" s="10">
        <f t="shared" ref="Z20:AA20" si="41">AVERAGE(X7:X20)</f>
        <v>1.0789275602105108E-2</v>
      </c>
      <c r="AA20" s="10">
        <f t="shared" si="41"/>
        <v>7.1107868962120195E-3</v>
      </c>
      <c r="AB20" s="38">
        <f t="shared" si="34"/>
        <v>60.275072241336922</v>
      </c>
      <c r="AC20" s="38"/>
      <c r="AD20" s="38"/>
      <c r="AE20" s="38">
        <f t="shared" si="29"/>
        <v>48790.928571428572</v>
      </c>
      <c r="AF20" s="38">
        <f t="shared" si="30"/>
        <v>1300.494607937582</v>
      </c>
      <c r="AG20" s="38">
        <f t="shared" si="31"/>
        <v>1300.494607937582</v>
      </c>
      <c r="AH20" s="38">
        <f t="shared" si="32"/>
        <v>0</v>
      </c>
      <c r="AI20" s="38"/>
      <c r="AJ20" s="38"/>
      <c r="AK20" s="38"/>
      <c r="AL20" s="38">
        <f t="shared" si="2"/>
        <v>950</v>
      </c>
      <c r="AM20" s="38"/>
      <c r="AN20" s="38"/>
      <c r="AO20" s="38">
        <f t="shared" si="9"/>
        <v>950</v>
      </c>
      <c r="AP20" s="38"/>
      <c r="AQ20" s="38"/>
      <c r="AR20" s="38"/>
      <c r="AS20" s="38"/>
      <c r="AT20" s="38">
        <f t="shared" si="3"/>
        <v>10688444416</v>
      </c>
      <c r="AU20" s="38">
        <f t="shared" si="4"/>
        <v>0</v>
      </c>
      <c r="AV20" s="38">
        <f t="shared" ref="AV20:AW20" si="42">AVERAGE(AT7:AT20)</f>
        <v>86153955415.285721</v>
      </c>
      <c r="AW20" s="38">
        <f t="shared" si="42"/>
        <v>152280873617.57144</v>
      </c>
      <c r="AX20" s="38">
        <f t="shared" si="36"/>
        <v>0.56575690281136237</v>
      </c>
      <c r="AY20" s="38">
        <f t="shared" si="37"/>
        <v>36.133125250511711</v>
      </c>
      <c r="AZ20" s="38"/>
      <c r="BA20" s="38"/>
      <c r="BB20" s="38"/>
      <c r="BC20" s="38">
        <f t="shared" si="5"/>
        <v>209516800</v>
      </c>
      <c r="BD20" s="38">
        <f t="shared" si="38"/>
        <v>-654320492.70855093</v>
      </c>
      <c r="BE20" s="9">
        <f t="shared" si="26"/>
        <v>51032</v>
      </c>
      <c r="BF20" s="9">
        <f t="shared" si="27"/>
        <v>47193</v>
      </c>
      <c r="BG20" s="32">
        <f t="shared" si="28"/>
        <v>0.33107580098984113</v>
      </c>
      <c r="BH20" s="34">
        <f t="shared" si="12"/>
        <v>48712.430694658484</v>
      </c>
      <c r="BI20" s="9"/>
      <c r="BJ20" s="9"/>
      <c r="BK20" s="35">
        <f t="shared" si="13"/>
        <v>5048889.7219707677</v>
      </c>
      <c r="BN20" s="38">
        <f t="shared" si="14"/>
        <v>247194171905.53223</v>
      </c>
      <c r="BO20" s="37"/>
      <c r="BP20" s="37"/>
      <c r="BQ20" s="38">
        <f t="shared" si="6"/>
        <v>950</v>
      </c>
      <c r="BR20" s="38">
        <f t="shared" si="10"/>
        <v>950</v>
      </c>
      <c r="BS20" s="38">
        <f t="shared" si="11"/>
        <v>0</v>
      </c>
      <c r="BT20" s="38">
        <f t="shared" si="22"/>
        <v>3.9512952130834429</v>
      </c>
      <c r="BU20" s="38">
        <f t="shared" si="17"/>
        <v>135</v>
      </c>
      <c r="BV20" s="38">
        <f t="shared" si="18"/>
        <v>1905</v>
      </c>
      <c r="BW20" s="38">
        <f t="shared" si="19"/>
        <v>492057</v>
      </c>
      <c r="BX20" s="38">
        <f t="shared" si="20"/>
        <v>6640054</v>
      </c>
      <c r="BY20" s="38">
        <f t="shared" si="23"/>
        <v>-32.915151515151514</v>
      </c>
      <c r="BZ20" s="38">
        <f t="shared" si="24"/>
        <v>49650.054545454543</v>
      </c>
      <c r="CA20" s="38">
        <f t="shared" si="21"/>
        <v>49057.581818181818</v>
      </c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</row>
    <row r="21" spans="1:93" s="8" customFormat="1" x14ac:dyDescent="0.25">
      <c r="A21" s="8">
        <v>19</v>
      </c>
      <c r="B21" s="9">
        <f>DATA!H20</f>
        <v>50887</v>
      </c>
      <c r="C21" s="10">
        <f>DATA!C373+DATA!D373</f>
        <v>447477</v>
      </c>
      <c r="D21" s="10">
        <f t="shared" si="0"/>
        <v>22770762099</v>
      </c>
      <c r="E21" s="10">
        <f t="shared" si="15"/>
        <v>49481.1</v>
      </c>
      <c r="F21" s="10"/>
      <c r="G21" s="10"/>
      <c r="H21" s="38"/>
      <c r="I21" s="28">
        <f t="shared" si="25"/>
        <v>48799.734194993012</v>
      </c>
      <c r="J21" s="9"/>
      <c r="K21" s="9"/>
      <c r="L21" s="9"/>
      <c r="M21" s="9"/>
      <c r="N21" s="9"/>
      <c r="O21" s="9"/>
      <c r="P21" s="10"/>
      <c r="Q21" s="10"/>
      <c r="R21" s="38">
        <f t="shared" si="16"/>
        <v>49273</v>
      </c>
      <c r="S21" s="38"/>
      <c r="T21" s="38"/>
      <c r="U21" s="38"/>
      <c r="V21" s="38"/>
      <c r="W21" s="10">
        <f t="shared" si="1"/>
        <v>4.9995873225486959E-2</v>
      </c>
      <c r="X21" s="27">
        <f t="shared" si="7"/>
        <v>4.9995873225486959E-2</v>
      </c>
      <c r="Y21" s="27">
        <f t="shared" si="8"/>
        <v>0</v>
      </c>
      <c r="Z21" s="10">
        <f t="shared" ref="Z21:AA21" si="43">AVERAGE(X8:X21)</f>
        <v>1.200502651115043E-2</v>
      </c>
      <c r="AA21" s="10">
        <f t="shared" si="43"/>
        <v>7.1107868962120195E-3</v>
      </c>
      <c r="AB21" s="38">
        <f t="shared" si="34"/>
        <v>62.801546841457963</v>
      </c>
      <c r="AC21" s="38"/>
      <c r="AD21" s="38"/>
      <c r="AE21" s="38">
        <f t="shared" si="29"/>
        <v>49017.928571428572</v>
      </c>
      <c r="AF21" s="38">
        <f t="shared" si="30"/>
        <v>1372.4840178016207</v>
      </c>
      <c r="AG21" s="38">
        <f t="shared" si="31"/>
        <v>1372.4840178016207</v>
      </c>
      <c r="AH21" s="38">
        <f t="shared" si="32"/>
        <v>0</v>
      </c>
      <c r="AI21" s="38"/>
      <c r="AJ21" s="38"/>
      <c r="AK21" s="38"/>
      <c r="AL21" s="38">
        <f t="shared" si="2"/>
        <v>2423</v>
      </c>
      <c r="AM21" s="38"/>
      <c r="AN21" s="38"/>
      <c r="AO21" s="38">
        <f t="shared" si="9"/>
        <v>2423</v>
      </c>
      <c r="AP21" s="38"/>
      <c r="AQ21" s="38"/>
      <c r="AR21" s="38"/>
      <c r="AS21" s="38"/>
      <c r="AT21" s="38">
        <f t="shared" si="3"/>
        <v>22770762099</v>
      </c>
      <c r="AU21" s="38">
        <f t="shared" si="4"/>
        <v>0</v>
      </c>
      <c r="AV21" s="38">
        <f t="shared" ref="AV21:AW21" si="44">AVERAGE(AT8:AT21)</f>
        <v>78956222675.785721</v>
      </c>
      <c r="AW21" s="38">
        <f t="shared" si="44"/>
        <v>152280873617.57144</v>
      </c>
      <c r="AX21" s="38">
        <f t="shared" si="36"/>
        <v>0.51849073885714225</v>
      </c>
      <c r="AY21" s="38">
        <f t="shared" si="37"/>
        <v>34.145136719593864</v>
      </c>
      <c r="AZ21" s="38"/>
      <c r="BA21" s="38"/>
      <c r="BB21" s="38"/>
      <c r="BC21" s="38">
        <f t="shared" si="5"/>
        <v>1084236771</v>
      </c>
      <c r="BD21" s="38">
        <f t="shared" si="38"/>
        <v>-405955169.3216151</v>
      </c>
      <c r="BE21" s="9">
        <f t="shared" si="26"/>
        <v>51032</v>
      </c>
      <c r="BF21" s="9">
        <f t="shared" si="27"/>
        <v>47193</v>
      </c>
      <c r="BG21" s="32">
        <f t="shared" si="28"/>
        <v>0.96222974733003386</v>
      </c>
      <c r="BH21" s="34">
        <f t="shared" si="12"/>
        <v>49437.287129772325</v>
      </c>
      <c r="BI21" s="9"/>
      <c r="BJ21" s="9"/>
      <c r="BK21" s="35">
        <f t="shared" si="13"/>
        <v>3515085.4813138451</v>
      </c>
      <c r="BN21" s="38">
        <f t="shared" si="14"/>
        <v>172386368636.68817</v>
      </c>
      <c r="BO21" s="37"/>
      <c r="BP21" s="37"/>
      <c r="BQ21" s="38">
        <f t="shared" si="6"/>
        <v>2423</v>
      </c>
      <c r="BR21" s="38">
        <f t="shared" si="10"/>
        <v>2423</v>
      </c>
      <c r="BS21" s="38">
        <f t="shared" si="11"/>
        <v>0</v>
      </c>
      <c r="BT21" s="38">
        <f t="shared" si="22"/>
        <v>31.656143759106364</v>
      </c>
      <c r="BU21" s="38">
        <f t="shared" si="17"/>
        <v>145</v>
      </c>
      <c r="BV21" s="38">
        <f t="shared" si="18"/>
        <v>2185</v>
      </c>
      <c r="BW21" s="38">
        <f t="shared" si="19"/>
        <v>494811</v>
      </c>
      <c r="BX21" s="38">
        <f t="shared" si="20"/>
        <v>7173710</v>
      </c>
      <c r="BY21" s="38">
        <f t="shared" si="23"/>
        <v>-12.721212121212121</v>
      </c>
      <c r="BZ21" s="38">
        <f t="shared" si="24"/>
        <v>49665.557575757579</v>
      </c>
      <c r="CA21" s="38">
        <f t="shared" si="21"/>
        <v>49423.854545454546</v>
      </c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</row>
    <row r="22" spans="1:93" s="8" customFormat="1" x14ac:dyDescent="0.25">
      <c r="A22" s="8">
        <v>20</v>
      </c>
      <c r="B22" s="9">
        <f>DATA!H21</f>
        <v>53431</v>
      </c>
      <c r="C22" s="10">
        <f>DATA!C364+DATA!D364</f>
        <v>1821000</v>
      </c>
      <c r="D22" s="10">
        <f t="shared" si="0"/>
        <v>97297851000</v>
      </c>
      <c r="E22" s="10">
        <f t="shared" si="15"/>
        <v>50061.4</v>
      </c>
      <c r="F22" s="10">
        <f t="shared" ref="F22:F62" si="45">AVERAGE(B3:B22)</f>
        <v>48427.9</v>
      </c>
      <c r="G22" s="10"/>
      <c r="H22" s="38">
        <f>SUM(D3:D22)/SUM(C3:C22)</f>
        <v>48515.819110623481</v>
      </c>
      <c r="I22" s="28">
        <f t="shared" si="25"/>
        <v>49512.236626532547</v>
      </c>
      <c r="J22" s="9"/>
      <c r="K22" s="9"/>
      <c r="L22" s="9"/>
      <c r="M22" s="9">
        <f t="shared" ref="M22:M62" si="46">MAX(B3:B22)</f>
        <v>53431</v>
      </c>
      <c r="N22" s="9">
        <f t="shared" ref="N22:N62" si="47">MIN(B3:B22)</f>
        <v>44514</v>
      </c>
      <c r="O22" s="10">
        <f>AVERAGE(B3:B22)</f>
        <v>48427.9</v>
      </c>
      <c r="P22" s="10">
        <f t="shared" ref="P22:P62" si="48">O22+2*STDEVPA(B3:B22)</f>
        <v>52804.628271208989</v>
      </c>
      <c r="Q22" s="10">
        <f t="shared" ref="Q22:Q62" si="49">O22-2*STDEVPA(B3:B22)</f>
        <v>44051.171728791014</v>
      </c>
      <c r="R22" s="38">
        <f t="shared" si="16"/>
        <v>50472.5</v>
      </c>
      <c r="S22" s="38"/>
      <c r="T22" s="38"/>
      <c r="U22" s="38"/>
      <c r="V22" s="38"/>
      <c r="W22" s="10">
        <f t="shared" si="1"/>
        <v>4.9993122015445986E-2</v>
      </c>
      <c r="X22" s="27">
        <f t="shared" si="7"/>
        <v>4.9993122015445986E-2</v>
      </c>
      <c r="Y22" s="27">
        <f t="shared" si="8"/>
        <v>0</v>
      </c>
      <c r="Z22" s="10">
        <f t="shared" ref="Z22:AA22" si="50">AVERAGE(X9:X22)</f>
        <v>1.5104354667615238E-2</v>
      </c>
      <c r="AA22" s="10">
        <f t="shared" si="50"/>
        <v>7.1107868962120195E-3</v>
      </c>
      <c r="AB22" s="38">
        <f t="shared" si="34"/>
        <v>67.9912600341451</v>
      </c>
      <c r="AC22" s="38"/>
      <c r="AD22" s="38"/>
      <c r="AE22" s="38">
        <f t="shared" si="29"/>
        <v>49404.142857142855</v>
      </c>
      <c r="AF22" s="38">
        <f t="shared" si="30"/>
        <v>1773.4647903573848</v>
      </c>
      <c r="AG22" s="38">
        <f t="shared" si="31"/>
        <v>1773.4647903573848</v>
      </c>
      <c r="AH22" s="38">
        <f t="shared" si="32"/>
        <v>0</v>
      </c>
      <c r="AI22" s="38"/>
      <c r="AJ22" s="38"/>
      <c r="AK22" s="38"/>
      <c r="AL22" s="38">
        <f t="shared" si="2"/>
        <v>2544</v>
      </c>
      <c r="AM22" s="38"/>
      <c r="AN22" s="38"/>
      <c r="AO22" s="38">
        <f t="shared" si="9"/>
        <v>2544</v>
      </c>
      <c r="AP22" s="38"/>
      <c r="AQ22" s="38"/>
      <c r="AR22" s="38"/>
      <c r="AS22" s="38"/>
      <c r="AT22" s="38">
        <f t="shared" si="3"/>
        <v>97297851000</v>
      </c>
      <c r="AU22" s="38">
        <f t="shared" si="4"/>
        <v>0</v>
      </c>
      <c r="AV22" s="38">
        <f t="shared" ref="AV22:AW22" si="51">AVERAGE(AT9:AT22)</f>
        <v>72082017747.214279</v>
      </c>
      <c r="AW22" s="38">
        <f t="shared" si="51"/>
        <v>152280873617.57144</v>
      </c>
      <c r="AX22" s="38">
        <f t="shared" si="36"/>
        <v>0.47334912149398684</v>
      </c>
      <c r="AY22" s="38">
        <f t="shared" si="37"/>
        <v>32.127424151446704</v>
      </c>
      <c r="AZ22" s="38">
        <f t="shared" ref="AZ22:AZ62" si="52">AVERAGE(B3:B22)</f>
        <v>48427.9</v>
      </c>
      <c r="BA22" s="38">
        <f t="array" ref="BA22">SUM(ABS((B3:B22-AVERAGE(B3:B22))))/COUNT(B3:B22)</f>
        <v>1728.8800000000003</v>
      </c>
      <c r="BB22" s="38">
        <f>(B22-AZ22)/(0.015*BA22)</f>
        <v>192.92258572023499</v>
      </c>
      <c r="BC22" s="38">
        <f t="shared" si="5"/>
        <v>4632624000</v>
      </c>
      <c r="BD22" s="38">
        <f t="shared" si="38"/>
        <v>313841854.86718702</v>
      </c>
      <c r="BE22" s="9">
        <f t="shared" si="26"/>
        <v>53431</v>
      </c>
      <c r="BF22" s="9">
        <f t="shared" si="27"/>
        <v>47193</v>
      </c>
      <c r="BG22" s="32">
        <f t="shared" si="28"/>
        <v>1</v>
      </c>
      <c r="BH22" s="34">
        <f t="shared" si="12"/>
        <v>50768.524753181548</v>
      </c>
      <c r="BI22" s="9">
        <f>AVERAGE(B3:B22)</f>
        <v>48427.9</v>
      </c>
      <c r="BJ22" s="27">
        <f t="shared" ref="BJ22:BJ27" si="53">(BH22-BI22)/BI22</f>
        <v>4.8332154670789898E-2</v>
      </c>
      <c r="BK22" s="35">
        <f t="shared" si="13"/>
        <v>2950390.3208758971</v>
      </c>
      <c r="BL22" s="35">
        <f>AVERAGE(C3:C22)</f>
        <v>4410793.3</v>
      </c>
      <c r="BM22" s="27">
        <f>(BK22-BL22)/BL22</f>
        <v>-0.33109757809872947</v>
      </c>
      <c r="BN22" s="38">
        <f t="shared" si="14"/>
        <v>147356862757.79211</v>
      </c>
      <c r="BO22" s="38">
        <f t="shared" ref="BO22:BO62" si="54">AVERAGE(D3:D22)</f>
        <v>213993249877.14999</v>
      </c>
      <c r="BP22" s="27">
        <f>(BN22-BO22)/BO22</f>
        <v>-0.31139480875033548</v>
      </c>
      <c r="BQ22" s="38">
        <f t="shared" si="6"/>
        <v>2544</v>
      </c>
      <c r="BR22" s="38">
        <f t="shared" si="10"/>
        <v>2544</v>
      </c>
      <c r="BS22" s="38">
        <f t="shared" si="11"/>
        <v>0</v>
      </c>
      <c r="BT22" s="38">
        <f t="shared" si="22"/>
        <v>34.107510769807078</v>
      </c>
      <c r="BU22" s="38">
        <f t="shared" si="17"/>
        <v>155</v>
      </c>
      <c r="BV22" s="38">
        <f t="shared" si="18"/>
        <v>2485</v>
      </c>
      <c r="BW22" s="38">
        <f t="shared" si="19"/>
        <v>500614</v>
      </c>
      <c r="BX22" s="38">
        <f t="shared" si="20"/>
        <v>7766050</v>
      </c>
      <c r="BY22" s="38">
        <f t="shared" si="23"/>
        <v>79.187878787878788</v>
      </c>
      <c r="BZ22" s="38">
        <f t="shared" si="24"/>
        <v>48833.987878787877</v>
      </c>
      <c r="CA22" s="38">
        <f t="shared" si="21"/>
        <v>50417.745454545453</v>
      </c>
      <c r="CB22" s="35">
        <f t="shared" ref="CB22:CB62" si="55">SUM(A3:A22)</f>
        <v>210</v>
      </c>
      <c r="CC22" s="35">
        <f t="shared" ref="CC22:CC62" si="56">(A3*A3)+(A4*A4)+(A5*A5)+(A6*A6)+(A7*A7)+(A8*A8)+(A9*A9)+(A10*A10)+(A11*A11)+(A12*A12)+(A13*A13)+(A14*A14)+(A15*A15)+(A16*A16)+(A17*A17)+(A18*A18)+(A19*A19)+(A20*A20)+(A21*A21)+(A22*A22)</f>
        <v>2870</v>
      </c>
      <c r="CD22" s="35">
        <f t="shared" ref="CD22:CD62" si="57">SUM(B3:B22)</f>
        <v>968558</v>
      </c>
      <c r="CE22" s="35">
        <f t="shared" ref="CE22:CE62" si="58">(A3*B3)+(A4*B4)+(A5*B5)+(A6*B6)+(A7*B7)+(A8*B8)+(A9*B9)+(A10*B10)+(A11*B11)+(A12*B12)+(A13*B13)+(A14*B14)+(A15*B15)+(A16*B16)+(A17*B17)+(A18*B18)+(A19*B19)+(A20*B20)+(A21*B21)+(A22*B22)</f>
        <v>10370617</v>
      </c>
      <c r="CF22" s="38">
        <f>(20*CE22-CB22*CD22)/(20*CC22-CB22*CB22)</f>
        <v>301.89172932330825</v>
      </c>
      <c r="CG22" s="38">
        <f>(CD22*CC22-CB22*CE22)/(20*CC22-CB22*CB22)</f>
        <v>45258.036842105263</v>
      </c>
      <c r="CH22" s="38">
        <f t="shared" ref="CH22:CH62" si="59">CF22*A22+CG22</f>
        <v>51295.87142857143</v>
      </c>
      <c r="CI22" s="35"/>
      <c r="CJ22" s="35"/>
      <c r="CK22" s="35"/>
      <c r="CL22" s="35"/>
      <c r="CM22" s="35"/>
      <c r="CN22" s="35"/>
      <c r="CO22" s="35"/>
    </row>
    <row r="23" spans="1:93" x14ac:dyDescent="0.25">
      <c r="A23" s="8">
        <v>21</v>
      </c>
      <c r="B23" s="9">
        <f>DATA!H22</f>
        <v>55917</v>
      </c>
      <c r="C23" s="10">
        <f>DATA!C355+DATA!D355</f>
        <v>13180000</v>
      </c>
      <c r="D23" s="10">
        <f t="shared" si="0"/>
        <v>736986060000</v>
      </c>
      <c r="E23" s="10">
        <f t="shared" si="15"/>
        <v>50674.2</v>
      </c>
      <c r="F23" s="10">
        <f t="shared" si="45"/>
        <v>48974.1</v>
      </c>
      <c r="G23" s="10"/>
      <c r="H23" s="38">
        <f t="shared" ref="H23:H62" si="60">SUM(D4:D23)/SUM(C4:C23)</f>
        <v>49696.781550024592</v>
      </c>
      <c r="I23" s="28">
        <f t="shared" si="25"/>
        <v>50497.584837835231</v>
      </c>
      <c r="M23" s="9">
        <f t="shared" si="46"/>
        <v>55917</v>
      </c>
      <c r="N23" s="9">
        <f t="shared" si="47"/>
        <v>44514</v>
      </c>
      <c r="O23" s="38">
        <f t="shared" ref="O23:O62" si="61">AVERAGE(B4:B23)</f>
        <v>48974.1</v>
      </c>
      <c r="P23" s="38">
        <f t="shared" si="48"/>
        <v>54152.905727192323</v>
      </c>
      <c r="Q23" s="38">
        <f t="shared" si="49"/>
        <v>43795.294272807674</v>
      </c>
      <c r="R23" s="38">
        <f t="shared" si="16"/>
        <v>51715.5</v>
      </c>
      <c r="W23" s="10">
        <f t="shared" si="1"/>
        <v>4.6527296887574628E-2</v>
      </c>
      <c r="X23" s="27">
        <f t="shared" si="7"/>
        <v>4.6527296887574628E-2</v>
      </c>
      <c r="Y23" s="27">
        <f t="shared" si="8"/>
        <v>0</v>
      </c>
      <c r="Z23" s="10">
        <f t="shared" ref="Z23:AA23" si="62">AVERAGE(X10:X23)</f>
        <v>1.8329567813614979E-2</v>
      </c>
      <c r="AA23" s="10">
        <f t="shared" si="62"/>
        <v>7.1107868962120195E-3</v>
      </c>
      <c r="AB23" s="38">
        <f t="shared" si="34"/>
        <v>72.049183365099495</v>
      </c>
      <c r="AC23" s="38"/>
      <c r="AD23" s="38"/>
      <c r="AE23" s="38">
        <f t="shared" si="29"/>
        <v>49963.214285714283</v>
      </c>
      <c r="AF23" s="38">
        <f t="shared" si="30"/>
        <v>2436.924138795001</v>
      </c>
      <c r="AG23" s="38">
        <f t="shared" si="31"/>
        <v>2436.924138795001</v>
      </c>
      <c r="AH23" s="38">
        <f t="shared" si="32"/>
        <v>0</v>
      </c>
      <c r="AI23" s="38"/>
      <c r="AJ23" s="38"/>
      <c r="AK23" s="38"/>
      <c r="AL23" s="38">
        <f t="shared" si="2"/>
        <v>2486</v>
      </c>
      <c r="AM23" s="38"/>
      <c r="AN23" s="38"/>
      <c r="AO23" s="38">
        <f t="shared" si="9"/>
        <v>2486</v>
      </c>
      <c r="AP23" s="38"/>
      <c r="AQ23" s="38"/>
      <c r="AR23" s="38"/>
      <c r="AS23" s="38"/>
      <c r="AT23" s="38">
        <f t="shared" si="3"/>
        <v>736986060000</v>
      </c>
      <c r="AU23" s="38">
        <f t="shared" si="4"/>
        <v>0</v>
      </c>
      <c r="AV23" s="38">
        <f t="shared" ref="AV23:AW23" si="63">AVERAGE(AT10:AT23)</f>
        <v>116453749130.78572</v>
      </c>
      <c r="AW23" s="38">
        <f t="shared" si="63"/>
        <v>152280873617.57144</v>
      </c>
      <c r="AX23" s="38">
        <f t="shared" si="36"/>
        <v>0.7647299779960568</v>
      </c>
      <c r="AY23" s="38">
        <f t="shared" si="37"/>
        <v>43.33410706064209</v>
      </c>
      <c r="AZ23" s="38">
        <f t="shared" si="52"/>
        <v>48974.1</v>
      </c>
      <c r="BA23" s="38">
        <f t="array" ref="BA23">SUM(ABS((B4:B23-AVERAGE(B4:B23))))/COUNT(B4:B23)</f>
        <v>2037.2199999999998</v>
      </c>
      <c r="BB23" s="38">
        <f t="shared" ref="BB22:BB62" si="64">(B23-AZ23)/(0.015*BA23)</f>
        <v>227.20177496784842</v>
      </c>
      <c r="BC23" s="38">
        <f t="shared" si="5"/>
        <v>32765480000</v>
      </c>
      <c r="BD23" s="38">
        <f t="shared" si="38"/>
        <v>4949790161.3147316</v>
      </c>
      <c r="BE23" s="9">
        <f t="shared" si="26"/>
        <v>55917</v>
      </c>
      <c r="BF23" s="9">
        <f t="shared" si="27"/>
        <v>47193</v>
      </c>
      <c r="BG23" s="32">
        <f t="shared" si="28"/>
        <v>1</v>
      </c>
      <c r="BH23" s="34">
        <f t="shared" si="12"/>
        <v>52484.683168787698</v>
      </c>
      <c r="BI23" s="33">
        <f t="shared" ref="BI23:BI62" si="65">(2/21)*(B23-BI22)+BI22</f>
        <v>49141.147619047617</v>
      </c>
      <c r="BJ23" s="27">
        <f t="shared" si="53"/>
        <v>6.8039427480608788E-2</v>
      </c>
      <c r="BK23" s="35">
        <f t="shared" si="13"/>
        <v>6360260.2139172647</v>
      </c>
      <c r="BL23" s="36">
        <f t="shared" ref="BL23:BL62" si="66">(2/21)*(C23-BL22)+BL22</f>
        <v>5245955.8428571429</v>
      </c>
      <c r="BM23" s="27">
        <f t="shared" ref="BM23" si="67">(BK23-BL23)/BL23</f>
        <v>0.212412075976078</v>
      </c>
      <c r="BN23" s="38">
        <f t="shared" si="14"/>
        <v>343899928505.1947</v>
      </c>
      <c r="BO23" s="38">
        <f t="shared" si="54"/>
        <v>240226454527.14999</v>
      </c>
      <c r="BP23" s="27">
        <f t="shared" ref="BP23:BP62" si="68">(BN23-BO23)/BO23</f>
        <v>0.43156559997570004</v>
      </c>
      <c r="BQ23" s="38">
        <f t="shared" si="6"/>
        <v>2486</v>
      </c>
      <c r="BR23" s="38">
        <f t="shared" si="10"/>
        <v>2486</v>
      </c>
      <c r="BS23" s="38">
        <f t="shared" si="11"/>
        <v>0</v>
      </c>
      <c r="BT23" s="38">
        <f t="shared" si="22"/>
        <v>44.185308583214344</v>
      </c>
      <c r="BU23" s="38">
        <f t="shared" si="17"/>
        <v>165</v>
      </c>
      <c r="BV23" s="38">
        <f t="shared" si="18"/>
        <v>2805</v>
      </c>
      <c r="BW23" s="38">
        <f t="shared" si="19"/>
        <v>506742</v>
      </c>
      <c r="BX23" s="38">
        <f t="shared" si="20"/>
        <v>8392628</v>
      </c>
      <c r="BY23" s="38">
        <f t="shared" si="23"/>
        <v>380.42424242424244</v>
      </c>
      <c r="BZ23" s="38">
        <f t="shared" si="24"/>
        <v>44397.2</v>
      </c>
      <c r="CA23" s="38">
        <f t="shared" si="21"/>
        <v>52386.109090909085</v>
      </c>
      <c r="CB23" s="35">
        <f t="shared" si="55"/>
        <v>230</v>
      </c>
      <c r="CC23" s="35">
        <f t="shared" si="56"/>
        <v>3310</v>
      </c>
      <c r="CD23" s="35">
        <f t="shared" si="57"/>
        <v>979482</v>
      </c>
      <c r="CE23" s="35">
        <f t="shared" si="58"/>
        <v>11499881</v>
      </c>
      <c r="CF23" s="38">
        <f t="shared" ref="CF23:CF62" si="69">(20*CE23-CB23*CD23)/(20*CC23-CB23*CB23)</f>
        <v>354.6436090225564</v>
      </c>
      <c r="CG23" s="38">
        <f t="shared" ref="CG23:CG62" si="70">(CD23*CC23-CB23*CE23)/(20*CC23-CB23*CB23)</f>
        <v>44895.698496240599</v>
      </c>
      <c r="CH23" s="38">
        <f t="shared" si="59"/>
        <v>52343.214285714283</v>
      </c>
    </row>
    <row r="24" spans="1:93" x14ac:dyDescent="0.25">
      <c r="A24" s="8">
        <v>22</v>
      </c>
      <c r="B24" s="9">
        <f>DATA!H23</f>
        <v>58008</v>
      </c>
      <c r="C24" s="10">
        <f>DATA!C346+DATA!D346</f>
        <v>6859000</v>
      </c>
      <c r="D24" s="10">
        <f t="shared" si="0"/>
        <v>397876872000</v>
      </c>
      <c r="E24" s="10">
        <f t="shared" si="15"/>
        <v>51440.3</v>
      </c>
      <c r="F24" s="10">
        <f t="shared" si="45"/>
        <v>49600.800000000003</v>
      </c>
      <c r="G24" s="10"/>
      <c r="H24" s="38">
        <f t="shared" si="60"/>
        <v>50453.418418909489</v>
      </c>
      <c r="I24" s="28">
        <f t="shared" si="25"/>
        <v>51653.033324322118</v>
      </c>
      <c r="M24" s="9">
        <f t="shared" si="46"/>
        <v>58008</v>
      </c>
      <c r="N24" s="9">
        <f t="shared" si="47"/>
        <v>44514</v>
      </c>
      <c r="O24" s="38">
        <f t="shared" si="61"/>
        <v>49600.800000000003</v>
      </c>
      <c r="P24" s="38">
        <f t="shared" si="48"/>
        <v>55855.490003509367</v>
      </c>
      <c r="Q24" s="38">
        <f t="shared" si="49"/>
        <v>43346.109996490639</v>
      </c>
      <c r="R24" s="38">
        <f t="shared" si="16"/>
        <v>52761</v>
      </c>
      <c r="W24" s="10">
        <f t="shared" si="1"/>
        <v>3.7394710016631791E-2</v>
      </c>
      <c r="X24" s="27">
        <f t="shared" si="7"/>
        <v>3.7394710016631791E-2</v>
      </c>
      <c r="Y24" s="27">
        <f t="shared" si="8"/>
        <v>0</v>
      </c>
      <c r="Z24" s="10">
        <f t="shared" ref="Z24:AA24" si="71">AVERAGE(X11:X24)</f>
        <v>2.1000618529088681E-2</v>
      </c>
      <c r="AA24" s="10">
        <f t="shared" si="71"/>
        <v>5.7784635738699821E-3</v>
      </c>
      <c r="AB24" s="38">
        <f t="shared" si="34"/>
        <v>78.421726511561218</v>
      </c>
      <c r="AC24" s="38"/>
      <c r="AD24" s="38"/>
      <c r="AE24" s="38">
        <f t="shared" si="29"/>
        <v>50735.714285714283</v>
      </c>
      <c r="AF24" s="38">
        <f t="shared" si="30"/>
        <v>3111.908799053464</v>
      </c>
      <c r="AG24" s="38">
        <f t="shared" si="31"/>
        <v>3111.908799053464</v>
      </c>
      <c r="AH24" s="38">
        <f t="shared" si="32"/>
        <v>0</v>
      </c>
      <c r="AI24" s="38"/>
      <c r="AJ24" s="38"/>
      <c r="AK24" s="38"/>
      <c r="AL24" s="38">
        <f t="shared" si="2"/>
        <v>2091</v>
      </c>
      <c r="AM24" s="38"/>
      <c r="AN24" s="38"/>
      <c r="AO24" s="38">
        <f t="shared" si="9"/>
        <v>2091</v>
      </c>
      <c r="AP24" s="38"/>
      <c r="AQ24" s="38"/>
      <c r="AR24" s="38"/>
      <c r="AS24" s="38"/>
      <c r="AT24" s="38">
        <f t="shared" si="3"/>
        <v>397876872000</v>
      </c>
      <c r="AU24" s="38">
        <f t="shared" si="4"/>
        <v>0</v>
      </c>
      <c r="AV24" s="38">
        <f t="shared" ref="AV24:AW24" si="72">AVERAGE(AT11:AT24)</f>
        <v>144873525702.21429</v>
      </c>
      <c r="AW24" s="38">
        <f t="shared" si="72"/>
        <v>144801383142.85715</v>
      </c>
      <c r="AX24" s="38">
        <f t="shared" si="36"/>
        <v>1.0004982173359904</v>
      </c>
      <c r="AY24" s="38">
        <f t="shared" si="37"/>
        <v>50.012452331416071</v>
      </c>
      <c r="AZ24" s="38">
        <f t="shared" si="52"/>
        <v>49600.800000000003</v>
      </c>
      <c r="BA24" s="38">
        <f t="array" ref="BA24">SUM(ABS((B5:B24-AVERAGE(B5:B24))))/COUNT(B5:B24)</f>
        <v>2376.5800000000004</v>
      </c>
      <c r="BB24" s="38">
        <f t="shared" si="64"/>
        <v>235.83468681887408</v>
      </c>
      <c r="BC24" s="38">
        <f t="shared" si="5"/>
        <v>14342169000</v>
      </c>
      <c r="BD24" s="38">
        <f t="shared" si="38"/>
        <v>6291558566.841198</v>
      </c>
      <c r="BE24" s="9">
        <f t="shared" si="26"/>
        <v>58008</v>
      </c>
      <c r="BF24" s="9">
        <f t="shared" si="27"/>
        <v>47514</v>
      </c>
      <c r="BG24" s="32">
        <f t="shared" si="28"/>
        <v>1</v>
      </c>
      <c r="BH24" s="34">
        <f t="shared" si="12"/>
        <v>54325.788779191796</v>
      </c>
      <c r="BI24" s="33">
        <f t="shared" si="65"/>
        <v>49985.609750566895</v>
      </c>
      <c r="BJ24" s="27">
        <f t="shared" si="53"/>
        <v>8.6828570268179611E-2</v>
      </c>
      <c r="BK24" s="35">
        <f t="shared" si="13"/>
        <v>6526506.8092781762</v>
      </c>
      <c r="BL24" s="36">
        <f t="shared" si="66"/>
        <v>5399579.0959183676</v>
      </c>
      <c r="BM24" s="27">
        <f t="shared" ref="BM24:BM62" si="73">(BK24-BL24)/BL24</f>
        <v>0.20870658496542296</v>
      </c>
      <c r="BN24" s="38">
        <f t="shared" si="14"/>
        <v>361892243003.46313</v>
      </c>
      <c r="BO24" s="38">
        <f t="shared" si="54"/>
        <v>250379503577.95001</v>
      </c>
      <c r="BP24" s="27">
        <f t="shared" si="68"/>
        <v>0.44537487227182776</v>
      </c>
      <c r="BQ24" s="38">
        <f t="shared" si="6"/>
        <v>2091</v>
      </c>
      <c r="BR24" s="38">
        <f t="shared" si="10"/>
        <v>2091</v>
      </c>
      <c r="BS24" s="38">
        <f t="shared" si="11"/>
        <v>0</v>
      </c>
      <c r="BT24" s="38">
        <f t="shared" si="22"/>
        <v>49.785897801884097</v>
      </c>
      <c r="BU24" s="38">
        <f t="shared" si="17"/>
        <v>175</v>
      </c>
      <c r="BV24" s="38">
        <f t="shared" si="18"/>
        <v>3145</v>
      </c>
      <c r="BW24" s="38">
        <f t="shared" si="19"/>
        <v>514403</v>
      </c>
      <c r="BX24" s="38">
        <f t="shared" si="20"/>
        <v>9064640</v>
      </c>
      <c r="BY24" s="38">
        <f t="shared" si="23"/>
        <v>758.63636363636363</v>
      </c>
      <c r="BZ24" s="38">
        <f t="shared" si="24"/>
        <v>38164.163636363635</v>
      </c>
      <c r="CA24" s="38">
        <f t="shared" si="21"/>
        <v>54854.163636363635</v>
      </c>
      <c r="CB24" s="35">
        <f t="shared" si="55"/>
        <v>250</v>
      </c>
      <c r="CC24" s="35">
        <f t="shared" si="56"/>
        <v>3790</v>
      </c>
      <c r="CD24" s="35">
        <f t="shared" si="57"/>
        <v>992016</v>
      </c>
      <c r="CE24" s="35">
        <f t="shared" si="58"/>
        <v>12685109</v>
      </c>
      <c r="CF24" s="38">
        <f t="shared" si="69"/>
        <v>428.4345864661654</v>
      </c>
      <c r="CG24" s="38">
        <f t="shared" si="70"/>
        <v>44245.367669172934</v>
      </c>
      <c r="CH24" s="38">
        <f t="shared" si="59"/>
        <v>53670.928571428572</v>
      </c>
    </row>
    <row r="25" spans="1:93" x14ac:dyDescent="0.25">
      <c r="A25" s="8">
        <v>23</v>
      </c>
      <c r="B25" s="9">
        <f>DATA!H24</f>
        <v>59999</v>
      </c>
      <c r="C25" s="10">
        <f>DATA!C337+DATA!D337</f>
        <v>9395000</v>
      </c>
      <c r="D25" s="10">
        <f t="shared" si="0"/>
        <v>563690605000</v>
      </c>
      <c r="E25" s="10">
        <f t="shared" si="15"/>
        <v>52337</v>
      </c>
      <c r="F25" s="10">
        <f t="shared" si="45"/>
        <v>50375.05</v>
      </c>
      <c r="G25" s="10"/>
      <c r="H25" s="38">
        <f t="shared" si="60"/>
        <v>51558.028790851131</v>
      </c>
      <c r="I25" s="28">
        <f t="shared" si="25"/>
        <v>52937.028197503329</v>
      </c>
      <c r="M25" s="9">
        <f t="shared" si="46"/>
        <v>59999</v>
      </c>
      <c r="N25" s="9">
        <f t="shared" si="47"/>
        <v>46186</v>
      </c>
      <c r="O25" s="38">
        <f t="shared" si="61"/>
        <v>50375.05</v>
      </c>
      <c r="P25" s="38">
        <f t="shared" si="48"/>
        <v>57667.011367835134</v>
      </c>
      <c r="Q25" s="38">
        <f t="shared" si="49"/>
        <v>43083.088632164872</v>
      </c>
      <c r="R25" s="38">
        <f t="shared" si="16"/>
        <v>53756.5</v>
      </c>
      <c r="W25" s="10">
        <f t="shared" si="1"/>
        <v>3.4322852020410979E-2</v>
      </c>
      <c r="X25" s="27">
        <f t="shared" si="7"/>
        <v>3.4322852020410979E-2</v>
      </c>
      <c r="Y25" s="27">
        <f t="shared" si="8"/>
        <v>0</v>
      </c>
      <c r="Z25" s="10">
        <f t="shared" ref="Z25:AA25" si="74">AVERAGE(X12:X25)</f>
        <v>2.2029521658486283E-2</v>
      </c>
      <c r="AA25" s="10">
        <f t="shared" si="74"/>
        <v>5.7784635738699821E-3</v>
      </c>
      <c r="AB25" s="38">
        <f t="shared" si="34"/>
        <v>79.220128586854997</v>
      </c>
      <c r="AC25" s="38"/>
      <c r="AD25" s="38"/>
      <c r="AE25" s="38">
        <f t="shared" si="29"/>
        <v>51583.285714285717</v>
      </c>
      <c r="AF25" s="38">
        <f t="shared" si="30"/>
        <v>3871.6797274681585</v>
      </c>
      <c r="AG25" s="38">
        <f t="shared" si="31"/>
        <v>3871.6797274681585</v>
      </c>
      <c r="AH25" s="38">
        <f t="shared" si="32"/>
        <v>0</v>
      </c>
      <c r="AI25" s="38"/>
      <c r="AJ25" s="38"/>
      <c r="AK25" s="38"/>
      <c r="AL25" s="38">
        <f t="shared" si="2"/>
        <v>1991</v>
      </c>
      <c r="AM25" s="38"/>
      <c r="AN25" s="38"/>
      <c r="AO25" s="38">
        <f t="shared" si="9"/>
        <v>1991</v>
      </c>
      <c r="AP25" s="38"/>
      <c r="AQ25" s="38"/>
      <c r="AR25" s="38"/>
      <c r="AS25" s="38"/>
      <c r="AT25" s="38">
        <f t="shared" si="3"/>
        <v>563690605000</v>
      </c>
      <c r="AU25" s="38">
        <f t="shared" si="4"/>
        <v>0</v>
      </c>
      <c r="AV25" s="38">
        <f t="shared" ref="AV25:AW25" si="75">AVERAGE(AT12:AT25)</f>
        <v>177129658827.5</v>
      </c>
      <c r="AW25" s="38">
        <f t="shared" si="75"/>
        <v>144801383142.85715</v>
      </c>
      <c r="AX25" s="38">
        <f t="shared" si="36"/>
        <v>1.2232594398131449</v>
      </c>
      <c r="AY25" s="38">
        <f t="shared" si="37"/>
        <v>55.020993857377</v>
      </c>
      <c r="AZ25" s="38">
        <f t="shared" si="52"/>
        <v>50375.05</v>
      </c>
      <c r="BA25" s="38">
        <f t="array" ref="BA25">SUM(ABS((B6:B25-AVERAGE(B6:B25))))/COUNT(B6:B25)</f>
        <v>2705.8650000000007</v>
      </c>
      <c r="BB25" s="38">
        <f t="shared" si="64"/>
        <v>237.11333221231155</v>
      </c>
      <c r="BC25" s="38">
        <f t="shared" si="5"/>
        <v>18705445000</v>
      </c>
      <c r="BD25" s="38">
        <f t="shared" si="38"/>
        <v>8064970914.4353123</v>
      </c>
      <c r="BE25" s="9">
        <f t="shared" si="26"/>
        <v>59999</v>
      </c>
      <c r="BF25" s="9">
        <f t="shared" si="27"/>
        <v>47514</v>
      </c>
      <c r="BG25" s="32">
        <f t="shared" si="28"/>
        <v>1</v>
      </c>
      <c r="BH25" s="34">
        <f t="shared" si="12"/>
        <v>56216.859186127862</v>
      </c>
      <c r="BI25" s="33">
        <f t="shared" si="65"/>
        <v>50939.265964798622</v>
      </c>
      <c r="BJ25" s="27">
        <f t="shared" si="53"/>
        <v>0.10360560014697306</v>
      </c>
      <c r="BK25" s="35">
        <f t="shared" si="13"/>
        <v>7482671.2061854508</v>
      </c>
      <c r="BL25" s="36">
        <f t="shared" si="66"/>
        <v>5780095.3724975707</v>
      </c>
      <c r="BM25" s="27">
        <f t="shared" si="73"/>
        <v>0.29455843268416515</v>
      </c>
      <c r="BN25" s="38">
        <f t="shared" si="14"/>
        <v>429158363668.9754</v>
      </c>
      <c r="BO25" s="38">
        <f t="shared" si="54"/>
        <v>268980169627.95001</v>
      </c>
      <c r="BP25" s="27">
        <f t="shared" si="68"/>
        <v>0.59550187012887179</v>
      </c>
      <c r="BQ25" s="38">
        <f t="shared" si="6"/>
        <v>1991</v>
      </c>
      <c r="BR25" s="38">
        <f t="shared" si="10"/>
        <v>1991</v>
      </c>
      <c r="BS25" s="38">
        <f t="shared" si="11"/>
        <v>0</v>
      </c>
      <c r="BT25" s="38">
        <f t="shared" si="22"/>
        <v>62.343150640400488</v>
      </c>
      <c r="BU25" s="38">
        <f t="shared" si="17"/>
        <v>185</v>
      </c>
      <c r="BV25" s="38">
        <f t="shared" si="18"/>
        <v>3505</v>
      </c>
      <c r="BW25" s="38">
        <f t="shared" si="19"/>
        <v>523370</v>
      </c>
      <c r="BX25" s="38">
        <f t="shared" si="20"/>
        <v>9781201</v>
      </c>
      <c r="BY25" s="38">
        <f t="shared" si="23"/>
        <v>1198.2545454545455</v>
      </c>
      <c r="BZ25" s="38">
        <f t="shared" si="24"/>
        <v>30169.290909090909</v>
      </c>
      <c r="CA25" s="38">
        <f t="shared" si="21"/>
        <v>57729.145454545454</v>
      </c>
      <c r="CB25" s="35">
        <f t="shared" si="55"/>
        <v>270</v>
      </c>
      <c r="CC25" s="35">
        <f t="shared" si="56"/>
        <v>4310</v>
      </c>
      <c r="CD25" s="35">
        <f t="shared" si="57"/>
        <v>1007501</v>
      </c>
      <c r="CE25" s="35">
        <f t="shared" si="58"/>
        <v>13931544</v>
      </c>
      <c r="CF25" s="38">
        <f t="shared" si="69"/>
        <v>496.66240601503762</v>
      </c>
      <c r="CG25" s="38">
        <f t="shared" si="70"/>
        <v>43670.107518796991</v>
      </c>
      <c r="CH25" s="38">
        <f t="shared" si="59"/>
        <v>55093.342857142852</v>
      </c>
    </row>
    <row r="26" spans="1:93" x14ac:dyDescent="0.25">
      <c r="A26" s="8">
        <v>24</v>
      </c>
      <c r="B26" s="9">
        <f>DATA!H25</f>
        <v>59782</v>
      </c>
      <c r="C26" s="10">
        <f>DATA!C328+DATA!D328</f>
        <v>4376000</v>
      </c>
      <c r="D26" s="10">
        <f t="shared" si="0"/>
        <v>261606032000</v>
      </c>
      <c r="E26" s="10">
        <f t="shared" si="15"/>
        <v>53274.2</v>
      </c>
      <c r="F26" s="10">
        <f t="shared" si="45"/>
        <v>51054.85</v>
      </c>
      <c r="G26" s="10"/>
      <c r="H26" s="38">
        <f t="shared" si="60"/>
        <v>52153.977024508917</v>
      </c>
      <c r="I26" s="28">
        <f t="shared" si="25"/>
        <v>53990.100782502814</v>
      </c>
      <c r="M26" s="9">
        <f t="shared" si="46"/>
        <v>59999</v>
      </c>
      <c r="N26" s="9">
        <f t="shared" si="47"/>
        <v>47193</v>
      </c>
      <c r="O26" s="38">
        <f t="shared" si="61"/>
        <v>51054.85</v>
      </c>
      <c r="P26" s="38">
        <f t="shared" si="48"/>
        <v>59148.841729054337</v>
      </c>
      <c r="Q26" s="38">
        <f t="shared" si="49"/>
        <v>42960.85827094566</v>
      </c>
      <c r="R26" s="38">
        <f t="shared" si="16"/>
        <v>53756.5</v>
      </c>
      <c r="W26" s="10">
        <f t="shared" si="1"/>
        <v>-3.6167269454490908E-3</v>
      </c>
      <c r="X26" s="27">
        <f t="shared" si="7"/>
        <v>0</v>
      </c>
      <c r="Y26" s="27">
        <f t="shared" si="8"/>
        <v>3.6167269454490908E-3</v>
      </c>
      <c r="Z26" s="10">
        <f t="shared" ref="Z26:AA26" si="76">AVERAGE(X13:X26)</f>
        <v>2.2029521658486283E-2</v>
      </c>
      <c r="AA26" s="10">
        <f t="shared" si="76"/>
        <v>5.2873896122358505E-3</v>
      </c>
      <c r="AB26" s="38">
        <f t="shared" si="34"/>
        <v>80.644262596764392</v>
      </c>
      <c r="AC26" s="38"/>
      <c r="AD26" s="38"/>
      <c r="AE26" s="38">
        <f t="shared" si="29"/>
        <v>52451.428571428572</v>
      </c>
      <c r="AF26" s="38">
        <f t="shared" si="30"/>
        <v>4259.7577886051713</v>
      </c>
      <c r="AG26" s="38">
        <f t="shared" si="31"/>
        <v>0</v>
      </c>
      <c r="AH26" s="38">
        <f t="shared" si="32"/>
        <v>4259.7577886051713</v>
      </c>
      <c r="AI26" s="38"/>
      <c r="AJ26" s="38"/>
      <c r="AK26" s="38"/>
      <c r="AL26" s="38">
        <f t="shared" si="2"/>
        <v>-217</v>
      </c>
      <c r="AM26" s="38"/>
      <c r="AN26" s="38"/>
      <c r="AO26" s="38">
        <f t="shared" si="9"/>
        <v>217</v>
      </c>
      <c r="AP26" s="38"/>
      <c r="AQ26" s="38"/>
      <c r="AR26" s="38"/>
      <c r="AS26" s="38"/>
      <c r="AT26" s="38">
        <f t="shared" si="3"/>
        <v>0</v>
      </c>
      <c r="AU26" s="38">
        <f t="shared" si="4"/>
        <v>261606032000</v>
      </c>
      <c r="AV26" s="38">
        <f t="shared" ref="AV26:AW26" si="77">AVERAGE(AT13:AT26)</f>
        <v>177129658827.5</v>
      </c>
      <c r="AW26" s="38">
        <f t="shared" si="77"/>
        <v>151777844285.71429</v>
      </c>
      <c r="AX26" s="38">
        <f t="shared" si="36"/>
        <v>1.1670323798647593</v>
      </c>
      <c r="AY26" s="38">
        <f t="shared" si="37"/>
        <v>53.853942871753105</v>
      </c>
      <c r="AZ26" s="38">
        <f t="shared" si="52"/>
        <v>51054.85</v>
      </c>
      <c r="BA26" s="38">
        <f t="array" ref="BA26">SUM(ABS((B7:B26-AVERAGE(B7:B26))))/COUNT(B7:B26)</f>
        <v>3186.2749999999992</v>
      </c>
      <c r="BB26" s="38">
        <f t="shared" si="64"/>
        <v>182.59880267710736</v>
      </c>
      <c r="BC26" s="38">
        <f t="shared" si="5"/>
        <v>-949592000</v>
      </c>
      <c r="BD26" s="38">
        <f t="shared" si="38"/>
        <v>6777176212.3731251</v>
      </c>
      <c r="BE26" s="9">
        <f t="shared" si="26"/>
        <v>59999</v>
      </c>
      <c r="BF26" s="9">
        <f t="shared" si="27"/>
        <v>47514</v>
      </c>
      <c r="BG26" s="32">
        <f t="shared" si="28"/>
        <v>0.98261914297156583</v>
      </c>
      <c r="BH26" s="34">
        <f t="shared" si="12"/>
        <v>57405.239457418575</v>
      </c>
      <c r="BI26" s="33">
        <f t="shared" si="65"/>
        <v>51781.431111008278</v>
      </c>
      <c r="BJ26" s="27">
        <f t="shared" si="53"/>
        <v>0.10860666122483285</v>
      </c>
      <c r="BK26" s="35">
        <f t="shared" si="13"/>
        <v>6447114.1374569675</v>
      </c>
      <c r="BL26" s="36">
        <f t="shared" si="66"/>
        <v>5646372.0036882786</v>
      </c>
      <c r="BM26" s="27">
        <f t="shared" si="73"/>
        <v>0.14181533438562574</v>
      </c>
      <c r="BN26" s="38">
        <f t="shared" si="14"/>
        <v>373307586445.98358</v>
      </c>
      <c r="BO26" s="38">
        <f t="shared" si="54"/>
        <v>270915789427.95001</v>
      </c>
      <c r="BP26" s="27">
        <f t="shared" si="68"/>
        <v>0.37794695257237726</v>
      </c>
      <c r="BQ26" s="38">
        <f t="shared" si="6"/>
        <v>-217</v>
      </c>
      <c r="BR26" s="38">
        <f t="shared" si="10"/>
        <v>0</v>
      </c>
      <c r="BS26" s="38">
        <f t="shared" si="11"/>
        <v>217</v>
      </c>
      <c r="BT26" s="38">
        <f t="shared" si="22"/>
        <v>60.682110682110682</v>
      </c>
      <c r="BU26" s="38">
        <f t="shared" si="17"/>
        <v>195</v>
      </c>
      <c r="BV26" s="38">
        <f t="shared" si="18"/>
        <v>3885</v>
      </c>
      <c r="BW26" s="38">
        <f t="shared" si="19"/>
        <v>532742</v>
      </c>
      <c r="BX26" s="38">
        <f t="shared" si="20"/>
        <v>10510229</v>
      </c>
      <c r="BY26" s="38">
        <f t="shared" si="23"/>
        <v>1475.878787878788</v>
      </c>
      <c r="BZ26" s="38">
        <f t="shared" si="24"/>
        <v>24494.563636363637</v>
      </c>
      <c r="CA26" s="38">
        <f t="shared" si="21"/>
        <v>59915.654545454548</v>
      </c>
      <c r="CB26" s="35">
        <f t="shared" si="55"/>
        <v>290</v>
      </c>
      <c r="CC26" s="35">
        <f t="shared" si="56"/>
        <v>4870</v>
      </c>
      <c r="CD26" s="35">
        <f t="shared" si="57"/>
        <v>1021097</v>
      </c>
      <c r="CE26" s="35">
        <f t="shared" si="58"/>
        <v>15181568</v>
      </c>
      <c r="CF26" s="38">
        <f t="shared" si="69"/>
        <v>564.90451127819551</v>
      </c>
      <c r="CG26" s="38">
        <f t="shared" si="70"/>
        <v>42863.734586466162</v>
      </c>
      <c r="CH26" s="38">
        <f t="shared" si="59"/>
        <v>56421.442857142858</v>
      </c>
    </row>
    <row r="27" spans="1:93" x14ac:dyDescent="0.25">
      <c r="A27" s="8">
        <v>25</v>
      </c>
      <c r="B27" s="9">
        <f>DATA!H26</f>
        <v>59611</v>
      </c>
      <c r="C27" s="10">
        <f>DATA!C319+DATA!D319</f>
        <v>8617000</v>
      </c>
      <c r="D27" s="10">
        <f t="shared" si="0"/>
        <v>513667987000</v>
      </c>
      <c r="E27" s="10">
        <f t="shared" si="15"/>
        <v>54200.1</v>
      </c>
      <c r="F27" s="10">
        <f t="shared" si="45"/>
        <v>51649.95</v>
      </c>
      <c r="G27" s="10"/>
      <c r="H27" s="38">
        <f t="shared" si="60"/>
        <v>52843.28080542387</v>
      </c>
      <c r="I27" s="28">
        <f t="shared" si="25"/>
        <v>54854.854508271608</v>
      </c>
      <c r="M27" s="9">
        <f t="shared" si="46"/>
        <v>59999</v>
      </c>
      <c r="N27" s="9">
        <f t="shared" si="47"/>
        <v>47193</v>
      </c>
      <c r="O27" s="38">
        <f t="shared" si="61"/>
        <v>51649.95</v>
      </c>
      <c r="P27" s="38">
        <f t="shared" si="48"/>
        <v>60396.304908760561</v>
      </c>
      <c r="Q27" s="38">
        <f t="shared" si="49"/>
        <v>42903.595091239433</v>
      </c>
      <c r="R27" s="38">
        <f t="shared" si="16"/>
        <v>53756.5</v>
      </c>
      <c r="W27" s="10">
        <f t="shared" si="1"/>
        <v>-2.8603927603626511E-3</v>
      </c>
      <c r="X27" s="27">
        <f t="shared" si="7"/>
        <v>0</v>
      </c>
      <c r="Y27" s="27">
        <f t="shared" si="8"/>
        <v>2.8603927603626511E-3</v>
      </c>
      <c r="Z27" s="10">
        <f t="shared" ref="Z27:AA27" si="78">AVERAGE(X14:X27)</f>
        <v>1.8788630945940243E-2</v>
      </c>
      <c r="AA27" s="10">
        <f t="shared" si="78"/>
        <v>5.4917033808331833E-3</v>
      </c>
      <c r="AB27" s="38">
        <f t="shared" si="34"/>
        <v>77.382093232638908</v>
      </c>
      <c r="AC27" s="38"/>
      <c r="AD27" s="38"/>
      <c r="AE27" s="38">
        <f t="shared" si="29"/>
        <v>53153</v>
      </c>
      <c r="AF27" s="38">
        <f t="shared" si="30"/>
        <v>4584.0197005886239</v>
      </c>
      <c r="AG27" s="38">
        <f t="shared" si="31"/>
        <v>0</v>
      </c>
      <c r="AH27" s="38">
        <f t="shared" si="32"/>
        <v>4584.0197005886239</v>
      </c>
      <c r="AI27" s="38"/>
      <c r="AJ27" s="38"/>
      <c r="AK27" s="38"/>
      <c r="AL27" s="38">
        <f t="shared" si="2"/>
        <v>-171</v>
      </c>
      <c r="AM27" s="38"/>
      <c r="AN27" s="38"/>
      <c r="AO27" s="38">
        <f t="shared" si="9"/>
        <v>171</v>
      </c>
      <c r="AP27" s="38"/>
      <c r="AQ27" s="38"/>
      <c r="AR27" s="38"/>
      <c r="AS27" s="38"/>
      <c r="AT27" s="38">
        <f t="shared" si="3"/>
        <v>0</v>
      </c>
      <c r="AU27" s="38">
        <f t="shared" si="4"/>
        <v>513667987000</v>
      </c>
      <c r="AV27" s="38">
        <f t="shared" ref="AV27:AW27" si="79">AVERAGE(AT14:AT27)</f>
        <v>150289831470.35715</v>
      </c>
      <c r="AW27" s="38">
        <f t="shared" si="79"/>
        <v>188468414785.71429</v>
      </c>
      <c r="AX27" s="38">
        <f t="shared" si="36"/>
        <v>0.79742715319823954</v>
      </c>
      <c r="AY27" s="38">
        <f t="shared" si="37"/>
        <v>44.364921926284637</v>
      </c>
      <c r="AZ27" s="38">
        <f t="shared" si="52"/>
        <v>51649.95</v>
      </c>
      <c r="BA27" s="38">
        <f t="array" ref="BA27">SUM(ABS((B8:B27-AVERAGE(B8:B27))))/COUNT(B8:B27)</f>
        <v>3684.829999999999</v>
      </c>
      <c r="BB27" s="38">
        <f t="shared" si="64"/>
        <v>144.03287713861073</v>
      </c>
      <c r="BC27" s="38">
        <f t="shared" si="5"/>
        <v>-1473507000</v>
      </c>
      <c r="BD27" s="38">
        <f t="shared" si="38"/>
        <v>5598507182.0341072</v>
      </c>
      <c r="BE27" s="9">
        <f t="shared" si="26"/>
        <v>59999</v>
      </c>
      <c r="BF27" s="9">
        <f t="shared" si="27"/>
        <v>47514</v>
      </c>
      <c r="BG27" s="32">
        <f t="shared" si="28"/>
        <v>0.96892270724869844</v>
      </c>
      <c r="BH27" s="34">
        <f t="shared" si="12"/>
        <v>58140.492971612381</v>
      </c>
      <c r="BI27" s="33">
        <f t="shared" si="65"/>
        <v>52527.104338531302</v>
      </c>
      <c r="BJ27" s="27">
        <f t="shared" si="53"/>
        <v>0.10686651594010242</v>
      </c>
      <c r="BK27" s="35">
        <f t="shared" si="13"/>
        <v>7170409.4249713114</v>
      </c>
      <c r="BL27" s="36">
        <f t="shared" si="66"/>
        <v>5929288.955717966</v>
      </c>
      <c r="BM27" s="27">
        <f t="shared" si="73"/>
        <v>0.20932028756272017</v>
      </c>
      <c r="BN27" s="38">
        <f t="shared" si="14"/>
        <v>420094386630.6557</v>
      </c>
      <c r="BO27" s="38">
        <f t="shared" si="54"/>
        <v>290422237755.34998</v>
      </c>
      <c r="BP27" s="27">
        <f t="shared" si="68"/>
        <v>0.44649524732517487</v>
      </c>
      <c r="BQ27" s="38">
        <f t="shared" si="6"/>
        <v>-171</v>
      </c>
      <c r="BR27" s="38">
        <f t="shared" si="10"/>
        <v>0</v>
      </c>
      <c r="BS27" s="38">
        <f t="shared" si="11"/>
        <v>171</v>
      </c>
      <c r="BT27" s="38">
        <f t="shared" si="22"/>
        <v>81.639630464828699</v>
      </c>
      <c r="BU27" s="38">
        <f t="shared" si="17"/>
        <v>205</v>
      </c>
      <c r="BV27" s="38">
        <f t="shared" si="18"/>
        <v>4285</v>
      </c>
      <c r="BW27" s="38">
        <f t="shared" si="19"/>
        <v>542001</v>
      </c>
      <c r="BX27" s="38">
        <f t="shared" si="20"/>
        <v>11245224</v>
      </c>
      <c r="BY27" s="38">
        <f t="shared" si="23"/>
        <v>1626.7090909090909</v>
      </c>
      <c r="BZ27" s="38">
        <f t="shared" si="24"/>
        <v>20852.563636363637</v>
      </c>
      <c r="CA27" s="38">
        <f t="shared" si="21"/>
        <v>61520.290909090909</v>
      </c>
      <c r="CB27" s="35">
        <f t="shared" si="55"/>
        <v>310</v>
      </c>
      <c r="CC27" s="35">
        <f t="shared" si="56"/>
        <v>5470</v>
      </c>
      <c r="CD27" s="35">
        <f t="shared" si="57"/>
        <v>1032999</v>
      </c>
      <c r="CE27" s="35">
        <f t="shared" si="58"/>
        <v>16433298</v>
      </c>
      <c r="CF27" s="38">
        <f t="shared" si="69"/>
        <v>634.30601503759397</v>
      </c>
      <c r="CG27" s="38">
        <f t="shared" si="70"/>
        <v>41818.20676691729</v>
      </c>
      <c r="CH27" s="38">
        <f t="shared" si="59"/>
        <v>57675.857142857138</v>
      </c>
    </row>
    <row r="28" spans="1:93" x14ac:dyDescent="0.25">
      <c r="A28" s="8">
        <v>26</v>
      </c>
      <c r="B28" s="9">
        <f>DATA!H27</f>
        <v>59067</v>
      </c>
      <c r="C28" s="10">
        <f>DATA!C310+DATA!D310</f>
        <v>9826000</v>
      </c>
      <c r="D28" s="10">
        <f t="shared" si="0"/>
        <v>580392342000</v>
      </c>
      <c r="E28" s="10">
        <f t="shared" si="15"/>
        <v>55268</v>
      </c>
      <c r="F28" s="10">
        <f t="shared" si="45"/>
        <v>52202.1</v>
      </c>
      <c r="G28" s="10"/>
      <c r="H28" s="38">
        <f t="shared" si="60"/>
        <v>53539.616099612977</v>
      </c>
      <c r="I28" s="28">
        <f t="shared" si="25"/>
        <v>55502.87689161444</v>
      </c>
      <c r="J28" s="26">
        <f>AVERAGE(B3:B28)</f>
        <v>50805.461538461539</v>
      </c>
      <c r="K28" s="27">
        <f>I28-J28</f>
        <v>4697.4153531529009</v>
      </c>
      <c r="L28" s="27"/>
      <c r="M28" s="9">
        <f t="shared" si="46"/>
        <v>59999</v>
      </c>
      <c r="N28" s="9">
        <f t="shared" si="47"/>
        <v>47193</v>
      </c>
      <c r="O28" s="38">
        <f t="shared" si="61"/>
        <v>52202.1</v>
      </c>
      <c r="P28" s="38">
        <f t="shared" si="48"/>
        <v>61348.261444015734</v>
      </c>
      <c r="Q28" s="38">
        <f t="shared" si="49"/>
        <v>43055.938555984263</v>
      </c>
      <c r="R28" s="38">
        <f t="shared" si="16"/>
        <v>54231.5</v>
      </c>
      <c r="S28" s="38">
        <f>(MIN(B3:B28)+MAX(B3:B28))*0.5</f>
        <v>52256.5</v>
      </c>
      <c r="T28" s="38">
        <f>(R28+S28)*0.5</f>
        <v>53244</v>
      </c>
      <c r="V28" s="38">
        <f>B3</f>
        <v>44993</v>
      </c>
      <c r="W28" s="10">
        <f t="shared" si="1"/>
        <v>-9.1258324805824423E-3</v>
      </c>
      <c r="X28" s="27">
        <f t="shared" si="7"/>
        <v>0</v>
      </c>
      <c r="Y28" s="27">
        <f t="shared" si="8"/>
        <v>9.1258324805824423E-3</v>
      </c>
      <c r="Z28" s="10">
        <f t="shared" ref="Z28:AA28" si="80">AVERAGE(X15:X28)</f>
        <v>1.7988109889941067E-2</v>
      </c>
      <c r="AA28" s="10">
        <f t="shared" si="80"/>
        <v>6.1435485580176429E-3</v>
      </c>
      <c r="AB28" s="38">
        <f t="shared" si="34"/>
        <v>74.541540229128657</v>
      </c>
      <c r="AC28" s="38"/>
      <c r="AD28" s="38"/>
      <c r="AE28" s="38">
        <f t="shared" si="29"/>
        <v>53775.857142857145</v>
      </c>
      <c r="AF28" s="38">
        <f t="shared" si="30"/>
        <v>4762.3727256507318</v>
      </c>
      <c r="AG28" s="38">
        <f t="shared" si="31"/>
        <v>0</v>
      </c>
      <c r="AH28" s="38">
        <f t="shared" si="32"/>
        <v>4762.3727256507318</v>
      </c>
      <c r="AI28" s="38"/>
      <c r="AJ28" s="38"/>
      <c r="AK28" s="38"/>
      <c r="AL28" s="38">
        <f t="shared" si="2"/>
        <v>-544</v>
      </c>
      <c r="AM28" s="38">
        <f>AVERAGE(AL4:AL28)</f>
        <v>562.96</v>
      </c>
      <c r="AN28" s="38"/>
      <c r="AO28" s="38">
        <f t="shared" si="9"/>
        <v>544</v>
      </c>
      <c r="AP28" s="38">
        <f>AVERAGE(AO4:AO28)</f>
        <v>1107.92</v>
      </c>
      <c r="AQ28" s="38"/>
      <c r="AR28" s="38"/>
      <c r="AS28" s="38"/>
      <c r="AT28" s="38">
        <f t="shared" si="3"/>
        <v>0</v>
      </c>
      <c r="AU28" s="38">
        <f t="shared" si="4"/>
        <v>580392342000</v>
      </c>
      <c r="AV28" s="38">
        <f t="shared" ref="AV28:AW28" si="81">AVERAGE(AT15:AT28)</f>
        <v>140379348179.64285</v>
      </c>
      <c r="AW28" s="38">
        <f t="shared" si="81"/>
        <v>229925010642.85715</v>
      </c>
      <c r="AX28" s="38">
        <f t="shared" si="36"/>
        <v>0.610544054286005</v>
      </c>
      <c r="AY28" s="38">
        <f t="shared" si="37"/>
        <v>37.909180606467459</v>
      </c>
      <c r="AZ28" s="38">
        <f t="shared" si="52"/>
        <v>52202.1</v>
      </c>
      <c r="BA28" s="38">
        <f t="array" ref="BA28">SUM(ABS((B9:B28-AVERAGE(B9:B28))))/COUNT(B9:B28)</f>
        <v>4040.0299999999988</v>
      </c>
      <c r="BB28" s="38">
        <f t="shared" si="64"/>
        <v>113.28133701977467</v>
      </c>
      <c r="BC28" s="38">
        <f t="shared" si="5"/>
        <v>-5345344000</v>
      </c>
      <c r="BD28" s="38">
        <f t="shared" si="38"/>
        <v>4035099870.314949</v>
      </c>
      <c r="BE28" s="9">
        <f t="shared" si="26"/>
        <v>59999</v>
      </c>
      <c r="BF28" s="9">
        <f t="shared" si="27"/>
        <v>47514</v>
      </c>
      <c r="BG28" s="32">
        <f t="shared" si="28"/>
        <v>0.92535042050460548</v>
      </c>
      <c r="BH28" s="34">
        <f t="shared" si="12"/>
        <v>58449.32864774159</v>
      </c>
      <c r="BI28" s="33">
        <f t="shared" si="65"/>
        <v>53149.951544385462</v>
      </c>
      <c r="BJ28" s="27">
        <f>(BH28-BI28)/BI28</f>
        <v>9.9706151169876883E-2</v>
      </c>
      <c r="BK28" s="35">
        <f t="shared" si="13"/>
        <v>8055606.2833142076</v>
      </c>
      <c r="BL28" s="36">
        <f t="shared" si="66"/>
        <v>6300404.2932686359</v>
      </c>
      <c r="BM28" s="27">
        <f t="shared" si="73"/>
        <v>0.27858561265994197</v>
      </c>
      <c r="BN28" s="38">
        <f t="shared" si="14"/>
        <v>473527038420.43713</v>
      </c>
      <c r="BO28" s="38">
        <f t="shared" si="54"/>
        <v>309765018855.34998</v>
      </c>
      <c r="BP28" s="27">
        <f t="shared" si="68"/>
        <v>0.52866530949887081</v>
      </c>
      <c r="BQ28" s="38">
        <f t="shared" si="6"/>
        <v>-544</v>
      </c>
      <c r="BR28" s="38">
        <f t="shared" si="10"/>
        <v>0</v>
      </c>
      <c r="BS28" s="38">
        <f t="shared" si="11"/>
        <v>544</v>
      </c>
      <c r="BT28" s="38">
        <f t="shared" si="22"/>
        <v>86.107177461429529</v>
      </c>
      <c r="BU28" s="38">
        <f t="shared" si="17"/>
        <v>215</v>
      </c>
      <c r="BV28" s="38">
        <f t="shared" si="18"/>
        <v>4705</v>
      </c>
      <c r="BW28" s="38">
        <f t="shared" si="19"/>
        <v>552680</v>
      </c>
      <c r="BX28" s="38">
        <f t="shared" si="20"/>
        <v>12006758</v>
      </c>
      <c r="BY28" s="38">
        <f t="shared" si="23"/>
        <v>1504.7030303030303</v>
      </c>
      <c r="BZ28" s="38">
        <f t="shared" si="24"/>
        <v>22916.884848484849</v>
      </c>
      <c r="CA28" s="38">
        <f t="shared" si="21"/>
        <v>62039.163636363635</v>
      </c>
      <c r="CB28" s="35">
        <f t="shared" si="55"/>
        <v>330</v>
      </c>
      <c r="CC28" s="35">
        <f t="shared" si="56"/>
        <v>6110</v>
      </c>
      <c r="CD28" s="35">
        <f t="shared" si="57"/>
        <v>1044042</v>
      </c>
      <c r="CE28" s="35">
        <f t="shared" si="58"/>
        <v>17680896</v>
      </c>
      <c r="CF28" s="38">
        <f t="shared" si="69"/>
        <v>683.01203007518802</v>
      </c>
      <c r="CG28" s="38">
        <f t="shared" si="70"/>
        <v>40932.4015037594</v>
      </c>
      <c r="CH28" s="38">
        <f t="shared" si="59"/>
        <v>58690.71428571429</v>
      </c>
    </row>
    <row r="29" spans="1:93" x14ac:dyDescent="0.25">
      <c r="A29" s="8">
        <v>27</v>
      </c>
      <c r="B29" s="9">
        <f>DATA!H28</f>
        <v>58263</v>
      </c>
      <c r="C29" s="10">
        <f>DATA!C301+DATA!D301</f>
        <v>3911000</v>
      </c>
      <c r="D29" s="10">
        <f t="shared" si="0"/>
        <v>227866593000</v>
      </c>
      <c r="E29" s="10">
        <f t="shared" si="15"/>
        <v>56342.9</v>
      </c>
      <c r="F29" s="10">
        <f t="shared" si="45"/>
        <v>52710.75</v>
      </c>
      <c r="G29" s="10"/>
      <c r="H29" s="38">
        <f t="shared" si="60"/>
        <v>53809.146078960846</v>
      </c>
      <c r="I29" s="28">
        <f t="shared" si="25"/>
        <v>55927.511215981453</v>
      </c>
      <c r="J29" s="27">
        <f t="shared" ref="J29:J62" si="82">(2/27)*(B29-J28)+J28</f>
        <v>51357.871794871797</v>
      </c>
      <c r="K29" s="27">
        <f t="shared" ref="K29:K62" si="83">I29-J29</f>
        <v>4569.6394211096558</v>
      </c>
      <c r="L29" s="27"/>
      <c r="M29" s="9">
        <f t="shared" si="46"/>
        <v>59999</v>
      </c>
      <c r="N29" s="9">
        <f t="shared" si="47"/>
        <v>47193</v>
      </c>
      <c r="O29" s="38">
        <f t="shared" si="61"/>
        <v>52710.75</v>
      </c>
      <c r="P29" s="38">
        <f t="shared" si="48"/>
        <v>62015.71632718249</v>
      </c>
      <c r="Q29" s="38">
        <f t="shared" si="49"/>
        <v>43405.78367281751</v>
      </c>
      <c r="R29" s="38">
        <f t="shared" si="16"/>
        <v>55443</v>
      </c>
      <c r="S29" s="38">
        <f t="shared" ref="S29:S62" si="84">(MIN(B4:B29)+MAX(B4:B29))*0.5</f>
        <v>52256.5</v>
      </c>
      <c r="T29" s="38">
        <f t="shared" ref="T29:T62" si="85">(R29+S29)*0.5</f>
        <v>53849.75</v>
      </c>
      <c r="V29" s="38">
        <f t="shared" ref="V29:V62" si="86">B4</f>
        <v>45474</v>
      </c>
      <c r="W29" s="10">
        <f t="shared" si="1"/>
        <v>-1.3611661333739651E-2</v>
      </c>
      <c r="X29" s="27">
        <f t="shared" si="7"/>
        <v>0</v>
      </c>
      <c r="Y29" s="27">
        <f t="shared" si="8"/>
        <v>1.3611661333739651E-2</v>
      </c>
      <c r="Z29" s="10">
        <f t="shared" ref="Z29:AA29" si="87">AVERAGE(X16:X29)</f>
        <v>1.7016282940399457E-2</v>
      </c>
      <c r="AA29" s="10">
        <f t="shared" si="87"/>
        <v>7.1158100818561887E-3</v>
      </c>
      <c r="AB29" s="38">
        <f t="shared" si="34"/>
        <v>70.513083654643282</v>
      </c>
      <c r="AC29" s="38"/>
      <c r="AD29" s="38"/>
      <c r="AE29" s="38">
        <f t="shared" si="29"/>
        <v>54292.357142857145</v>
      </c>
      <c r="AF29" s="38">
        <f t="shared" si="30"/>
        <v>4833.4842442652525</v>
      </c>
      <c r="AG29" s="38">
        <f t="shared" si="31"/>
        <v>0</v>
      </c>
      <c r="AH29" s="38">
        <f t="shared" si="32"/>
        <v>4833.4842442652525</v>
      </c>
      <c r="AI29" s="38">
        <f>AVERAGE(AG16:AG29)</f>
        <v>990.49686295808658</v>
      </c>
      <c r="AJ29" s="38"/>
      <c r="AK29" s="38"/>
      <c r="AL29" s="38">
        <f t="shared" si="2"/>
        <v>-804</v>
      </c>
      <c r="AM29" s="38">
        <f>(2/26)*(AL29-AM28)+AM28</f>
        <v>457.80923076923079</v>
      </c>
      <c r="AN29" s="38"/>
      <c r="AO29" s="38">
        <f t="shared" si="9"/>
        <v>804</v>
      </c>
      <c r="AP29" s="38">
        <f>(2/26)*(AO29-AP28)+AP28</f>
        <v>1084.5415384615385</v>
      </c>
      <c r="AQ29" s="38"/>
      <c r="AR29" s="38"/>
      <c r="AS29" s="38"/>
      <c r="AT29" s="38">
        <f t="shared" si="3"/>
        <v>0</v>
      </c>
      <c r="AU29" s="38">
        <f t="shared" si="4"/>
        <v>227866593000</v>
      </c>
      <c r="AV29" s="38">
        <f t="shared" ref="AV29:AW29" si="88">AVERAGE(AT16:AT29)</f>
        <v>130665042465.35715</v>
      </c>
      <c r="AW29" s="38">
        <f t="shared" si="88"/>
        <v>246201195857.14285</v>
      </c>
      <c r="AX29" s="38">
        <f t="shared" si="36"/>
        <v>0.53072464579406409</v>
      </c>
      <c r="AY29" s="38">
        <f t="shared" si="37"/>
        <v>34.671464084172399</v>
      </c>
      <c r="AZ29" s="38">
        <f t="shared" si="52"/>
        <v>52710.75</v>
      </c>
      <c r="BA29" s="38">
        <f t="array" ref="BA29">SUM(ABS((B10:B29-AVERAGE(B10:B29))))/COUNT(B10:B29)</f>
        <v>4239.2</v>
      </c>
      <c r="BB29" s="38">
        <f t="shared" si="64"/>
        <v>87.316003019437645</v>
      </c>
      <c r="BC29" s="38">
        <f t="shared" si="5"/>
        <v>-3144444000</v>
      </c>
      <c r="BD29" s="38">
        <f t="shared" si="38"/>
        <v>3009450745.984242</v>
      </c>
      <c r="BE29" s="9">
        <f t="shared" si="26"/>
        <v>59999</v>
      </c>
      <c r="BF29" s="9">
        <f t="shared" si="27"/>
        <v>47514</v>
      </c>
      <c r="BG29" s="32">
        <f t="shared" si="28"/>
        <v>0.86095314377252707</v>
      </c>
      <c r="BH29" s="34">
        <f t="shared" si="12"/>
        <v>58387.219098494395</v>
      </c>
      <c r="BI29" s="33">
        <f t="shared" si="65"/>
        <v>53636.908540158278</v>
      </c>
      <c r="BJ29" s="27">
        <f t="shared" ref="BJ29:BJ62" si="89">(BH29-BI29)/BI29</f>
        <v>8.8564212360962805E-2</v>
      </c>
      <c r="BK29" s="35">
        <f t="shared" si="13"/>
        <v>6674070.855542805</v>
      </c>
      <c r="BL29" s="36">
        <f t="shared" si="66"/>
        <v>6072841.9796240041</v>
      </c>
      <c r="BM29" s="27">
        <f t="shared" si="73"/>
        <v>9.9002884964911539E-2</v>
      </c>
      <c r="BN29" s="38">
        <f t="shared" si="14"/>
        <v>391640223280.29144</v>
      </c>
      <c r="BO29" s="38">
        <f t="shared" si="54"/>
        <v>315369257473.84998</v>
      </c>
      <c r="BP29" s="27">
        <f t="shared" si="68"/>
        <v>0.24184654654477777</v>
      </c>
      <c r="BQ29" s="38">
        <f t="shared" si="6"/>
        <v>-804</v>
      </c>
      <c r="BR29" s="38">
        <f t="shared" si="10"/>
        <v>0</v>
      </c>
      <c r="BS29" s="38">
        <f t="shared" si="11"/>
        <v>804</v>
      </c>
      <c r="BT29" s="38">
        <f t="shared" si="22"/>
        <v>73.837691206389877</v>
      </c>
      <c r="BU29" s="38">
        <f t="shared" si="17"/>
        <v>225</v>
      </c>
      <c r="BV29" s="38">
        <f t="shared" si="18"/>
        <v>5145</v>
      </c>
      <c r="BW29" s="38">
        <f t="shared" si="19"/>
        <v>563429</v>
      </c>
      <c r="BX29" s="38">
        <f t="shared" si="20"/>
        <v>12772121</v>
      </c>
      <c r="BY29" s="38">
        <f t="shared" si="23"/>
        <v>1151.1333333333334</v>
      </c>
      <c r="BZ29" s="38">
        <f t="shared" si="24"/>
        <v>30442.400000000001</v>
      </c>
      <c r="CA29" s="38">
        <f t="shared" si="21"/>
        <v>61523</v>
      </c>
      <c r="CB29" s="35">
        <f t="shared" si="55"/>
        <v>350</v>
      </c>
      <c r="CC29" s="35">
        <f t="shared" si="56"/>
        <v>6790</v>
      </c>
      <c r="CD29" s="35">
        <f t="shared" si="57"/>
        <v>1054215</v>
      </c>
      <c r="CE29" s="35">
        <f t="shared" si="58"/>
        <v>18917367</v>
      </c>
      <c r="CF29" s="38">
        <f t="shared" si="69"/>
        <v>704.66842105263163</v>
      </c>
      <c r="CG29" s="38">
        <f t="shared" si="70"/>
        <v>40379.052631578947</v>
      </c>
      <c r="CH29" s="38">
        <f t="shared" si="59"/>
        <v>59405.100000000006</v>
      </c>
    </row>
    <row r="30" spans="1:93" x14ac:dyDescent="0.25">
      <c r="A30" s="8">
        <v>28</v>
      </c>
      <c r="B30" s="9">
        <f>DATA!H29</f>
        <v>57087</v>
      </c>
      <c r="C30" s="10">
        <f>DATA!C292+DATA!D292</f>
        <v>3627321</v>
      </c>
      <c r="D30" s="10">
        <f t="shared" si="0"/>
        <v>207072873927</v>
      </c>
      <c r="E30" s="10">
        <f t="shared" si="15"/>
        <v>57205.2</v>
      </c>
      <c r="F30" s="10">
        <f t="shared" si="45"/>
        <v>53205.45</v>
      </c>
      <c r="G30" s="10"/>
      <c r="H30" s="38">
        <f t="shared" si="60"/>
        <v>54033.125905527086</v>
      </c>
      <c r="I30" s="28">
        <f t="shared" si="25"/>
        <v>56105.894105830463</v>
      </c>
      <c r="J30" s="27">
        <f t="shared" si="82"/>
        <v>51782.25166191833</v>
      </c>
      <c r="K30" s="27">
        <f t="shared" si="83"/>
        <v>4323.6424439121329</v>
      </c>
      <c r="L30" s="27"/>
      <c r="M30" s="9">
        <f t="shared" si="46"/>
        <v>59999</v>
      </c>
      <c r="N30" s="9">
        <f t="shared" si="47"/>
        <v>47514</v>
      </c>
      <c r="O30" s="38">
        <f t="shared" si="61"/>
        <v>53205.45</v>
      </c>
      <c r="P30" s="38">
        <f t="shared" si="48"/>
        <v>62334.781070237288</v>
      </c>
      <c r="Q30" s="38">
        <f t="shared" si="49"/>
        <v>44076.118929762706</v>
      </c>
      <c r="R30" s="38">
        <f t="shared" si="16"/>
        <v>56715</v>
      </c>
      <c r="S30" s="38">
        <f t="shared" si="84"/>
        <v>52256.5</v>
      </c>
      <c r="T30" s="38">
        <f t="shared" si="85"/>
        <v>54485.75</v>
      </c>
      <c r="V30" s="38">
        <f t="shared" si="86"/>
        <v>44514</v>
      </c>
      <c r="W30" s="10">
        <f t="shared" si="1"/>
        <v>-2.0184336542917462E-2</v>
      </c>
      <c r="X30" s="27">
        <f t="shared" si="7"/>
        <v>0</v>
      </c>
      <c r="Y30" s="27">
        <f t="shared" si="8"/>
        <v>2.0184336542917462E-2</v>
      </c>
      <c r="Z30" s="10">
        <f t="shared" ref="Z30:AA30" si="90">AVERAGE(X17:X30)</f>
        <v>1.7016282940399457E-2</v>
      </c>
      <c r="AA30" s="10">
        <f t="shared" si="90"/>
        <v>7.6869462071699462E-3</v>
      </c>
      <c r="AB30" s="38">
        <f t="shared" si="34"/>
        <v>68.882828389557815</v>
      </c>
      <c r="AC30" s="38">
        <f>(AB30-MIN(AB17:AB30))/(MAX(AB17:AB30)-MIN(AB17:AB30))</f>
        <v>0.42258705417455705</v>
      </c>
      <c r="AD30" s="38"/>
      <c r="AE30" s="38">
        <f t="shared" si="29"/>
        <v>54769.285714285717</v>
      </c>
      <c r="AF30" s="38">
        <f t="shared" si="30"/>
        <v>4749.6258059665397</v>
      </c>
      <c r="AG30" s="38">
        <f t="shared" si="31"/>
        <v>0</v>
      </c>
      <c r="AH30" s="38">
        <f t="shared" si="32"/>
        <v>4749.6258059665397</v>
      </c>
      <c r="AI30" s="38">
        <f t="shared" ref="AI30:AI62" si="91">AVERAGE(AG17:AG30)</f>
        <v>990.49686295808658</v>
      </c>
      <c r="AJ30" s="38">
        <f t="shared" ref="AJ30:AJ62" si="92">AVERAGE(AH17:AH30)</f>
        <v>2034.1643021866803</v>
      </c>
      <c r="AK30" s="38">
        <f>100*AI30/(AI30+AJ30)</f>
        <v>32.747366031351127</v>
      </c>
      <c r="AL30" s="38">
        <f t="shared" si="2"/>
        <v>-1176</v>
      </c>
      <c r="AM30" s="38">
        <f t="shared" ref="AM30:AM62" si="93">(2/26)*(AL30-AM29)+AM29</f>
        <v>332.1315976331361</v>
      </c>
      <c r="AN30" s="38"/>
      <c r="AO30" s="38">
        <f t="shared" si="9"/>
        <v>1176</v>
      </c>
      <c r="AP30" s="38">
        <f t="shared" ref="AP30:AP62" si="94">(2/26)*(AO30-AP29)+AP29</f>
        <v>1091.5768047337278</v>
      </c>
      <c r="AQ30" s="38"/>
      <c r="AR30" s="38"/>
      <c r="AS30" s="38"/>
      <c r="AT30" s="38">
        <f t="shared" si="3"/>
        <v>0</v>
      </c>
      <c r="AU30" s="38">
        <f t="shared" si="4"/>
        <v>207072873927</v>
      </c>
      <c r="AV30" s="38">
        <f t="shared" ref="AV30:AW30" si="95">AVERAGE(AT17:AT30)</f>
        <v>130665042465.35715</v>
      </c>
      <c r="AW30" s="38">
        <f t="shared" si="95"/>
        <v>209095020423.35715</v>
      </c>
      <c r="AX30" s="38">
        <f t="shared" si="36"/>
        <v>0.62490748082282443</v>
      </c>
      <c r="AY30" s="38">
        <f t="shared" si="37"/>
        <v>38.458034577229121</v>
      </c>
      <c r="AZ30" s="38">
        <f t="shared" si="52"/>
        <v>53205.45</v>
      </c>
      <c r="BA30" s="38">
        <f t="array" ref="BA30">SUM(ABS((B11:B30-AVERAGE(B11:B30))))/COUNT(B11:B30)</f>
        <v>4231.5949999999993</v>
      </c>
      <c r="BB30" s="38">
        <f t="shared" si="64"/>
        <v>61.151882446217144</v>
      </c>
      <c r="BC30" s="38">
        <f t="shared" si="5"/>
        <v>-4265729496</v>
      </c>
      <c r="BD30" s="38">
        <f t="shared" si="38"/>
        <v>1970139282.843636</v>
      </c>
      <c r="BE30" s="9">
        <f t="shared" si="26"/>
        <v>59999</v>
      </c>
      <c r="BF30" s="9">
        <f t="shared" si="27"/>
        <v>47514</v>
      </c>
      <c r="BG30" s="32">
        <f t="shared" si="28"/>
        <v>0.76676011213456152</v>
      </c>
      <c r="BH30" s="34">
        <f t="shared" si="12"/>
        <v>57953.812732329599</v>
      </c>
      <c r="BI30" s="33">
        <f t="shared" si="65"/>
        <v>53965.488679190821</v>
      </c>
      <c r="BJ30" s="27">
        <f t="shared" si="89"/>
        <v>7.3905085467644113E-2</v>
      </c>
      <c r="BK30" s="35">
        <f t="shared" si="13"/>
        <v>5658487.5703618703</v>
      </c>
      <c r="BL30" s="36">
        <f t="shared" si="66"/>
        <v>5839935.2196598137</v>
      </c>
      <c r="BM30" s="27">
        <f t="shared" si="73"/>
        <v>-3.1070147608334767E-2</v>
      </c>
      <c r="BN30" s="38">
        <f t="shared" si="14"/>
        <v>330117773495.86096</v>
      </c>
      <c r="BO30" s="38">
        <f t="shared" si="54"/>
        <v>320487257837.90002</v>
      </c>
      <c r="BP30" s="27">
        <f t="shared" si="68"/>
        <v>3.0049605475522455E-2</v>
      </c>
      <c r="BQ30" s="38">
        <f t="shared" si="6"/>
        <v>-1176</v>
      </c>
      <c r="BR30" s="38">
        <f t="shared" si="10"/>
        <v>0</v>
      </c>
      <c r="BS30" s="38">
        <f t="shared" si="11"/>
        <v>1176</v>
      </c>
      <c r="BT30" s="38">
        <f t="shared" si="22"/>
        <v>51.563539587491682</v>
      </c>
      <c r="BU30" s="38">
        <f t="shared" si="17"/>
        <v>235</v>
      </c>
      <c r="BV30" s="38">
        <f t="shared" si="18"/>
        <v>5605</v>
      </c>
      <c r="BW30" s="38">
        <f t="shared" si="19"/>
        <v>572052</v>
      </c>
      <c r="BX30" s="38">
        <f t="shared" si="20"/>
        <v>13498205</v>
      </c>
      <c r="BY30" s="38">
        <f t="shared" si="23"/>
        <v>666.4606060606061</v>
      </c>
      <c r="BZ30" s="38">
        <f t="shared" si="24"/>
        <v>41543.375757575755</v>
      </c>
      <c r="CA30" s="38">
        <f t="shared" si="21"/>
        <v>60204.272727272728</v>
      </c>
      <c r="CB30" s="35">
        <f t="shared" si="55"/>
        <v>370</v>
      </c>
      <c r="CC30" s="35">
        <f t="shared" si="56"/>
        <v>7510</v>
      </c>
      <c r="CD30" s="35">
        <f t="shared" si="57"/>
        <v>1064109</v>
      </c>
      <c r="CE30" s="35">
        <f t="shared" si="58"/>
        <v>20138259</v>
      </c>
      <c r="CF30" s="38">
        <f t="shared" si="69"/>
        <v>680.06390977443607</v>
      </c>
      <c r="CG30" s="38">
        <f t="shared" si="70"/>
        <v>40624.267669172936</v>
      </c>
      <c r="CH30" s="38">
        <f t="shared" si="59"/>
        <v>59666.057142857142</v>
      </c>
    </row>
    <row r="31" spans="1:93" x14ac:dyDescent="0.25">
      <c r="A31" s="8">
        <v>29</v>
      </c>
      <c r="B31" s="9">
        <f>DATA!H30</f>
        <v>58130</v>
      </c>
      <c r="C31" s="10">
        <f>DATA!C283+DATA!D283</f>
        <v>3971398</v>
      </c>
      <c r="D31" s="10">
        <f t="shared" si="0"/>
        <v>230857365740</v>
      </c>
      <c r="E31" s="10">
        <f t="shared" si="15"/>
        <v>57929.5</v>
      </c>
      <c r="F31" s="10">
        <f t="shared" si="45"/>
        <v>53705.3</v>
      </c>
      <c r="G31" s="10"/>
      <c r="H31" s="38">
        <f t="shared" si="60"/>
        <v>54282.668089471437</v>
      </c>
      <c r="I31" s="28">
        <f t="shared" si="25"/>
        <v>56417.295012625778</v>
      </c>
      <c r="J31" s="27">
        <f t="shared" si="82"/>
        <v>52252.455242516975</v>
      </c>
      <c r="K31" s="27">
        <f t="shared" si="83"/>
        <v>4164.8397701088034</v>
      </c>
      <c r="L31" s="27"/>
      <c r="M31" s="9">
        <f t="shared" si="46"/>
        <v>59999</v>
      </c>
      <c r="N31" s="9">
        <f t="shared" si="47"/>
        <v>47514</v>
      </c>
      <c r="O31" s="38">
        <f t="shared" si="61"/>
        <v>53705.3</v>
      </c>
      <c r="P31" s="38">
        <f t="shared" si="48"/>
        <v>62763.422015075754</v>
      </c>
      <c r="Q31" s="38">
        <f t="shared" si="49"/>
        <v>44647.177984924252</v>
      </c>
      <c r="R31" s="38">
        <f t="shared" si="16"/>
        <v>57958</v>
      </c>
      <c r="S31" s="38">
        <f t="shared" si="84"/>
        <v>53092.5</v>
      </c>
      <c r="T31" s="38">
        <f t="shared" si="85"/>
        <v>55525.25</v>
      </c>
      <c r="V31" s="38">
        <f t="shared" si="86"/>
        <v>46186</v>
      </c>
      <c r="W31" s="10">
        <f t="shared" si="1"/>
        <v>1.8270359276192479E-2</v>
      </c>
      <c r="X31" s="27">
        <f t="shared" si="7"/>
        <v>1.8270359276192479E-2</v>
      </c>
      <c r="Y31" s="27">
        <f t="shared" si="8"/>
        <v>0</v>
      </c>
      <c r="Z31" s="10">
        <f t="shared" ref="Z31:AA31" si="96">AVERAGE(X18:X31)</f>
        <v>1.8321308602984636E-2</v>
      </c>
      <c r="AA31" s="10">
        <f t="shared" si="96"/>
        <v>7.6047629668831562E-3</v>
      </c>
      <c r="AB31" s="38">
        <f t="shared" si="34"/>
        <v>70.667507623014956</v>
      </c>
      <c r="AC31" s="38">
        <f t="shared" ref="AC31:AC62" si="97">(AB31-MIN(AB18:AB31))/(MAX(AB18:AB31)-MIN(AB18:AB31))</f>
        <v>0.51020365563567527</v>
      </c>
      <c r="AD31" s="38"/>
      <c r="AE31" s="38">
        <f t="shared" si="29"/>
        <v>55324.857142857145</v>
      </c>
      <c r="AF31" s="38">
        <f t="shared" si="30"/>
        <v>4646.9762022390241</v>
      </c>
      <c r="AG31" s="38">
        <f t="shared" si="31"/>
        <v>4646.9762022390241</v>
      </c>
      <c r="AH31" s="38">
        <f t="shared" si="32"/>
        <v>0</v>
      </c>
      <c r="AI31" s="38">
        <f t="shared" si="91"/>
        <v>1322.4237345465883</v>
      </c>
      <c r="AJ31" s="38">
        <f t="shared" si="92"/>
        <v>1892.1707084089398</v>
      </c>
      <c r="AK31" s="38">
        <f>100*AI31/(AI31+AJ31)</f>
        <v>41.138120469428159</v>
      </c>
      <c r="AL31" s="38">
        <f t="shared" si="2"/>
        <v>1043</v>
      </c>
      <c r="AM31" s="38">
        <f t="shared" si="93"/>
        <v>386.81378243058714</v>
      </c>
      <c r="AN31" s="38"/>
      <c r="AO31" s="38">
        <f t="shared" si="9"/>
        <v>1043</v>
      </c>
      <c r="AP31" s="38">
        <f t="shared" si="94"/>
        <v>1087.840127446518</v>
      </c>
      <c r="AQ31" s="38"/>
      <c r="AR31" s="38"/>
      <c r="AS31" s="38"/>
      <c r="AT31" s="38">
        <f t="shared" si="3"/>
        <v>230857365740</v>
      </c>
      <c r="AU31" s="38">
        <f t="shared" si="4"/>
        <v>0</v>
      </c>
      <c r="AV31" s="38">
        <f t="shared" ref="AV31:AW31" si="98">AVERAGE(AT18:AT31)</f>
        <v>147154854303.92856</v>
      </c>
      <c r="AW31" s="38">
        <f t="shared" si="98"/>
        <v>167676903851.92856</v>
      </c>
      <c r="AX31" s="38">
        <f t="shared" si="36"/>
        <v>0.8776095629358559</v>
      </c>
      <c r="AY31" s="38">
        <f t="shared" si="37"/>
        <v>46.740791070727909</v>
      </c>
      <c r="AZ31" s="38">
        <f t="shared" si="52"/>
        <v>53705.3</v>
      </c>
      <c r="BA31" s="38">
        <f t="array" ref="BA31">SUM(ABS((B12:B31-AVERAGE(B12:B31))))/COUNT(B12:B31)</f>
        <v>4251.63</v>
      </c>
      <c r="BB31" s="38">
        <f t="shared" si="64"/>
        <v>69.380449380590449</v>
      </c>
      <c r="BC31" s="38">
        <f t="shared" si="5"/>
        <v>4142168114</v>
      </c>
      <c r="BD31" s="38">
        <f t="shared" si="38"/>
        <v>2280429115.8659735</v>
      </c>
      <c r="BE31" s="9">
        <f t="shared" si="26"/>
        <v>59999</v>
      </c>
      <c r="BF31" s="9">
        <f t="shared" si="27"/>
        <v>47514</v>
      </c>
      <c r="BG31" s="32">
        <f t="shared" si="28"/>
        <v>0.850300360432519</v>
      </c>
      <c r="BH31" s="34">
        <f t="shared" si="12"/>
        <v>58012.541821553066</v>
      </c>
      <c r="BI31" s="33">
        <f t="shared" si="65"/>
        <v>54362.10880498217</v>
      </c>
      <c r="BJ31" s="27">
        <f t="shared" si="89"/>
        <v>6.7150320265654262E-2</v>
      </c>
      <c r="BK31" s="35">
        <f t="shared" si="13"/>
        <v>5096124.3802412469</v>
      </c>
      <c r="BL31" s="36">
        <f t="shared" si="66"/>
        <v>5661979.2939779265</v>
      </c>
      <c r="BM31" s="27">
        <f t="shared" si="73"/>
        <v>-9.9939417711845419E-2</v>
      </c>
      <c r="BN31" s="38">
        <f t="shared" si="14"/>
        <v>297030970910.57397</v>
      </c>
      <c r="BO31" s="38">
        <f t="shared" si="54"/>
        <v>326424889062.59998</v>
      </c>
      <c r="BP31" s="27">
        <f t="shared" si="68"/>
        <v>-9.004802984367101E-2</v>
      </c>
      <c r="BQ31" s="38">
        <f t="shared" si="6"/>
        <v>1043</v>
      </c>
      <c r="BR31" s="38">
        <f t="shared" si="10"/>
        <v>1043</v>
      </c>
      <c r="BS31" s="38">
        <f t="shared" si="11"/>
        <v>0</v>
      </c>
      <c r="BT31" s="38">
        <f t="shared" si="22"/>
        <v>44.654566188349335</v>
      </c>
      <c r="BU31" s="38">
        <f t="shared" si="17"/>
        <v>245</v>
      </c>
      <c r="BV31" s="38">
        <f t="shared" si="18"/>
        <v>6085</v>
      </c>
      <c r="BW31" s="38">
        <f t="shared" si="19"/>
        <v>579295</v>
      </c>
      <c r="BX31" s="38">
        <f t="shared" si="20"/>
        <v>14217122</v>
      </c>
      <c r="BY31" s="38">
        <f t="shared" si="23"/>
        <v>295.69090909090909</v>
      </c>
      <c r="BZ31" s="38">
        <f t="shared" si="24"/>
        <v>50685.072727272731</v>
      </c>
      <c r="CA31" s="38">
        <f t="shared" si="21"/>
        <v>59260.109090909093</v>
      </c>
      <c r="CB31" s="35">
        <f t="shared" si="55"/>
        <v>390</v>
      </c>
      <c r="CC31" s="35">
        <f t="shared" si="56"/>
        <v>8270</v>
      </c>
      <c r="CD31" s="35">
        <f t="shared" si="57"/>
        <v>1074106</v>
      </c>
      <c r="CE31" s="35">
        <f t="shared" si="58"/>
        <v>21390832</v>
      </c>
      <c r="CF31" s="38">
        <f t="shared" si="69"/>
        <v>670.32330827067665</v>
      </c>
      <c r="CG31" s="38">
        <f t="shared" si="70"/>
        <v>40633.995488721805</v>
      </c>
      <c r="CH31" s="38">
        <f t="shared" si="59"/>
        <v>60073.371428571423</v>
      </c>
    </row>
    <row r="32" spans="1:93" x14ac:dyDescent="0.25">
      <c r="A32" s="8">
        <v>30</v>
      </c>
      <c r="B32" s="9">
        <f>DATA!H31</f>
        <v>57523</v>
      </c>
      <c r="C32" s="10">
        <f>DATA!C274+DATA!D274</f>
        <v>2514445</v>
      </c>
      <c r="D32" s="10">
        <f t="shared" si="0"/>
        <v>144638419735</v>
      </c>
      <c r="E32" s="10">
        <f t="shared" si="15"/>
        <v>58338.7</v>
      </c>
      <c r="F32" s="10">
        <f t="shared" si="45"/>
        <v>54200.05</v>
      </c>
      <c r="G32" s="10">
        <f t="shared" ref="G32:G62" si="99">AVERAGE(B3:B32)</f>
        <v>51731.5</v>
      </c>
      <c r="H32" s="38">
        <f t="shared" si="60"/>
        <v>54542.872086720912</v>
      </c>
      <c r="I32" s="28">
        <f t="shared" si="25"/>
        <v>56587.403472221813</v>
      </c>
      <c r="J32" s="27">
        <f t="shared" si="82"/>
        <v>52642.865965293495</v>
      </c>
      <c r="K32" s="27">
        <f t="shared" si="83"/>
        <v>3944.5375069283182</v>
      </c>
      <c r="L32" s="27"/>
      <c r="M32" s="9">
        <f t="shared" si="46"/>
        <v>59999</v>
      </c>
      <c r="N32" s="9">
        <f t="shared" si="47"/>
        <v>47514</v>
      </c>
      <c r="O32" s="38">
        <f t="shared" si="61"/>
        <v>54200.05</v>
      </c>
      <c r="P32" s="38">
        <f t="shared" si="48"/>
        <v>62952.119229045209</v>
      </c>
      <c r="Q32" s="38">
        <f t="shared" si="49"/>
        <v>45447.980770954797</v>
      </c>
      <c r="R32" s="38">
        <f t="shared" si="16"/>
        <v>58543</v>
      </c>
      <c r="S32" s="38">
        <f t="shared" si="84"/>
        <v>53596</v>
      </c>
      <c r="T32" s="38">
        <f t="shared" si="85"/>
        <v>56069.5</v>
      </c>
      <c r="V32" s="38">
        <f t="shared" si="86"/>
        <v>47709</v>
      </c>
      <c r="W32" s="10">
        <f t="shared" si="1"/>
        <v>-1.0442112506451058E-2</v>
      </c>
      <c r="X32" s="27">
        <f t="shared" si="7"/>
        <v>0</v>
      </c>
      <c r="Y32" s="27">
        <f t="shared" si="8"/>
        <v>1.0442112506451058E-2</v>
      </c>
      <c r="Z32" s="10">
        <f t="shared" ref="Z32:AA32" si="100">AVERAGE(X19:X32)</f>
        <v>1.8321308602984636E-2</v>
      </c>
      <c r="AA32" s="10">
        <f t="shared" si="100"/>
        <v>5.5645280051917828E-3</v>
      </c>
      <c r="AB32" s="38">
        <f t="shared" si="34"/>
        <v>76.703650382976434</v>
      </c>
      <c r="AC32" s="38">
        <f t="shared" si="97"/>
        <v>0.80654055733059793</v>
      </c>
      <c r="AD32" s="38">
        <f>AVERAGE(AC30:AC32)</f>
        <v>0.57977708904694347</v>
      </c>
      <c r="AE32" s="38">
        <f t="shared" si="29"/>
        <v>55977.357142857145</v>
      </c>
      <c r="AF32" s="38">
        <f t="shared" si="30"/>
        <v>4219.7183574835317</v>
      </c>
      <c r="AG32" s="38">
        <f t="shared" si="31"/>
        <v>0</v>
      </c>
      <c r="AH32" s="38">
        <f t="shared" si="32"/>
        <v>4219.7183574835317</v>
      </c>
      <c r="AI32" s="38">
        <f t="shared" si="91"/>
        <v>1322.4237345465883</v>
      </c>
      <c r="AJ32" s="38">
        <f t="shared" si="92"/>
        <v>2063.1631259487281</v>
      </c>
      <c r="AK32" s="38">
        <f t="shared" ref="AK32:AK62" si="101">100*AI32/(AI32+AJ32)</f>
        <v>39.060398951132385</v>
      </c>
      <c r="AL32" s="38">
        <f t="shared" si="2"/>
        <v>-607</v>
      </c>
      <c r="AM32" s="38">
        <f t="shared" si="93"/>
        <v>310.36656839746502</v>
      </c>
      <c r="AN32" s="38"/>
      <c r="AO32" s="38">
        <f t="shared" si="9"/>
        <v>607</v>
      </c>
      <c r="AP32" s="38">
        <f t="shared" si="94"/>
        <v>1050.8524253352473</v>
      </c>
      <c r="AQ32" s="38"/>
      <c r="AR32" s="38"/>
      <c r="AS32" s="38"/>
      <c r="AT32" s="38">
        <f t="shared" si="3"/>
        <v>0</v>
      </c>
      <c r="AU32" s="38">
        <f t="shared" si="4"/>
        <v>144638419735</v>
      </c>
      <c r="AV32" s="38">
        <f t="shared" ref="AV32:AW32" si="102">AVERAGE(AT19:AT32)</f>
        <v>147154854303.92856</v>
      </c>
      <c r="AW32" s="38">
        <f t="shared" si="102"/>
        <v>170089868975.85715</v>
      </c>
      <c r="AX32" s="38">
        <f t="shared" si="36"/>
        <v>0.8651594312464076</v>
      </c>
      <c r="AY32" s="38">
        <f t="shared" si="37"/>
        <v>46.385280354733965</v>
      </c>
      <c r="AZ32" s="38">
        <f t="shared" si="52"/>
        <v>54200.05</v>
      </c>
      <c r="BA32" s="38">
        <f t="array" ref="BA32">SUM(ABS((B13:B32-AVERAGE(B13:B32))))/COUNT(B13:B32)</f>
        <v>4138.6499999999996</v>
      </c>
      <c r="BB32" s="38">
        <f t="shared" si="64"/>
        <v>53.527116330204258</v>
      </c>
      <c r="BC32" s="38">
        <f t="shared" si="5"/>
        <v>-1526268115</v>
      </c>
      <c r="BD32" s="38">
        <f t="shared" si="38"/>
        <v>1736615225.7422628</v>
      </c>
      <c r="BE32" s="9">
        <f t="shared" si="26"/>
        <v>59999</v>
      </c>
      <c r="BF32" s="9">
        <f t="shared" si="27"/>
        <v>47514</v>
      </c>
      <c r="BG32" s="32">
        <f t="shared" si="28"/>
        <v>0.80168201842210651</v>
      </c>
      <c r="BH32" s="34">
        <f t="shared" si="12"/>
        <v>57849.361214368713</v>
      </c>
      <c r="BI32" s="33">
        <f t="shared" si="65"/>
        <v>54663.146061650536</v>
      </c>
      <c r="BJ32" s="27">
        <f t="shared" si="89"/>
        <v>5.8288177360386106E-2</v>
      </c>
      <c r="BK32" s="35">
        <f t="shared" si="13"/>
        <v>4235564.5868274979</v>
      </c>
      <c r="BL32" s="36">
        <f t="shared" si="66"/>
        <v>5362214.1231228858</v>
      </c>
      <c r="BM32" s="27">
        <f t="shared" si="73"/>
        <v>-0.21010901661630055</v>
      </c>
      <c r="BN32" s="38">
        <f t="shared" si="14"/>
        <v>246233453852.04932</v>
      </c>
      <c r="BO32" s="38">
        <f t="shared" si="54"/>
        <v>325460031249.34998</v>
      </c>
      <c r="BP32" s="27">
        <f t="shared" si="68"/>
        <v>-0.24342951450343073</v>
      </c>
      <c r="BQ32" s="38">
        <f t="shared" si="6"/>
        <v>-607</v>
      </c>
      <c r="BR32" s="38">
        <f t="shared" si="10"/>
        <v>0</v>
      </c>
      <c r="BS32" s="38">
        <f t="shared" si="11"/>
        <v>607</v>
      </c>
      <c r="BT32" s="38">
        <f t="shared" si="22"/>
        <v>18.579361406756131</v>
      </c>
      <c r="BU32" s="38">
        <f t="shared" si="17"/>
        <v>255</v>
      </c>
      <c r="BV32" s="38">
        <f t="shared" si="18"/>
        <v>6585</v>
      </c>
      <c r="BW32" s="38">
        <f t="shared" si="19"/>
        <v>583387</v>
      </c>
      <c r="BX32" s="38">
        <f t="shared" si="20"/>
        <v>14874192</v>
      </c>
      <c r="BY32" s="38">
        <f t="shared" si="23"/>
        <v>-26.381818181818183</v>
      </c>
      <c r="BZ32" s="38">
        <f t="shared" si="24"/>
        <v>59011.436363636363</v>
      </c>
      <c r="CA32" s="38">
        <f t="shared" si="21"/>
        <v>58219.981818181819</v>
      </c>
      <c r="CB32" s="35">
        <f t="shared" si="55"/>
        <v>410</v>
      </c>
      <c r="CC32" s="35">
        <f t="shared" si="56"/>
        <v>9070</v>
      </c>
      <c r="CD32" s="35">
        <f t="shared" si="57"/>
        <v>1084001</v>
      </c>
      <c r="CE32" s="35">
        <f t="shared" si="58"/>
        <v>22640242</v>
      </c>
      <c r="CF32" s="38">
        <f t="shared" si="69"/>
        <v>628.90451127819551</v>
      </c>
      <c r="CG32" s="38">
        <f t="shared" si="70"/>
        <v>41307.507518796992</v>
      </c>
      <c r="CH32" s="38">
        <f t="shared" si="59"/>
        <v>60174.642857142855</v>
      </c>
      <c r="CI32" s="36">
        <f t="shared" ref="CI32:CI62" si="103">SUM(A3:A32)</f>
        <v>465</v>
      </c>
      <c r="CJ32" s="36">
        <f t="shared" ref="CJ32:CJ62" si="104">(A3*A3)+(A4*A4)+(A5*A5)+(A6*A6)+(A7*A7)+(A8*A8)+(A9*A9)+(A10*A10)+(A11*A11)+(A12*A12)+(A13*A13)+(A14*A14)+(A15*A15)+(A16*A16)+(A17*A17)+(A18*A18)+(A19*A19)+(A20*A20)+(A21*A21)+(A22*A22)+(A23*A23)+(A24*A24)+(A25*A25)+(A26*A26)+(A27*A27)+(A28*A28)+(A29*A29)+(A30*A30)+(A31*A31)+(A32*A32)</f>
        <v>9455</v>
      </c>
      <c r="CK32" s="36">
        <f t="shared" ref="CK32:CK62" si="105">SUM(B3:B32)</f>
        <v>1551945</v>
      </c>
      <c r="CL32" s="36">
        <f t="shared" ref="CL32:CL62" si="106">(A3*B3)+(A4*B4)+(A5*B5)+(A6*B6)+(A7*B7)+(A8*B8)+(A9*B9)+(A10*B10)+(A11*B11)+(A12*B12)+(A13*B13)+(A14*B14)+(A15*B15)+(A16*B16)+(A17*B17)+(A18*B18)+(A19*B19)+(A20*B20)+(A21*B21)+(A22*B22)+(A23*B23)+(A24*B24)+(A25*B25)+(A26*B26)+(A27*B27)+(A28*B28)+(A29*B29)+(A30*B30)+(A31*B31)+(A32*B32)</f>
        <v>25244809</v>
      </c>
      <c r="CM32" s="38">
        <f>(30*CL32-CI32*CK32)/(30*CJ32-CI32*CI32)</f>
        <v>529.3265850945495</v>
      </c>
      <c r="CN32" s="38">
        <f>(CK32*CJ32-CI32*CL32)/(30*CJ32-CI32*CI32)</f>
        <v>43526.937931034481</v>
      </c>
      <c r="CO32" s="38">
        <f t="shared" ref="CO32:CO62" si="107">CM32*A32+CN32</f>
        <v>59406.735483870965</v>
      </c>
    </row>
    <row r="33" spans="1:93" x14ac:dyDescent="0.25">
      <c r="A33" s="8">
        <v>31</v>
      </c>
      <c r="B33" s="9">
        <f>DATA!H32</f>
        <v>57811</v>
      </c>
      <c r="C33" s="10">
        <f>DATA!C265+DATA!D265</f>
        <v>2606861</v>
      </c>
      <c r="D33" s="10">
        <f t="shared" si="0"/>
        <v>150705241271</v>
      </c>
      <c r="E33" s="10">
        <f t="shared" si="15"/>
        <v>58528.1</v>
      </c>
      <c r="F33" s="10">
        <f t="shared" si="45"/>
        <v>54601.15</v>
      </c>
      <c r="G33" s="10">
        <f t="shared" si="99"/>
        <v>52158.76666666667</v>
      </c>
      <c r="H33" s="38">
        <f t="shared" si="60"/>
        <v>54930.955090563308</v>
      </c>
      <c r="I33" s="28">
        <f t="shared" si="25"/>
        <v>56775.649091879997</v>
      </c>
      <c r="J33" s="27">
        <f t="shared" si="82"/>
        <v>53025.690708605085</v>
      </c>
      <c r="K33" s="27">
        <f t="shared" si="83"/>
        <v>3749.9583832749122</v>
      </c>
      <c r="L33" s="27"/>
      <c r="M33" s="9">
        <f t="shared" si="46"/>
        <v>59999</v>
      </c>
      <c r="N33" s="9">
        <f t="shared" si="47"/>
        <v>47514</v>
      </c>
      <c r="O33" s="38">
        <f t="shared" si="61"/>
        <v>54601.15</v>
      </c>
      <c r="P33" s="38">
        <f t="shared" si="48"/>
        <v>63242.417876301486</v>
      </c>
      <c r="Q33" s="38">
        <f t="shared" si="49"/>
        <v>45959.882123698517</v>
      </c>
      <c r="R33" s="38">
        <f t="shared" si="16"/>
        <v>58543</v>
      </c>
      <c r="S33" s="38">
        <f t="shared" si="84"/>
        <v>53596</v>
      </c>
      <c r="T33" s="38">
        <f t="shared" si="85"/>
        <v>56069.5</v>
      </c>
      <c r="V33" s="38">
        <f t="shared" si="86"/>
        <v>48024</v>
      </c>
      <c r="W33" s="10">
        <f t="shared" si="1"/>
        <v>5.0066929749839192E-3</v>
      </c>
      <c r="X33" s="27">
        <f t="shared" si="7"/>
        <v>5.0066929749839192E-3</v>
      </c>
      <c r="Y33" s="27">
        <f t="shared" si="8"/>
        <v>0</v>
      </c>
      <c r="Z33" s="10">
        <f t="shared" ref="Z33:AA33" si="108">AVERAGE(X20:X33)</f>
        <v>1.8678929529769201E-2</v>
      </c>
      <c r="AA33" s="10">
        <f t="shared" si="108"/>
        <v>4.274361612107311E-3</v>
      </c>
      <c r="AB33" s="38">
        <f t="shared" si="34"/>
        <v>81.378001151612338</v>
      </c>
      <c r="AC33" s="38">
        <f t="shared" si="97"/>
        <v>1</v>
      </c>
      <c r="AD33" s="38">
        <f t="shared" ref="AD33:AD62" si="109">AVERAGE(AC31:AC33)</f>
        <v>0.7722480709887577</v>
      </c>
      <c r="AE33" s="38">
        <f t="shared" si="29"/>
        <v>56712.857142857145</v>
      </c>
      <c r="AF33" s="38">
        <f t="shared" si="30"/>
        <v>3460.0876791279074</v>
      </c>
      <c r="AG33" s="38">
        <f t="shared" si="31"/>
        <v>3460.0876791279074</v>
      </c>
      <c r="AH33" s="38">
        <f t="shared" si="32"/>
        <v>0</v>
      </c>
      <c r="AI33" s="38">
        <f t="shared" si="91"/>
        <v>1569.5728544842962</v>
      </c>
      <c r="AJ33" s="38">
        <f t="shared" si="92"/>
        <v>1957.7841873257039</v>
      </c>
      <c r="AK33" s="38">
        <f t="shared" si="101"/>
        <v>44.497135840802159</v>
      </c>
      <c r="AL33" s="38">
        <f t="shared" si="2"/>
        <v>288</v>
      </c>
      <c r="AM33" s="38">
        <f t="shared" si="93"/>
        <v>308.64606313612154</v>
      </c>
      <c r="AN33" s="38"/>
      <c r="AO33" s="38">
        <f t="shared" si="9"/>
        <v>288</v>
      </c>
      <c r="AP33" s="38">
        <f t="shared" si="94"/>
        <v>992.17146954022826</v>
      </c>
      <c r="AQ33" s="38"/>
      <c r="AR33" s="38"/>
      <c r="AS33" s="38"/>
      <c r="AT33" s="38">
        <f t="shared" si="3"/>
        <v>150705241271</v>
      </c>
      <c r="AU33" s="38">
        <f t="shared" si="4"/>
        <v>0</v>
      </c>
      <c r="AV33" s="38">
        <f t="shared" ref="AV33:AW33" si="110">AVERAGE(AT20:AT33)</f>
        <v>157919514394.71429</v>
      </c>
      <c r="AW33" s="38">
        <f t="shared" si="110"/>
        <v>138231731975.85715</v>
      </c>
      <c r="AX33" s="38">
        <f t="shared" si="36"/>
        <v>1.1424259259248499</v>
      </c>
      <c r="AY33" s="38">
        <f t="shared" si="37"/>
        <v>53.323940496644404</v>
      </c>
      <c r="AZ33" s="38">
        <f t="shared" si="52"/>
        <v>54601.15</v>
      </c>
      <c r="BA33" s="38">
        <f t="array" ref="BA33">SUM(ABS((B14:B33-AVERAGE(B14:B33))))/COUNT(B14:B33)</f>
        <v>4058.5350000000008</v>
      </c>
      <c r="BB33" s="38">
        <f t="shared" si="64"/>
        <v>52.72592203837096</v>
      </c>
      <c r="BC33" s="38">
        <f t="shared" si="5"/>
        <v>750775968</v>
      </c>
      <c r="BD33" s="38">
        <f t="shared" si="38"/>
        <v>1595781046.0647967</v>
      </c>
      <c r="BE33" s="9">
        <f t="shared" si="26"/>
        <v>59999</v>
      </c>
      <c r="BF33" s="9">
        <f t="shared" si="27"/>
        <v>48464</v>
      </c>
      <c r="BG33" s="32">
        <f t="shared" si="28"/>
        <v>0.81031642826181183</v>
      </c>
      <c r="BH33" s="34">
        <f t="shared" si="12"/>
        <v>57836.574142912476</v>
      </c>
      <c r="BI33" s="33">
        <f t="shared" si="65"/>
        <v>54962.941674826674</v>
      </c>
      <c r="BJ33" s="27">
        <f t="shared" si="89"/>
        <v>5.2283090761169007E-2</v>
      </c>
      <c r="BK33" s="35">
        <f t="shared" si="13"/>
        <v>3692663.3912183321</v>
      </c>
      <c r="BL33" s="36">
        <f t="shared" si="66"/>
        <v>5099799.5399683248</v>
      </c>
      <c r="BM33" s="27">
        <f t="shared" si="73"/>
        <v>-0.2759198940511165</v>
      </c>
      <c r="BN33" s="38">
        <f t="shared" si="14"/>
        <v>214390716325.03287</v>
      </c>
      <c r="BO33" s="38">
        <f t="shared" si="54"/>
        <v>314207414162.90002</v>
      </c>
      <c r="BP33" s="27">
        <f t="shared" si="68"/>
        <v>-0.31767772922798521</v>
      </c>
      <c r="BQ33" s="38">
        <f t="shared" si="6"/>
        <v>288</v>
      </c>
      <c r="BR33" s="38">
        <f t="shared" si="10"/>
        <v>288</v>
      </c>
      <c r="BS33" s="38">
        <f t="shared" si="11"/>
        <v>0</v>
      </c>
      <c r="BT33" s="38">
        <f t="shared" si="22"/>
        <v>-2.8796959508843734</v>
      </c>
      <c r="BU33" s="38">
        <f t="shared" si="17"/>
        <v>265</v>
      </c>
      <c r="BV33" s="38">
        <f t="shared" si="18"/>
        <v>7105</v>
      </c>
      <c r="BW33" s="38">
        <f t="shared" si="19"/>
        <v>585281</v>
      </c>
      <c r="BX33" s="38">
        <f t="shared" si="20"/>
        <v>15492076</v>
      </c>
      <c r="BY33" s="38">
        <f t="shared" si="23"/>
        <v>-216.61212121212122</v>
      </c>
      <c r="BZ33" s="38">
        <f t="shared" si="24"/>
        <v>64268.321212121213</v>
      </c>
      <c r="CA33" s="38">
        <f t="shared" si="21"/>
        <v>57553.345454545459</v>
      </c>
      <c r="CB33" s="35">
        <f t="shared" si="55"/>
        <v>430</v>
      </c>
      <c r="CC33" s="35">
        <f t="shared" si="56"/>
        <v>9910</v>
      </c>
      <c r="CD33" s="35">
        <f t="shared" si="57"/>
        <v>1092023</v>
      </c>
      <c r="CE33" s="35">
        <f t="shared" si="58"/>
        <v>23884704</v>
      </c>
      <c r="CF33" s="38">
        <f t="shared" si="69"/>
        <v>610.84135338345868</v>
      </c>
      <c r="CG33" s="38">
        <f t="shared" si="70"/>
        <v>41468.060902255638</v>
      </c>
      <c r="CH33" s="38">
        <f t="shared" si="59"/>
        <v>60404.142857142855</v>
      </c>
      <c r="CI33" s="36">
        <f t="shared" si="103"/>
        <v>495</v>
      </c>
      <c r="CJ33" s="36">
        <f t="shared" si="104"/>
        <v>10415</v>
      </c>
      <c r="CK33" s="36">
        <f t="shared" si="105"/>
        <v>1564763</v>
      </c>
      <c r="CL33" s="36">
        <f t="shared" si="106"/>
        <v>26991957</v>
      </c>
      <c r="CM33" s="38">
        <f t="shared" ref="CM33:CM62" si="111">(30*CL33-CI33*CK33)/(30*CJ33-CI33*CI33)</f>
        <v>522.07675194660737</v>
      </c>
      <c r="CN33" s="38">
        <f t="shared" ref="CN33:CN62" si="112">(CK33*CJ33-CI33*CL33)/(30*CJ33-CI33*CI33)</f>
        <v>43544.500259547647</v>
      </c>
      <c r="CO33" s="38">
        <f t="shared" si="107"/>
        <v>59728.879569892473</v>
      </c>
    </row>
    <row r="34" spans="1:93" x14ac:dyDescent="0.25">
      <c r="A34" s="8">
        <v>32</v>
      </c>
      <c r="B34" s="9">
        <f>DATA!H33</f>
        <v>56218</v>
      </c>
      <c r="C34" s="10">
        <f>DATA!C256+DATA!D256</f>
        <v>2553083</v>
      </c>
      <c r="D34" s="10">
        <f t="shared" si="0"/>
        <v>143529220094</v>
      </c>
      <c r="E34" s="10">
        <f t="shared" si="15"/>
        <v>58349.1</v>
      </c>
      <c r="F34" s="10">
        <f t="shared" si="45"/>
        <v>54894.7</v>
      </c>
      <c r="G34" s="10">
        <f t="shared" si="99"/>
        <v>52516.9</v>
      </c>
      <c r="H34" s="38">
        <f t="shared" si="60"/>
        <v>55070.348282868981</v>
      </c>
      <c r="I34" s="28">
        <f t="shared" si="25"/>
        <v>56689.856923898456</v>
      </c>
      <c r="J34" s="27">
        <f t="shared" si="82"/>
        <v>53262.158063523224</v>
      </c>
      <c r="K34" s="27">
        <f t="shared" si="83"/>
        <v>3427.6988603752325</v>
      </c>
      <c r="L34" s="27"/>
      <c r="M34" s="9">
        <f t="shared" si="46"/>
        <v>59999</v>
      </c>
      <c r="N34" s="9">
        <f t="shared" si="47"/>
        <v>47514</v>
      </c>
      <c r="O34" s="38">
        <f t="shared" si="61"/>
        <v>54894.7</v>
      </c>
      <c r="P34" s="38">
        <f t="shared" si="48"/>
        <v>63334.493033007384</v>
      </c>
      <c r="Q34" s="38">
        <f t="shared" si="49"/>
        <v>46454.90696699261</v>
      </c>
      <c r="R34" s="38">
        <f t="shared" si="16"/>
        <v>58000</v>
      </c>
      <c r="S34" s="38">
        <f t="shared" si="84"/>
        <v>53596</v>
      </c>
      <c r="T34" s="38">
        <f t="shared" si="85"/>
        <v>55798</v>
      </c>
      <c r="V34" s="38">
        <f t="shared" si="86"/>
        <v>48090</v>
      </c>
      <c r="W34" s="10">
        <f t="shared" si="1"/>
        <v>-2.7555309543166526E-2</v>
      </c>
      <c r="X34" s="27">
        <f t="shared" si="7"/>
        <v>0</v>
      </c>
      <c r="Y34" s="27">
        <f t="shared" si="8"/>
        <v>2.7555309543166526E-2</v>
      </c>
      <c r="Z34" s="10">
        <f t="shared" ref="Z34:AA34" si="113">AVERAGE(X21:X34)</f>
        <v>1.725077902976619E-2</v>
      </c>
      <c r="AA34" s="10">
        <f t="shared" si="113"/>
        <v>6.2425980080477771E-3</v>
      </c>
      <c r="AB34" s="38">
        <f t="shared" si="34"/>
        <v>73.428264493435961</v>
      </c>
      <c r="AC34" s="38">
        <f t="shared" si="97"/>
        <v>0.57205306645462239</v>
      </c>
      <c r="AD34" s="38">
        <f t="shared" si="109"/>
        <v>0.79286454126174011</v>
      </c>
      <c r="AE34" s="38">
        <f t="shared" si="29"/>
        <v>57266.714285714283</v>
      </c>
      <c r="AF34" s="38">
        <f t="shared" si="30"/>
        <v>2535.0666636226729</v>
      </c>
      <c r="AG34" s="38">
        <f t="shared" si="31"/>
        <v>0</v>
      </c>
      <c r="AH34" s="38">
        <f t="shared" si="32"/>
        <v>2535.0666636226729</v>
      </c>
      <c r="AI34" s="38">
        <f t="shared" si="91"/>
        <v>1476.6803824887543</v>
      </c>
      <c r="AJ34" s="38">
        <f t="shared" si="92"/>
        <v>2138.8603775844663</v>
      </c>
      <c r="AK34" s="38">
        <f t="shared" si="101"/>
        <v>40.842587056295535</v>
      </c>
      <c r="AL34" s="38">
        <f t="shared" si="2"/>
        <v>-1593</v>
      </c>
      <c r="AM34" s="38">
        <f t="shared" si="93"/>
        <v>162.36559674103526</v>
      </c>
      <c r="AN34" s="38"/>
      <c r="AO34" s="38">
        <f t="shared" si="9"/>
        <v>1593</v>
      </c>
      <c r="AP34" s="38">
        <f t="shared" si="94"/>
        <v>1038.3890488063646</v>
      </c>
      <c r="AQ34" s="38"/>
      <c r="AR34" s="38"/>
      <c r="AS34" s="38"/>
      <c r="AT34" s="38">
        <f t="shared" si="3"/>
        <v>0</v>
      </c>
      <c r="AU34" s="38">
        <f t="shared" si="4"/>
        <v>143529220094</v>
      </c>
      <c r="AV34" s="38">
        <f t="shared" ref="AV34:AW34" si="114">AVERAGE(AT21:AT34)</f>
        <v>157156054079.28571</v>
      </c>
      <c r="AW34" s="38">
        <f t="shared" si="114"/>
        <v>148483819125.42856</v>
      </c>
      <c r="AX34" s="38">
        <f t="shared" si="36"/>
        <v>1.0584052525382006</v>
      </c>
      <c r="AY34" s="38">
        <f t="shared" si="37"/>
        <v>51.41870150365633</v>
      </c>
      <c r="AZ34" s="38">
        <f t="shared" si="52"/>
        <v>54894.7</v>
      </c>
      <c r="BA34" s="38">
        <f t="array" ref="BA34">SUM(ABS((B15:B34-AVERAGE(B15:B34))))/COUNT(B15:B34)</f>
        <v>3867.9600000000005</v>
      </c>
      <c r="BB34" s="38">
        <f t="shared" si="64"/>
        <v>22.807888395950368</v>
      </c>
      <c r="BC34" s="38">
        <f t="shared" si="5"/>
        <v>-4067061219</v>
      </c>
      <c r="BD34" s="38">
        <f t="shared" si="38"/>
        <v>786803579.62696862</v>
      </c>
      <c r="BE34" s="9">
        <f t="shared" si="26"/>
        <v>59999</v>
      </c>
      <c r="BF34" s="9">
        <f t="shared" si="27"/>
        <v>50887</v>
      </c>
      <c r="BG34" s="32">
        <f t="shared" si="28"/>
        <v>0.58505267778753289</v>
      </c>
      <c r="BH34" s="34">
        <f t="shared" si="12"/>
        <v>57297.049428608319</v>
      </c>
      <c r="BI34" s="33">
        <f t="shared" si="65"/>
        <v>55082.471039128897</v>
      </c>
      <c r="BJ34" s="27">
        <f t="shared" si="89"/>
        <v>4.0204775633726632E-2</v>
      </c>
      <c r="BK34" s="35">
        <f t="shared" si="13"/>
        <v>3312803.2608122216</v>
      </c>
      <c r="BL34" s="36">
        <f t="shared" si="66"/>
        <v>4857255.1075903894</v>
      </c>
      <c r="BM34" s="27">
        <f t="shared" si="73"/>
        <v>-0.31796803185500111</v>
      </c>
      <c r="BN34" s="38">
        <f t="shared" si="14"/>
        <v>190770217581.35526</v>
      </c>
      <c r="BO34" s="38">
        <f t="shared" si="54"/>
        <v>314446536864.09998</v>
      </c>
      <c r="BP34" s="27">
        <f t="shared" si="68"/>
        <v>-0.39331429920055422</v>
      </c>
      <c r="BQ34" s="38">
        <f t="shared" si="6"/>
        <v>-1593</v>
      </c>
      <c r="BR34" s="38">
        <f t="shared" si="10"/>
        <v>0</v>
      </c>
      <c r="BS34" s="38">
        <f t="shared" si="11"/>
        <v>1593</v>
      </c>
      <c r="BT34" s="38">
        <f t="shared" si="22"/>
        <v>-58.683842930311968</v>
      </c>
      <c r="BU34" s="38">
        <f t="shared" si="17"/>
        <v>275</v>
      </c>
      <c r="BV34" s="38">
        <f t="shared" si="18"/>
        <v>7645</v>
      </c>
      <c r="BW34" s="38">
        <f t="shared" si="19"/>
        <v>583491</v>
      </c>
      <c r="BX34" s="38">
        <f t="shared" si="20"/>
        <v>16014876</v>
      </c>
      <c r="BY34" s="38">
        <f t="shared" si="23"/>
        <v>-377.29090909090911</v>
      </c>
      <c r="BZ34" s="38">
        <f t="shared" si="24"/>
        <v>68724.600000000006</v>
      </c>
      <c r="CA34" s="38">
        <f t="shared" si="21"/>
        <v>56651.290909090916</v>
      </c>
      <c r="CB34" s="35">
        <f t="shared" si="55"/>
        <v>450</v>
      </c>
      <c r="CC34" s="35">
        <f t="shared" si="56"/>
        <v>10790</v>
      </c>
      <c r="CD34" s="35">
        <f t="shared" si="57"/>
        <v>1097894</v>
      </c>
      <c r="CE34" s="35">
        <f t="shared" si="58"/>
        <v>25079516</v>
      </c>
      <c r="CF34" s="38">
        <f t="shared" si="69"/>
        <v>566.76842105263154</v>
      </c>
      <c r="CG34" s="38">
        <f t="shared" si="70"/>
        <v>42142.410526315791</v>
      </c>
      <c r="CH34" s="38">
        <f t="shared" si="59"/>
        <v>60279</v>
      </c>
      <c r="CI34" s="36">
        <f t="shared" si="103"/>
        <v>525</v>
      </c>
      <c r="CJ34" s="36">
        <f t="shared" si="104"/>
        <v>11435</v>
      </c>
      <c r="CK34" s="36">
        <f t="shared" si="105"/>
        <v>1575507</v>
      </c>
      <c r="CL34" s="36">
        <f t="shared" si="106"/>
        <v>28699985</v>
      </c>
      <c r="CM34" s="38">
        <f t="shared" si="111"/>
        <v>502.16351501668521</v>
      </c>
      <c r="CN34" s="38">
        <f t="shared" si="112"/>
        <v>43729.03848720801</v>
      </c>
      <c r="CO34" s="38">
        <f t="shared" si="107"/>
        <v>59798.270967741933</v>
      </c>
    </row>
    <row r="35" spans="1:93" x14ac:dyDescent="0.25">
      <c r="A35" s="8">
        <v>33</v>
      </c>
      <c r="B35" s="9">
        <f>DATA!H34</f>
        <v>55971</v>
      </c>
      <c r="C35" s="10">
        <f>DATA!C247+DATA!D247</f>
        <v>1546055</v>
      </c>
      <c r="D35" s="10">
        <f t="shared" si="0"/>
        <v>86534244405</v>
      </c>
      <c r="E35" s="10">
        <f t="shared" si="15"/>
        <v>57946.3</v>
      </c>
      <c r="F35" s="10">
        <f t="shared" si="45"/>
        <v>55141.65</v>
      </c>
      <c r="G35" s="10">
        <f t="shared" si="99"/>
        <v>52898.8</v>
      </c>
      <c r="H35" s="38">
        <f t="shared" si="60"/>
        <v>55177.836282290467</v>
      </c>
      <c r="I35" s="28">
        <f t="shared" si="25"/>
        <v>56579.263550991003</v>
      </c>
      <c r="J35" s="27">
        <f t="shared" si="82"/>
        <v>53462.813021780763</v>
      </c>
      <c r="K35" s="27">
        <f t="shared" si="83"/>
        <v>3116.4505292102403</v>
      </c>
      <c r="L35" s="27"/>
      <c r="M35" s="9">
        <f t="shared" si="46"/>
        <v>59999</v>
      </c>
      <c r="N35" s="9">
        <f t="shared" si="47"/>
        <v>47514</v>
      </c>
      <c r="O35" s="38">
        <f t="shared" si="61"/>
        <v>55141.65</v>
      </c>
      <c r="P35" s="38">
        <f t="shared" si="48"/>
        <v>63402.023073293967</v>
      </c>
      <c r="Q35" s="38">
        <f t="shared" si="49"/>
        <v>46881.276926706036</v>
      </c>
      <c r="R35" s="38">
        <f t="shared" si="16"/>
        <v>57791</v>
      </c>
      <c r="S35" s="38">
        <f t="shared" si="84"/>
        <v>53596</v>
      </c>
      <c r="T35" s="38">
        <f t="shared" si="85"/>
        <v>55693.5</v>
      </c>
      <c r="V35" s="38">
        <f t="shared" si="86"/>
        <v>47193</v>
      </c>
      <c r="W35" s="10">
        <f t="shared" si="1"/>
        <v>-4.3936105873563624E-3</v>
      </c>
      <c r="X35" s="27">
        <f t="shared" si="7"/>
        <v>0</v>
      </c>
      <c r="Y35" s="27">
        <f t="shared" si="8"/>
        <v>4.3936105873563624E-3</v>
      </c>
      <c r="Z35" s="10">
        <f t="shared" ref="Z35:AA35" si="115">AVERAGE(X22:X35)</f>
        <v>1.3679645227945696E-2</v>
      </c>
      <c r="AA35" s="10">
        <f t="shared" si="115"/>
        <v>6.5564273357160887E-3</v>
      </c>
      <c r="AB35" s="38">
        <f t="shared" si="34"/>
        <v>67.600297364570821</v>
      </c>
      <c r="AC35" s="38">
        <f t="shared" si="97"/>
        <v>0</v>
      </c>
      <c r="AD35" s="38">
        <f t="shared" si="109"/>
        <v>0.52401768881820743</v>
      </c>
      <c r="AE35" s="38">
        <f t="shared" si="29"/>
        <v>57629.857142857145</v>
      </c>
      <c r="AF35" s="38">
        <f t="shared" si="30"/>
        <v>1811.8673264870165</v>
      </c>
      <c r="AG35" s="38">
        <f t="shared" si="31"/>
        <v>0</v>
      </c>
      <c r="AH35" s="38">
        <f t="shared" si="32"/>
        <v>1811.8673264870165</v>
      </c>
      <c r="AI35" s="38">
        <f t="shared" si="91"/>
        <v>1378.6458097886386</v>
      </c>
      <c r="AJ35" s="38">
        <f t="shared" si="92"/>
        <v>2268.2794723335387</v>
      </c>
      <c r="AK35" s="38">
        <f t="shared" si="101"/>
        <v>37.802962856052616</v>
      </c>
      <c r="AL35" s="38">
        <f t="shared" si="2"/>
        <v>-247</v>
      </c>
      <c r="AM35" s="38">
        <f t="shared" si="93"/>
        <v>130.87593545326331</v>
      </c>
      <c r="AN35" s="38"/>
      <c r="AO35" s="38">
        <f t="shared" si="9"/>
        <v>247</v>
      </c>
      <c r="AP35" s="38">
        <f t="shared" si="94"/>
        <v>977.51296812895191</v>
      </c>
      <c r="AQ35" s="38"/>
      <c r="AR35" s="38"/>
      <c r="AS35" s="38"/>
      <c r="AT35" s="38">
        <f t="shared" si="3"/>
        <v>0</v>
      </c>
      <c r="AU35" s="38">
        <f t="shared" si="4"/>
        <v>86534244405</v>
      </c>
      <c r="AV35" s="38">
        <f t="shared" ref="AV35:AW35" si="116">AVERAGE(AT22:AT35)</f>
        <v>155529571072.21429</v>
      </c>
      <c r="AW35" s="38">
        <f t="shared" si="116"/>
        <v>154664836582.92856</v>
      </c>
      <c r="AX35" s="38">
        <f t="shared" si="36"/>
        <v>1.0055910219051121</v>
      </c>
      <c r="AY35" s="38">
        <f t="shared" si="37"/>
        <v>50.139385892837744</v>
      </c>
      <c r="AZ35" s="38">
        <f t="shared" si="52"/>
        <v>55141.65</v>
      </c>
      <c r="BA35" s="38">
        <f t="array" ref="BA35">SUM(ABS((B16:B35-AVERAGE(B16:B35))))/COUNT(B16:B35)</f>
        <v>3654.5550000000003</v>
      </c>
      <c r="BB35" s="38">
        <f t="shared" si="64"/>
        <v>15.129064961397463</v>
      </c>
      <c r="BC35" s="38">
        <f t="shared" si="5"/>
        <v>-381875585</v>
      </c>
      <c r="BD35" s="38">
        <f t="shared" si="38"/>
        <v>619849413.25168741</v>
      </c>
      <c r="BE35" s="9">
        <f t="shared" si="26"/>
        <v>59999</v>
      </c>
      <c r="BF35" s="9">
        <f t="shared" si="27"/>
        <v>53431</v>
      </c>
      <c r="BG35" s="32">
        <f t="shared" si="28"/>
        <v>0.38672350791717419</v>
      </c>
      <c r="BH35" s="34">
        <f t="shared" si="12"/>
        <v>56855.032952405549</v>
      </c>
      <c r="BI35" s="33">
        <f t="shared" si="65"/>
        <v>55167.092844926148</v>
      </c>
      <c r="BJ35" s="27">
        <f t="shared" si="89"/>
        <v>3.0596865276627395E-2</v>
      </c>
      <c r="BK35" s="35">
        <f t="shared" si="13"/>
        <v>2723887.1738748145</v>
      </c>
      <c r="BL35" s="36">
        <f t="shared" si="66"/>
        <v>4541902.7163913045</v>
      </c>
      <c r="BM35" s="27">
        <f t="shared" si="73"/>
        <v>-0.40027619613151133</v>
      </c>
      <c r="BN35" s="38">
        <f t="shared" si="14"/>
        <v>156024893189.23685</v>
      </c>
      <c r="BO35" s="38">
        <f t="shared" si="54"/>
        <v>311973235084.34998</v>
      </c>
      <c r="BP35" s="27">
        <f t="shared" si="68"/>
        <v>-0.49987731111916855</v>
      </c>
      <c r="BQ35" s="38">
        <f t="shared" si="6"/>
        <v>-247</v>
      </c>
      <c r="BR35" s="38">
        <f t="shared" si="10"/>
        <v>0</v>
      </c>
      <c r="BS35" s="38">
        <f t="shared" si="11"/>
        <v>247</v>
      </c>
      <c r="BT35" s="38">
        <f t="shared" si="22"/>
        <v>-58.875328286729491</v>
      </c>
      <c r="BU35" s="38">
        <f t="shared" si="17"/>
        <v>285</v>
      </c>
      <c r="BV35" s="38">
        <f t="shared" si="18"/>
        <v>8205</v>
      </c>
      <c r="BW35" s="38">
        <f t="shared" si="19"/>
        <v>579463</v>
      </c>
      <c r="BX35" s="38">
        <f t="shared" si="20"/>
        <v>16481942</v>
      </c>
      <c r="BY35" s="38">
        <f t="shared" si="23"/>
        <v>-397.0121212121212</v>
      </c>
      <c r="BZ35" s="38">
        <f t="shared" si="24"/>
        <v>69261.145454545462</v>
      </c>
      <c r="CA35" s="38">
        <f t="shared" si="21"/>
        <v>56159.74545454546</v>
      </c>
      <c r="CB35" s="35">
        <f t="shared" si="55"/>
        <v>470</v>
      </c>
      <c r="CC35" s="35">
        <f t="shared" si="56"/>
        <v>11710</v>
      </c>
      <c r="CD35" s="35">
        <f t="shared" si="57"/>
        <v>1102833</v>
      </c>
      <c r="CE35" s="35">
        <f t="shared" si="58"/>
        <v>26263143</v>
      </c>
      <c r="CF35" s="38">
        <f t="shared" si="69"/>
        <v>521.1541353383459</v>
      </c>
      <c r="CG35" s="38">
        <f t="shared" si="70"/>
        <v>42894.527819548872</v>
      </c>
      <c r="CH35" s="38">
        <f t="shared" si="59"/>
        <v>60092.614285714284</v>
      </c>
      <c r="CI35" s="36">
        <f t="shared" si="103"/>
        <v>555</v>
      </c>
      <c r="CJ35" s="36">
        <f t="shared" si="104"/>
        <v>12515</v>
      </c>
      <c r="CK35" s="36">
        <f t="shared" si="105"/>
        <v>1586964</v>
      </c>
      <c r="CL35" s="36">
        <f t="shared" si="106"/>
        <v>30413486</v>
      </c>
      <c r="CM35" s="38">
        <f t="shared" si="111"/>
        <v>469.25561735261402</v>
      </c>
      <c r="CN35" s="38">
        <f t="shared" si="112"/>
        <v>44217.571078976638</v>
      </c>
      <c r="CO35" s="38">
        <f t="shared" si="107"/>
        <v>59703.006451612899</v>
      </c>
    </row>
    <row r="36" spans="1:93" x14ac:dyDescent="0.25">
      <c r="A36" s="8">
        <v>34</v>
      </c>
      <c r="B36" s="9">
        <f>DATA!H35</f>
        <v>57916</v>
      </c>
      <c r="C36" s="10">
        <f>DATA!C238+DATA!D238</f>
        <v>1624500</v>
      </c>
      <c r="D36" s="10">
        <f t="shared" si="0"/>
        <v>94084542000</v>
      </c>
      <c r="E36" s="10">
        <f t="shared" si="15"/>
        <v>57759.7</v>
      </c>
      <c r="F36" s="10">
        <f t="shared" si="45"/>
        <v>55516.95</v>
      </c>
      <c r="G36" s="10">
        <f t="shared" si="99"/>
        <v>53289.8</v>
      </c>
      <c r="H36" s="38">
        <f t="shared" si="60"/>
        <v>55907.385312946913</v>
      </c>
      <c r="I36" s="28">
        <f t="shared" si="25"/>
        <v>56784.915312377001</v>
      </c>
      <c r="J36" s="27">
        <f t="shared" si="82"/>
        <v>53792.678723871075</v>
      </c>
      <c r="K36" s="27">
        <f t="shared" si="83"/>
        <v>2992.2365885059262</v>
      </c>
      <c r="L36" s="27">
        <f>AVERAGE(K28:K36)</f>
        <v>3887.3798729531245</v>
      </c>
      <c r="M36" s="9">
        <f t="shared" si="46"/>
        <v>59999</v>
      </c>
      <c r="N36" s="9">
        <f t="shared" si="47"/>
        <v>47514</v>
      </c>
      <c r="O36" s="38">
        <f t="shared" si="61"/>
        <v>55516.95</v>
      </c>
      <c r="P36" s="38">
        <f t="shared" si="48"/>
        <v>63562.573915520785</v>
      </c>
      <c r="Q36" s="38">
        <f t="shared" si="49"/>
        <v>47471.326084479209</v>
      </c>
      <c r="R36" s="38">
        <f t="shared" si="16"/>
        <v>57519</v>
      </c>
      <c r="S36" s="38">
        <f t="shared" si="84"/>
        <v>53756.5</v>
      </c>
      <c r="T36" s="38">
        <f t="shared" si="85"/>
        <v>55637.75</v>
      </c>
      <c r="V36" s="38">
        <f t="shared" si="86"/>
        <v>48133</v>
      </c>
      <c r="W36" s="10">
        <f t="shared" ref="W36:W62" si="117">(B36-B35)/B35</f>
        <v>3.4750138464562007E-2</v>
      </c>
      <c r="X36" s="27">
        <f t="shared" si="7"/>
        <v>3.4750138464562007E-2</v>
      </c>
      <c r="Y36" s="27">
        <f t="shared" si="8"/>
        <v>0</v>
      </c>
      <c r="Z36" s="10">
        <f t="shared" ref="Z36:AA36" si="118">AVERAGE(X23:X36)</f>
        <v>1.2590860688596843E-2</v>
      </c>
      <c r="AA36" s="10">
        <f t="shared" si="118"/>
        <v>6.5564273357160887E-3</v>
      </c>
      <c r="AB36" s="38">
        <f t="shared" si="34"/>
        <v>65.757932259697355</v>
      </c>
      <c r="AC36" s="38">
        <f t="shared" si="97"/>
        <v>0</v>
      </c>
      <c r="AD36" s="38">
        <f t="shared" si="109"/>
        <v>0.19068435548487414</v>
      </c>
      <c r="AE36" s="38">
        <f t="shared" si="29"/>
        <v>57950.214285714283</v>
      </c>
      <c r="AF36" s="38">
        <f t="shared" si="30"/>
        <v>1349.9828020882585</v>
      </c>
      <c r="AG36" s="38">
        <f t="shared" si="31"/>
        <v>1349.9828020882585</v>
      </c>
      <c r="AH36" s="38">
        <f t="shared" si="32"/>
        <v>0</v>
      </c>
      <c r="AI36" s="38">
        <f t="shared" si="91"/>
        <v>1348.397096340844</v>
      </c>
      <c r="AJ36" s="38">
        <f t="shared" si="92"/>
        <v>2268.2794723335387</v>
      </c>
      <c r="AK36" s="38">
        <f t="shared" si="101"/>
        <v>37.282766947420754</v>
      </c>
      <c r="AL36" s="38">
        <f t="shared" ref="AL36:AL62" si="119">B36-B35</f>
        <v>1945</v>
      </c>
      <c r="AM36" s="38">
        <f t="shared" si="93"/>
        <v>270.42394041839691</v>
      </c>
      <c r="AN36" s="38"/>
      <c r="AO36" s="38">
        <f t="shared" si="9"/>
        <v>1945</v>
      </c>
      <c r="AP36" s="38">
        <f t="shared" si="94"/>
        <v>1051.9350475036479</v>
      </c>
      <c r="AQ36" s="38"/>
      <c r="AR36" s="38"/>
      <c r="AS36" s="38"/>
      <c r="AT36" s="38">
        <f t="shared" ref="AT36:AT62" si="120">IF(W36&gt;=0,D36,0)</f>
        <v>94084542000</v>
      </c>
      <c r="AU36" s="38">
        <f t="shared" ref="AU36:AU62" si="121">IF(W36&lt;0,D36,0)</f>
        <v>0</v>
      </c>
      <c r="AV36" s="38">
        <f t="shared" ref="AV36:AW36" si="122">AVERAGE(AT23:AT36)</f>
        <v>155300049000.78571</v>
      </c>
      <c r="AW36" s="38">
        <f t="shared" si="122"/>
        <v>154664836582.92856</v>
      </c>
      <c r="AX36" s="38">
        <f t="shared" si="36"/>
        <v>1.0041070254357174</v>
      </c>
      <c r="AY36" s="38">
        <f t="shared" si="37"/>
        <v>50.102465222255894</v>
      </c>
      <c r="AZ36" s="38">
        <f t="shared" si="52"/>
        <v>55516.95</v>
      </c>
      <c r="BA36" s="38">
        <f t="array" ref="BA36">SUM(ABS((B17:B36-AVERAGE(B17:B36))))/COUNT(B17:B36)</f>
        <v>3406.5700000000011</v>
      </c>
      <c r="BB36" s="38">
        <f t="shared" si="64"/>
        <v>46.949473125949801</v>
      </c>
      <c r="BC36" s="38">
        <f t="shared" ref="BC36:BC62" si="123">(B36-B35)*C36</f>
        <v>3159652500</v>
      </c>
      <c r="BD36" s="38">
        <f t="shared" si="38"/>
        <v>982678425.64430344</v>
      </c>
      <c r="BE36" s="9">
        <f t="shared" si="26"/>
        <v>59999</v>
      </c>
      <c r="BF36" s="9">
        <f t="shared" si="27"/>
        <v>55917</v>
      </c>
      <c r="BG36" s="32">
        <f t="shared" si="28"/>
        <v>0.4897109260166585</v>
      </c>
      <c r="BH36" s="34">
        <f t="shared" si="12"/>
        <v>57208.688634937032</v>
      </c>
      <c r="BI36" s="33">
        <f t="shared" si="65"/>
        <v>55428.893526361753</v>
      </c>
      <c r="BJ36" s="27">
        <f t="shared" si="89"/>
        <v>3.2109518977296851E-2</v>
      </c>
      <c r="BK36" s="35">
        <f t="shared" si="13"/>
        <v>2357424.7825832097</v>
      </c>
      <c r="BL36" s="36">
        <f t="shared" si="66"/>
        <v>4264054.838639752</v>
      </c>
      <c r="BM36" s="27">
        <f t="shared" si="73"/>
        <v>-0.44714013496711119</v>
      </c>
      <c r="BN36" s="38">
        <f t="shared" si="14"/>
        <v>135378109459.49124</v>
      </c>
      <c r="BO36" s="38">
        <f t="shared" si="54"/>
        <v>280349495684.34998</v>
      </c>
      <c r="BP36" s="27">
        <f t="shared" si="68"/>
        <v>-0.51710949531396466</v>
      </c>
      <c r="BQ36" s="38">
        <f t="shared" ref="BQ36:BQ62" si="124">B36-B35</f>
        <v>1945</v>
      </c>
      <c r="BR36" s="38">
        <f t="shared" si="10"/>
        <v>1945</v>
      </c>
      <c r="BS36" s="38">
        <f t="shared" si="11"/>
        <v>0</v>
      </c>
      <c r="BT36" s="38">
        <f t="shared" si="22"/>
        <v>-20.552928337577299</v>
      </c>
      <c r="BU36" s="38">
        <f t="shared" si="17"/>
        <v>295</v>
      </c>
      <c r="BV36" s="38">
        <f t="shared" si="18"/>
        <v>8785</v>
      </c>
      <c r="BW36" s="38">
        <f t="shared" si="19"/>
        <v>577597</v>
      </c>
      <c r="BX36" s="38">
        <f t="shared" si="20"/>
        <v>17016318</v>
      </c>
      <c r="BY36" s="38">
        <f t="shared" si="23"/>
        <v>-276.28484848484851</v>
      </c>
      <c r="BZ36" s="38">
        <f t="shared" si="24"/>
        <v>65910.103030303027</v>
      </c>
      <c r="CA36" s="38">
        <f t="shared" si="21"/>
        <v>56516.418181818182</v>
      </c>
      <c r="CB36" s="35">
        <f t="shared" si="55"/>
        <v>490</v>
      </c>
      <c r="CC36" s="35">
        <f t="shared" si="56"/>
        <v>12670</v>
      </c>
      <c r="CD36" s="35">
        <f t="shared" si="57"/>
        <v>1110339</v>
      </c>
      <c r="CE36" s="35">
        <f t="shared" si="58"/>
        <v>27526547</v>
      </c>
      <c r="CF36" s="38">
        <f t="shared" si="69"/>
        <v>486.07744360902257</v>
      </c>
      <c r="CG36" s="38">
        <f t="shared" si="70"/>
        <v>43608.052631578947</v>
      </c>
      <c r="CH36" s="38">
        <f t="shared" si="59"/>
        <v>60134.685714285719</v>
      </c>
      <c r="CI36" s="36">
        <f t="shared" si="103"/>
        <v>585</v>
      </c>
      <c r="CJ36" s="36">
        <f t="shared" si="104"/>
        <v>13655</v>
      </c>
      <c r="CK36" s="36">
        <f t="shared" si="105"/>
        <v>1598694</v>
      </c>
      <c r="CL36" s="36">
        <f t="shared" si="106"/>
        <v>32197886</v>
      </c>
      <c r="CM36" s="38">
        <f t="shared" si="111"/>
        <v>455.32947719688542</v>
      </c>
      <c r="CN36" s="38">
        <f t="shared" si="112"/>
        <v>44410.875194660737</v>
      </c>
      <c r="CO36" s="38">
        <f t="shared" si="107"/>
        <v>59892.077419354842</v>
      </c>
    </row>
    <row r="37" spans="1:93" x14ac:dyDescent="0.25">
      <c r="A37" s="8">
        <v>35</v>
      </c>
      <c r="B37" s="9">
        <f>DATA!H36</f>
        <v>57099</v>
      </c>
      <c r="C37" s="10">
        <f>DATA!C229+DATA!D229</f>
        <v>2123280</v>
      </c>
      <c r="D37" s="10">
        <f t="shared" si="0"/>
        <v>121237164720</v>
      </c>
      <c r="E37" s="10">
        <f t="shared" si="15"/>
        <v>57508.5</v>
      </c>
      <c r="F37" s="10">
        <f t="shared" si="45"/>
        <v>55854.3</v>
      </c>
      <c r="G37" s="10">
        <f t="shared" si="99"/>
        <v>53602.8</v>
      </c>
      <c r="H37" s="38">
        <f t="shared" si="60"/>
        <v>56639.040302453861</v>
      </c>
      <c r="I37" s="28">
        <f t="shared" si="25"/>
        <v>56833.236033549772</v>
      </c>
      <c r="J37" s="27">
        <f t="shared" si="82"/>
        <v>54037.591410991736</v>
      </c>
      <c r="K37" s="27">
        <f t="shared" si="83"/>
        <v>2795.6446225580366</v>
      </c>
      <c r="L37" s="27">
        <f t="shared" ref="L37:L62" si="125">AVERAGE(K29:K37)</f>
        <v>3676.0720139981399</v>
      </c>
      <c r="M37" s="9">
        <f t="shared" si="46"/>
        <v>59999</v>
      </c>
      <c r="N37" s="9">
        <f t="shared" si="47"/>
        <v>47514</v>
      </c>
      <c r="O37" s="38">
        <f t="shared" si="61"/>
        <v>55854.3</v>
      </c>
      <c r="P37" s="38">
        <f t="shared" si="48"/>
        <v>63564.168924955862</v>
      </c>
      <c r="Q37" s="38">
        <f t="shared" si="49"/>
        <v>48144.431075044144</v>
      </c>
      <c r="R37" s="38">
        <f t="shared" si="16"/>
        <v>57117</v>
      </c>
      <c r="S37" s="38">
        <f t="shared" si="84"/>
        <v>53756.5</v>
      </c>
      <c r="T37" s="38">
        <f t="shared" si="85"/>
        <v>55436.75</v>
      </c>
      <c r="V37" s="38">
        <f t="shared" si="86"/>
        <v>47628</v>
      </c>
      <c r="W37" s="10">
        <f t="shared" si="117"/>
        <v>-1.4106637198701567E-2</v>
      </c>
      <c r="X37" s="27">
        <f t="shared" si="7"/>
        <v>0</v>
      </c>
      <c r="Y37" s="27">
        <f t="shared" si="8"/>
        <v>1.4106637198701567E-2</v>
      </c>
      <c r="Z37" s="10">
        <f t="shared" ref="Z37:AA37" si="126">AVERAGE(X24:X37)</f>
        <v>9.2674823394843682E-3</v>
      </c>
      <c r="AA37" s="10">
        <f t="shared" si="126"/>
        <v>7.5640442784804867E-3</v>
      </c>
      <c r="AB37" s="38">
        <f t="shared" si="34"/>
        <v>55.060260128709132</v>
      </c>
      <c r="AC37" s="38">
        <f t="shared" si="97"/>
        <v>0</v>
      </c>
      <c r="AD37" s="38">
        <f t="shared" si="109"/>
        <v>0</v>
      </c>
      <c r="AE37" s="38">
        <f t="shared" si="29"/>
        <v>58034.642857142855</v>
      </c>
      <c r="AF37" s="38">
        <f t="shared" si="30"/>
        <v>1245.9999757465646</v>
      </c>
      <c r="AG37" s="38">
        <f t="shared" si="31"/>
        <v>0</v>
      </c>
      <c r="AH37" s="38">
        <f t="shared" si="32"/>
        <v>1245.9999757465646</v>
      </c>
      <c r="AI37" s="38">
        <f t="shared" si="91"/>
        <v>1174.3310864269151</v>
      </c>
      <c r="AJ37" s="38">
        <f t="shared" si="92"/>
        <v>2357.2794706011509</v>
      </c>
      <c r="AK37" s="38">
        <f t="shared" si="101"/>
        <v>33.251998414432833</v>
      </c>
      <c r="AL37" s="38">
        <f t="shared" si="119"/>
        <v>-817</v>
      </c>
      <c r="AM37" s="38">
        <f t="shared" si="93"/>
        <v>186.77594500159717</v>
      </c>
      <c r="AN37" s="38"/>
      <c r="AO37" s="38">
        <f t="shared" si="9"/>
        <v>817</v>
      </c>
      <c r="AP37" s="38">
        <f t="shared" si="94"/>
        <v>1033.863120772598</v>
      </c>
      <c r="AQ37" s="38"/>
      <c r="AR37" s="38"/>
      <c r="AS37" s="38"/>
      <c r="AT37" s="38">
        <f t="shared" si="120"/>
        <v>0</v>
      </c>
      <c r="AU37" s="38">
        <f t="shared" si="121"/>
        <v>121237164720</v>
      </c>
      <c r="AV37" s="38">
        <f t="shared" ref="AV37:AW37" si="127">AVERAGE(AT24:AT37)</f>
        <v>102658187572.21428</v>
      </c>
      <c r="AW37" s="38">
        <f t="shared" si="127"/>
        <v>163324634062.92856</v>
      </c>
      <c r="AX37" s="38">
        <f t="shared" si="36"/>
        <v>0.62855299300814804</v>
      </c>
      <c r="AY37" s="38">
        <f t="shared" si="37"/>
        <v>38.595796127403226</v>
      </c>
      <c r="AZ37" s="38">
        <f t="shared" si="52"/>
        <v>55854.3</v>
      </c>
      <c r="BA37" s="38">
        <f t="array" ref="BA37">SUM(ABS((B18:B37-AVERAGE(B18:B37))))/COUNT(B18:B37)</f>
        <v>3058.7499999999986</v>
      </c>
      <c r="BB37" s="38">
        <f t="shared" si="64"/>
        <v>27.12872905598687</v>
      </c>
      <c r="BC37" s="38">
        <f t="shared" si="123"/>
        <v>-1734719760</v>
      </c>
      <c r="BD37" s="38">
        <f t="shared" si="38"/>
        <v>594478684.83797443</v>
      </c>
      <c r="BE37" s="9">
        <f t="shared" si="26"/>
        <v>59999</v>
      </c>
      <c r="BF37" s="9">
        <f t="shared" si="27"/>
        <v>55971</v>
      </c>
      <c r="BG37" s="32">
        <f t="shared" si="28"/>
        <v>0.28003972194637539</v>
      </c>
      <c r="BH37" s="34">
        <f t="shared" si="12"/>
        <v>57172.125756624686</v>
      </c>
      <c r="BI37" s="33">
        <f t="shared" si="65"/>
        <v>55587.951285755873</v>
      </c>
      <c r="BJ37" s="27">
        <f t="shared" si="89"/>
        <v>2.849852232771078E-2</v>
      </c>
      <c r="BK37" s="35">
        <f t="shared" si="13"/>
        <v>2279376.5217221398</v>
      </c>
      <c r="BL37" s="36">
        <f t="shared" si="66"/>
        <v>4060171.5206740615</v>
      </c>
      <c r="BM37" s="27">
        <f t="shared" si="73"/>
        <v>-0.43860092852832921</v>
      </c>
      <c r="BN37" s="38">
        <f t="shared" si="14"/>
        <v>130664461212.99416</v>
      </c>
      <c r="BO37" s="38">
        <f t="shared" si="54"/>
        <v>257418672320.35001</v>
      </c>
      <c r="BP37" s="27">
        <f t="shared" si="68"/>
        <v>-0.49240488253942177</v>
      </c>
      <c r="BQ37" s="38">
        <f t="shared" si="124"/>
        <v>-817</v>
      </c>
      <c r="BR37" s="38">
        <f t="shared" si="10"/>
        <v>0</v>
      </c>
      <c r="BS37" s="38">
        <f t="shared" si="11"/>
        <v>817</v>
      </c>
      <c r="BT37" s="38">
        <f t="shared" si="22"/>
        <v>-23.098591549295776</v>
      </c>
      <c r="BU37" s="38">
        <f t="shared" si="17"/>
        <v>305</v>
      </c>
      <c r="BV37" s="38">
        <f t="shared" si="18"/>
        <v>9385</v>
      </c>
      <c r="BW37" s="38">
        <f t="shared" si="19"/>
        <v>575085</v>
      </c>
      <c r="BX37" s="38">
        <f t="shared" si="20"/>
        <v>17524508</v>
      </c>
      <c r="BY37" s="38">
        <f t="shared" si="23"/>
        <v>-188.90303030303031</v>
      </c>
      <c r="BZ37" s="38">
        <f t="shared" si="24"/>
        <v>63270.042424242427</v>
      </c>
      <c r="CA37" s="38">
        <f t="shared" si="21"/>
        <v>56658.436363636363</v>
      </c>
      <c r="CB37" s="35">
        <f t="shared" si="55"/>
        <v>510</v>
      </c>
      <c r="CC37" s="35">
        <f t="shared" si="56"/>
        <v>13670</v>
      </c>
      <c r="CD37" s="35">
        <f t="shared" si="57"/>
        <v>1117086</v>
      </c>
      <c r="CE37" s="35">
        <f t="shared" si="58"/>
        <v>28769732</v>
      </c>
      <c r="CF37" s="38">
        <f t="shared" si="69"/>
        <v>427.12631578947367</v>
      </c>
      <c r="CG37" s="38">
        <f t="shared" si="70"/>
        <v>44962.57894736842</v>
      </c>
      <c r="CH37" s="38">
        <f t="shared" si="59"/>
        <v>59912</v>
      </c>
      <c r="CI37" s="36">
        <f t="shared" si="103"/>
        <v>615</v>
      </c>
      <c r="CJ37" s="36">
        <f t="shared" si="104"/>
        <v>14855</v>
      </c>
      <c r="CK37" s="36">
        <f t="shared" si="105"/>
        <v>1608084</v>
      </c>
      <c r="CL37" s="36">
        <f t="shared" si="106"/>
        <v>33957806</v>
      </c>
      <c r="CM37" s="38">
        <f t="shared" si="111"/>
        <v>441.41668520578418</v>
      </c>
      <c r="CN37" s="38">
        <f t="shared" si="112"/>
        <v>44553.757953281427</v>
      </c>
      <c r="CO37" s="38">
        <f t="shared" si="107"/>
        <v>60003.34193548387</v>
      </c>
    </row>
    <row r="38" spans="1:93" x14ac:dyDescent="0.25">
      <c r="A38" s="8">
        <v>36</v>
      </c>
      <c r="B38" s="9">
        <f>DATA!H37</f>
        <v>57605</v>
      </c>
      <c r="C38" s="10">
        <f>DATA!C220+DATA!D220</f>
        <v>1553673</v>
      </c>
      <c r="D38" s="10">
        <f t="shared" si="0"/>
        <v>89499333165</v>
      </c>
      <c r="E38" s="10">
        <f t="shared" si="15"/>
        <v>57362.3</v>
      </c>
      <c r="F38" s="10">
        <f t="shared" si="45"/>
        <v>56315.15</v>
      </c>
      <c r="G38" s="10">
        <f t="shared" si="99"/>
        <v>53922.166666666664</v>
      </c>
      <c r="H38" s="38">
        <f t="shared" si="60"/>
        <v>56865.346587691034</v>
      </c>
      <c r="I38" s="28">
        <f t="shared" si="25"/>
        <v>56951.968951465191</v>
      </c>
      <c r="J38" s="27">
        <f t="shared" si="82"/>
        <v>54301.843899066422</v>
      </c>
      <c r="K38" s="27">
        <f t="shared" si="83"/>
        <v>2650.1250523987692</v>
      </c>
      <c r="L38" s="27">
        <f t="shared" si="125"/>
        <v>3462.7926396969301</v>
      </c>
      <c r="M38" s="9">
        <f t="shared" si="46"/>
        <v>59999</v>
      </c>
      <c r="N38" s="9">
        <f t="shared" si="47"/>
        <v>47514</v>
      </c>
      <c r="O38" s="38">
        <f t="shared" si="61"/>
        <v>56315.15</v>
      </c>
      <c r="P38" s="38">
        <f t="shared" si="48"/>
        <v>63247.423141618128</v>
      </c>
      <c r="Q38" s="38">
        <f t="shared" si="49"/>
        <v>49382.876858381875</v>
      </c>
      <c r="R38" s="38">
        <f t="shared" si="16"/>
        <v>57050.5</v>
      </c>
      <c r="S38" s="38">
        <f t="shared" si="84"/>
        <v>53756.5</v>
      </c>
      <c r="T38" s="38">
        <f t="shared" si="85"/>
        <v>55403.5</v>
      </c>
      <c r="V38" s="38">
        <f t="shared" si="86"/>
        <v>49789</v>
      </c>
      <c r="W38" s="10">
        <f t="shared" si="117"/>
        <v>8.8618014325995195E-3</v>
      </c>
      <c r="X38" s="27">
        <f t="shared" si="7"/>
        <v>8.8618014325995195E-3</v>
      </c>
      <c r="Y38" s="27">
        <f t="shared" si="8"/>
        <v>0</v>
      </c>
      <c r="Z38" s="10">
        <f t="shared" ref="Z38:AA38" si="128">AVERAGE(X25:X38)</f>
        <v>7.2294174406249212E-3</v>
      </c>
      <c r="AA38" s="10">
        <f t="shared" si="128"/>
        <v>7.5640442784804867E-3</v>
      </c>
      <c r="AB38" s="38">
        <f t="shared" si="34"/>
        <v>48.869004279696746</v>
      </c>
      <c r="AC38" s="38">
        <f t="shared" si="97"/>
        <v>0</v>
      </c>
      <c r="AD38" s="38">
        <f t="shared" si="109"/>
        <v>0</v>
      </c>
      <c r="AE38" s="38">
        <f t="shared" si="29"/>
        <v>58005.857142857145</v>
      </c>
      <c r="AF38" s="38">
        <f t="shared" si="30"/>
        <v>1251.3066928456985</v>
      </c>
      <c r="AG38" s="38">
        <f t="shared" si="31"/>
        <v>1251.3066928456985</v>
      </c>
      <c r="AH38" s="38">
        <f t="shared" si="32"/>
        <v>0</v>
      </c>
      <c r="AI38" s="38">
        <f t="shared" si="91"/>
        <v>1041.4309359835036</v>
      </c>
      <c r="AJ38" s="38">
        <f t="shared" si="92"/>
        <v>2357.2794706011509</v>
      </c>
      <c r="AK38" s="38">
        <f t="shared" si="101"/>
        <v>30.641943896303655</v>
      </c>
      <c r="AL38" s="38">
        <f t="shared" si="119"/>
        <v>506</v>
      </c>
      <c r="AM38" s="38">
        <f t="shared" si="93"/>
        <v>211.33164153993584</v>
      </c>
      <c r="AN38" s="38"/>
      <c r="AO38" s="38">
        <f t="shared" si="9"/>
        <v>506</v>
      </c>
      <c r="AP38" s="38">
        <f t="shared" si="94"/>
        <v>993.25826532855194</v>
      </c>
      <c r="AQ38" s="38"/>
      <c r="AR38" s="38"/>
      <c r="AS38" s="38"/>
      <c r="AT38" s="38">
        <f t="shared" si="120"/>
        <v>89499333165</v>
      </c>
      <c r="AU38" s="38">
        <f t="shared" si="121"/>
        <v>0</v>
      </c>
      <c r="AV38" s="38">
        <f t="shared" ref="AV38:AW38" si="129">AVERAGE(AT25:AT38)</f>
        <v>80631220512.571426</v>
      </c>
      <c r="AW38" s="38">
        <f t="shared" si="129"/>
        <v>163324634062.92856</v>
      </c>
      <c r="AX38" s="38">
        <f t="shared" si="36"/>
        <v>0.49368682792520097</v>
      </c>
      <c r="AY38" s="38">
        <f t="shared" si="37"/>
        <v>33.051561993818638</v>
      </c>
      <c r="AZ38" s="38">
        <f t="shared" si="52"/>
        <v>56315.15</v>
      </c>
      <c r="BA38" s="38">
        <f t="array" ref="BA38">SUM(ABS((B19:B38-AVERAGE(B19:B38))))/COUNT(B19:B38)</f>
        <v>2580.4049999999997</v>
      </c>
      <c r="BB38" s="38">
        <f t="shared" si="64"/>
        <v>33.324226235804041</v>
      </c>
      <c r="BC38" s="38">
        <f t="shared" si="123"/>
        <v>786158538</v>
      </c>
      <c r="BD38" s="38">
        <f t="shared" si="38"/>
        <v>621861521.00397813</v>
      </c>
      <c r="BE38" s="9">
        <f t="shared" si="26"/>
        <v>59999</v>
      </c>
      <c r="BF38" s="9">
        <f t="shared" si="27"/>
        <v>55971</v>
      </c>
      <c r="BG38" s="32">
        <f t="shared" si="28"/>
        <v>0.40566037735849059</v>
      </c>
      <c r="BH38" s="34">
        <f t="shared" si="12"/>
        <v>57316.417171083122</v>
      </c>
      <c r="BI38" s="33">
        <f t="shared" si="65"/>
        <v>55780.051163302931</v>
      </c>
      <c r="BJ38" s="27">
        <f t="shared" si="89"/>
        <v>2.7543287891262251E-2</v>
      </c>
      <c r="BK38" s="35">
        <f t="shared" si="13"/>
        <v>2037475.3478147599</v>
      </c>
      <c r="BL38" s="36">
        <f t="shared" si="66"/>
        <v>3821457.3758479604</v>
      </c>
      <c r="BM38" s="27">
        <f t="shared" si="73"/>
        <v>-0.46683289974871028</v>
      </c>
      <c r="BN38" s="38">
        <f t="shared" si="14"/>
        <v>116942751863.66277</v>
      </c>
      <c r="BO38" s="38">
        <f t="shared" si="54"/>
        <v>256350793578.60001</v>
      </c>
      <c r="BP38" s="27">
        <f t="shared" si="68"/>
        <v>-0.54381747670382463</v>
      </c>
      <c r="BQ38" s="38">
        <f t="shared" si="124"/>
        <v>506</v>
      </c>
      <c r="BR38" s="38">
        <f t="shared" si="10"/>
        <v>506</v>
      </c>
      <c r="BS38" s="38">
        <f t="shared" si="11"/>
        <v>0</v>
      </c>
      <c r="BT38" s="38">
        <f t="shared" si="22"/>
        <v>-8.0029189978107507</v>
      </c>
      <c r="BU38" s="38">
        <f t="shared" si="17"/>
        <v>315</v>
      </c>
      <c r="BV38" s="38">
        <f t="shared" si="18"/>
        <v>10005</v>
      </c>
      <c r="BW38" s="38">
        <f t="shared" si="19"/>
        <v>573623</v>
      </c>
      <c r="BX38" s="38">
        <f t="shared" si="20"/>
        <v>18062546</v>
      </c>
      <c r="BY38" s="38">
        <f t="shared" si="23"/>
        <v>-79.739393939393935</v>
      </c>
      <c r="BZ38" s="38">
        <f t="shared" si="24"/>
        <v>59874.090909090912</v>
      </c>
      <c r="CA38" s="38">
        <f t="shared" si="21"/>
        <v>57003.472727272732</v>
      </c>
      <c r="CB38" s="35">
        <f t="shared" si="55"/>
        <v>530</v>
      </c>
      <c r="CC38" s="35">
        <f t="shared" si="56"/>
        <v>14710</v>
      </c>
      <c r="CD38" s="35">
        <f t="shared" si="57"/>
        <v>1126303</v>
      </c>
      <c r="CE38" s="35">
        <f t="shared" si="58"/>
        <v>30069304</v>
      </c>
      <c r="CF38" s="38">
        <f t="shared" si="69"/>
        <v>334.24736842105261</v>
      </c>
      <c r="CG38" s="38">
        <f t="shared" si="70"/>
        <v>47457.594736842104</v>
      </c>
      <c r="CH38" s="38">
        <f t="shared" si="59"/>
        <v>59490.5</v>
      </c>
      <c r="CI38" s="36">
        <f t="shared" si="103"/>
        <v>645</v>
      </c>
      <c r="CJ38" s="36">
        <f t="shared" si="104"/>
        <v>16115</v>
      </c>
      <c r="CK38" s="36">
        <f t="shared" si="105"/>
        <v>1617665</v>
      </c>
      <c r="CL38" s="36">
        <f t="shared" si="106"/>
        <v>35743442</v>
      </c>
      <c r="CM38" s="38">
        <f t="shared" si="111"/>
        <v>428.76284760845385</v>
      </c>
      <c r="CN38" s="38">
        <f t="shared" si="112"/>
        <v>44703.765443084907</v>
      </c>
      <c r="CO38" s="38">
        <f t="shared" si="107"/>
        <v>60139.227956989242</v>
      </c>
    </row>
    <row r="39" spans="1:93" x14ac:dyDescent="0.25">
      <c r="A39" s="8">
        <v>37</v>
      </c>
      <c r="B39" s="9">
        <f>DATA!H38</f>
        <v>58602</v>
      </c>
      <c r="C39" s="10">
        <f>DATA!C211+DATA!D211</f>
        <v>2281782</v>
      </c>
      <c r="D39" s="10">
        <f t="shared" si="0"/>
        <v>133716988764</v>
      </c>
      <c r="E39" s="10">
        <f t="shared" si="15"/>
        <v>57396.2</v>
      </c>
      <c r="F39" s="10">
        <f t="shared" si="45"/>
        <v>56869.55</v>
      </c>
      <c r="G39" s="10">
        <f t="shared" si="99"/>
        <v>54272.566666666666</v>
      </c>
      <c r="H39" s="38">
        <f t="shared" si="60"/>
        <v>57969.955486420462</v>
      </c>
      <c r="I39" s="28">
        <f t="shared" si="25"/>
        <v>57205.819882009011</v>
      </c>
      <c r="J39" s="27">
        <f t="shared" si="82"/>
        <v>54620.373980617056</v>
      </c>
      <c r="K39" s="27">
        <f t="shared" si="83"/>
        <v>2585.445901391955</v>
      </c>
      <c r="L39" s="27">
        <f t="shared" si="125"/>
        <v>3269.6596905280217</v>
      </c>
      <c r="M39" s="9">
        <f t="shared" si="46"/>
        <v>59999</v>
      </c>
      <c r="N39" s="9">
        <f t="shared" si="47"/>
        <v>48464</v>
      </c>
      <c r="O39" s="38">
        <f t="shared" si="61"/>
        <v>56869.55</v>
      </c>
      <c r="P39" s="38">
        <f t="shared" si="48"/>
        <v>62559.968419589197</v>
      </c>
      <c r="Q39" s="38">
        <f t="shared" si="49"/>
        <v>51179.131580410809</v>
      </c>
      <c r="R39" s="38">
        <f t="shared" si="16"/>
        <v>57286.5</v>
      </c>
      <c r="S39" s="38">
        <f t="shared" si="84"/>
        <v>53756.5</v>
      </c>
      <c r="T39" s="38">
        <f t="shared" si="85"/>
        <v>55521.5</v>
      </c>
      <c r="V39" s="38">
        <f t="shared" si="86"/>
        <v>50347</v>
      </c>
      <c r="W39" s="10">
        <f t="shared" si="117"/>
        <v>1.7307525388421143E-2</v>
      </c>
      <c r="X39" s="27">
        <f t="shared" si="7"/>
        <v>1.7307525388421143E-2</v>
      </c>
      <c r="Y39" s="27">
        <f t="shared" si="8"/>
        <v>0</v>
      </c>
      <c r="Z39" s="10">
        <f t="shared" ref="Z39:AA39" si="130">AVERAGE(X26:X39)</f>
        <v>6.0140369669113621E-3</v>
      </c>
      <c r="AA39" s="10">
        <f t="shared" si="130"/>
        <v>7.5640442784804867E-3</v>
      </c>
      <c r="AB39" s="38">
        <f t="shared" si="34"/>
        <v>44.292244671554137</v>
      </c>
      <c r="AC39" s="38">
        <f t="shared" si="97"/>
        <v>0</v>
      </c>
      <c r="AD39" s="38">
        <f t="shared" si="109"/>
        <v>0</v>
      </c>
      <c r="AE39" s="38">
        <f t="shared" si="29"/>
        <v>57906.071428571428</v>
      </c>
      <c r="AF39" s="38">
        <f t="shared" si="30"/>
        <v>1129.9542852758188</v>
      </c>
      <c r="AG39" s="38">
        <f t="shared" si="31"/>
        <v>1129.9542852758188</v>
      </c>
      <c r="AH39" s="38">
        <f t="shared" si="32"/>
        <v>0</v>
      </c>
      <c r="AI39" s="38">
        <f t="shared" si="91"/>
        <v>845.59340439833625</v>
      </c>
      <c r="AJ39" s="38">
        <f t="shared" si="92"/>
        <v>2357.2794706011509</v>
      </c>
      <c r="AK39" s="38">
        <f t="shared" si="101"/>
        <v>26.401091688613203</v>
      </c>
      <c r="AL39" s="38">
        <f t="shared" si="119"/>
        <v>997</v>
      </c>
      <c r="AM39" s="38">
        <f t="shared" si="93"/>
        <v>271.76766911378695</v>
      </c>
      <c r="AN39" s="38"/>
      <c r="AO39" s="38">
        <f t="shared" si="9"/>
        <v>997</v>
      </c>
      <c r="AP39" s="38">
        <f t="shared" si="94"/>
        <v>993.54609107250951</v>
      </c>
      <c r="AQ39" s="38"/>
      <c r="AR39" s="38"/>
      <c r="AS39" s="38"/>
      <c r="AT39" s="38">
        <f t="shared" si="120"/>
        <v>133716988764</v>
      </c>
      <c r="AU39" s="38">
        <f t="shared" si="121"/>
        <v>0</v>
      </c>
      <c r="AV39" s="38">
        <f t="shared" ref="AV39:AW39" si="131">AVERAGE(AT26:AT39)</f>
        <v>49918819352.85714</v>
      </c>
      <c r="AW39" s="38">
        <f t="shared" si="131"/>
        <v>163324634062.92856</v>
      </c>
      <c r="AX39" s="38">
        <f t="shared" si="36"/>
        <v>0.30564170334294793</v>
      </c>
      <c r="AY39" s="38">
        <f t="shared" si="37"/>
        <v>23.409309197185337</v>
      </c>
      <c r="AZ39" s="38">
        <f t="shared" si="52"/>
        <v>56869.55</v>
      </c>
      <c r="BA39" s="38">
        <f t="array" ref="BA39">SUM(ABS((B20:B39-AVERAGE(B20:B39))))/COUNT(B20:B39)</f>
        <v>2032.9299999999989</v>
      </c>
      <c r="BB39" s="38">
        <f t="shared" si="64"/>
        <v>56.812908790104203</v>
      </c>
      <c r="BC39" s="38">
        <f t="shared" si="123"/>
        <v>2274936654</v>
      </c>
      <c r="BD39" s="38">
        <f t="shared" si="38"/>
        <v>858015111.43198121</v>
      </c>
      <c r="BE39" s="9">
        <f t="shared" si="26"/>
        <v>59782</v>
      </c>
      <c r="BF39" s="9">
        <f t="shared" si="27"/>
        <v>55971</v>
      </c>
      <c r="BG39" s="32">
        <f t="shared" si="28"/>
        <v>0.6903699816321176</v>
      </c>
      <c r="BH39" s="34">
        <f t="shared" si="12"/>
        <v>57744.944780722079</v>
      </c>
      <c r="BI39" s="33">
        <f t="shared" si="65"/>
        <v>56048.808195369318</v>
      </c>
      <c r="BJ39" s="27">
        <f t="shared" si="89"/>
        <v>3.0261777903297024E-2</v>
      </c>
      <c r="BK39" s="35">
        <f t="shared" si="13"/>
        <v>2118910.8985431734</v>
      </c>
      <c r="BL39" s="36">
        <f t="shared" si="66"/>
        <v>3674821.6257672021</v>
      </c>
      <c r="BM39" s="27">
        <f t="shared" si="73"/>
        <v>-0.42339761916993646</v>
      </c>
      <c r="BN39" s="38">
        <f t="shared" si="14"/>
        <v>122534164163.77518</v>
      </c>
      <c r="BO39" s="38">
        <f t="shared" si="54"/>
        <v>240735947116.79999</v>
      </c>
      <c r="BP39" s="27">
        <f t="shared" si="68"/>
        <v>-0.49100179831338525</v>
      </c>
      <c r="BQ39" s="38">
        <f t="shared" si="124"/>
        <v>997</v>
      </c>
      <c r="BR39" s="38">
        <f t="shared" si="10"/>
        <v>997</v>
      </c>
      <c r="BS39" s="38">
        <f t="shared" si="11"/>
        <v>0</v>
      </c>
      <c r="BT39" s="38">
        <f t="shared" si="22"/>
        <v>18.836255128683327</v>
      </c>
      <c r="BU39" s="38">
        <f t="shared" si="17"/>
        <v>325</v>
      </c>
      <c r="BV39" s="38">
        <f t="shared" si="18"/>
        <v>10645</v>
      </c>
      <c r="BW39" s="38">
        <f t="shared" si="19"/>
        <v>573962</v>
      </c>
      <c r="BX39" s="38">
        <f t="shared" si="20"/>
        <v>18657719</v>
      </c>
      <c r="BY39" s="38">
        <f t="shared" si="23"/>
        <v>47.927272727272729</v>
      </c>
      <c r="BZ39" s="38">
        <f t="shared" si="24"/>
        <v>55838.563636363637</v>
      </c>
      <c r="CA39" s="38">
        <f t="shared" si="21"/>
        <v>57611.872727272726</v>
      </c>
      <c r="CB39" s="35">
        <f t="shared" si="55"/>
        <v>550</v>
      </c>
      <c r="CC39" s="35">
        <f t="shared" si="56"/>
        <v>15790</v>
      </c>
      <c r="CD39" s="35">
        <f t="shared" si="57"/>
        <v>1137391</v>
      </c>
      <c r="CE39" s="35">
        <f t="shared" si="58"/>
        <v>31429840</v>
      </c>
      <c r="CF39" s="38">
        <f t="shared" si="69"/>
        <v>227.95112781954887</v>
      </c>
      <c r="CG39" s="38">
        <f t="shared" si="70"/>
        <v>50600.893984962408</v>
      </c>
      <c r="CH39" s="38">
        <f t="shared" si="59"/>
        <v>59035.085714285713</v>
      </c>
      <c r="CI39" s="36">
        <f t="shared" si="103"/>
        <v>675</v>
      </c>
      <c r="CJ39" s="36">
        <f t="shared" si="104"/>
        <v>17435</v>
      </c>
      <c r="CK39" s="36">
        <f t="shared" si="105"/>
        <v>1628177</v>
      </c>
      <c r="CL39" s="36">
        <f t="shared" si="106"/>
        <v>37575086</v>
      </c>
      <c r="CM39" s="38">
        <f t="shared" si="111"/>
        <v>418.73348164627362</v>
      </c>
      <c r="CN39" s="38">
        <f t="shared" si="112"/>
        <v>44851.063329625511</v>
      </c>
      <c r="CO39" s="38">
        <f t="shared" si="107"/>
        <v>60344.202150537632</v>
      </c>
    </row>
    <row r="40" spans="1:93" x14ac:dyDescent="0.25">
      <c r="A40" s="8">
        <v>38</v>
      </c>
      <c r="B40" s="9">
        <f>DATA!H39</f>
        <v>57876</v>
      </c>
      <c r="C40" s="10">
        <f>DATA!C202+DATA!D202</f>
        <v>2318000</v>
      </c>
      <c r="D40" s="10">
        <f t="shared" si="0"/>
        <v>134156568000</v>
      </c>
      <c r="E40" s="10">
        <f t="shared" si="15"/>
        <v>57475.1</v>
      </c>
      <c r="F40" s="10">
        <f t="shared" si="45"/>
        <v>57340.15</v>
      </c>
      <c r="G40" s="10">
        <f t="shared" si="99"/>
        <v>54628.666666666664</v>
      </c>
      <c r="H40" s="38">
        <f t="shared" si="60"/>
        <v>57992.018072437364</v>
      </c>
      <c r="I40" s="28">
        <f t="shared" si="25"/>
        <v>57308.924515546089</v>
      </c>
      <c r="J40" s="27">
        <f t="shared" si="82"/>
        <v>54861.531463534309</v>
      </c>
      <c r="K40" s="27">
        <f t="shared" si="83"/>
        <v>2447.3930520117792</v>
      </c>
      <c r="L40" s="27">
        <f t="shared" si="125"/>
        <v>3078.8322774061298</v>
      </c>
      <c r="M40" s="9">
        <f t="shared" si="46"/>
        <v>59999</v>
      </c>
      <c r="N40" s="9">
        <f t="shared" si="47"/>
        <v>50887</v>
      </c>
      <c r="O40" s="38">
        <f t="shared" si="61"/>
        <v>57340.15</v>
      </c>
      <c r="P40" s="38">
        <f t="shared" si="48"/>
        <v>61531.443178721813</v>
      </c>
      <c r="Q40" s="38">
        <f t="shared" si="49"/>
        <v>53148.85682127819</v>
      </c>
      <c r="R40" s="38">
        <f t="shared" si="16"/>
        <v>57286.5</v>
      </c>
      <c r="S40" s="38">
        <f t="shared" si="84"/>
        <v>53756.5</v>
      </c>
      <c r="T40" s="38">
        <f t="shared" si="85"/>
        <v>55521.5</v>
      </c>
      <c r="V40" s="38">
        <f t="shared" si="86"/>
        <v>51032</v>
      </c>
      <c r="W40" s="10">
        <f t="shared" si="117"/>
        <v>-1.238865567728064E-2</v>
      </c>
      <c r="X40" s="27">
        <f t="shared" si="7"/>
        <v>0</v>
      </c>
      <c r="Y40" s="27">
        <f t="shared" si="8"/>
        <v>1.238865567728064E-2</v>
      </c>
      <c r="Z40" s="10">
        <f t="shared" ref="Z40:AA40" si="132">AVERAGE(X27:X40)</f>
        <v>6.0140369669113621E-3</v>
      </c>
      <c r="AA40" s="10">
        <f t="shared" si="132"/>
        <v>8.1906106164684554E-3</v>
      </c>
      <c r="AB40" s="38">
        <f t="shared" si="34"/>
        <v>42.338515838633697</v>
      </c>
      <c r="AC40" s="38">
        <f t="shared" si="97"/>
        <v>0</v>
      </c>
      <c r="AD40" s="38">
        <f t="shared" si="109"/>
        <v>0</v>
      </c>
      <c r="AE40" s="38">
        <f t="shared" si="29"/>
        <v>57769.928571428572</v>
      </c>
      <c r="AF40" s="38">
        <f t="shared" si="30"/>
        <v>993.07854397600124</v>
      </c>
      <c r="AG40" s="38">
        <f t="shared" si="31"/>
        <v>0</v>
      </c>
      <c r="AH40" s="38">
        <f t="shared" si="32"/>
        <v>993.07854397600124</v>
      </c>
      <c r="AI40" s="38">
        <f t="shared" si="91"/>
        <v>845.59340439833625</v>
      </c>
      <c r="AJ40" s="38">
        <f t="shared" si="92"/>
        <v>2123.945238841924</v>
      </c>
      <c r="AK40" s="38">
        <f t="shared" si="101"/>
        <v>28.475581764972532</v>
      </c>
      <c r="AL40" s="38">
        <f t="shared" si="119"/>
        <v>-726</v>
      </c>
      <c r="AM40" s="38">
        <f t="shared" si="93"/>
        <v>195.01630995118796</v>
      </c>
      <c r="AN40" s="38">
        <f>AVERAGE(AM28:AM40)</f>
        <v>291.32956004505718</v>
      </c>
      <c r="AO40" s="38">
        <f t="shared" si="9"/>
        <v>726</v>
      </c>
      <c r="AP40" s="38">
        <f t="shared" si="94"/>
        <v>972.96562252847036</v>
      </c>
      <c r="AQ40" s="38">
        <f>AVERAGE(AP28:AP40)</f>
        <v>1036.6440407429502</v>
      </c>
      <c r="AR40" s="38">
        <f>(AN40/AQ40)*100</f>
        <v>28.103143277249231</v>
      </c>
      <c r="AS40" s="38"/>
      <c r="AT40" s="38">
        <f t="shared" si="120"/>
        <v>0</v>
      </c>
      <c r="AU40" s="38">
        <f t="shared" si="121"/>
        <v>134156568000</v>
      </c>
      <c r="AV40" s="38">
        <f t="shared" ref="AV40:AW40" si="133">AVERAGE(AT27:AT40)</f>
        <v>49918819352.85714</v>
      </c>
      <c r="AW40" s="38">
        <f t="shared" si="133"/>
        <v>154221100920.07144</v>
      </c>
      <c r="AX40" s="38">
        <f t="shared" si="36"/>
        <v>0.32368345871638338</v>
      </c>
      <c r="AY40" s="38">
        <f t="shared" si="37"/>
        <v>24.453237409967286</v>
      </c>
      <c r="AZ40" s="38">
        <f t="shared" si="52"/>
        <v>57340.15</v>
      </c>
      <c r="BA40" s="38">
        <f t="array" ref="BA40">SUM(ABS((B21:B40-AVERAGE(B21:B40))))/COUNT(B21:B40)</f>
        <v>1477.1049999999996</v>
      </c>
      <c r="BB40" s="38">
        <f t="shared" si="64"/>
        <v>24.184694610967565</v>
      </c>
      <c r="BC40" s="38">
        <f t="shared" si="123"/>
        <v>-1682868000</v>
      </c>
      <c r="BD40" s="38">
        <f t="shared" si="38"/>
        <v>495031809.79884106</v>
      </c>
      <c r="BE40" s="9">
        <f t="shared" si="26"/>
        <v>59611</v>
      </c>
      <c r="BF40" s="9">
        <f t="shared" si="27"/>
        <v>55971</v>
      </c>
      <c r="BG40" s="32">
        <f t="shared" si="28"/>
        <v>0.52335164835164838</v>
      </c>
      <c r="BH40" s="34">
        <f t="shared" ref="BH40:BH62" si="134">(2/6)*(B40-BH39)+BH39</f>
        <v>57788.629853814717</v>
      </c>
      <c r="BI40" s="33">
        <f t="shared" si="65"/>
        <v>56222.826462477002</v>
      </c>
      <c r="BJ40" s="27">
        <f t="shared" si="89"/>
        <v>2.7849958635265851E-2</v>
      </c>
      <c r="BK40" s="35">
        <f t="shared" ref="BK40:BK62" si="135">(2/6)*(C40-BK39)+BK39</f>
        <v>2185273.9323621155</v>
      </c>
      <c r="BL40" s="36">
        <f t="shared" si="66"/>
        <v>3545600.5185512779</v>
      </c>
      <c r="BM40" s="27">
        <f t="shared" si="73"/>
        <v>-0.38366606138273807</v>
      </c>
      <c r="BN40" s="38">
        <f t="shared" ref="BN40:BN62" si="136">(2/6)*(D40-BN39)+BN39</f>
        <v>126408298775.85011</v>
      </c>
      <c r="BO40" s="38">
        <f t="shared" si="54"/>
        <v>246909353296</v>
      </c>
      <c r="BP40" s="27">
        <f t="shared" si="68"/>
        <v>-0.48803762559651093</v>
      </c>
      <c r="BQ40" s="38">
        <f t="shared" si="124"/>
        <v>-726</v>
      </c>
      <c r="BR40" s="38">
        <f t="shared" si="10"/>
        <v>0</v>
      </c>
      <c r="BS40" s="38">
        <f t="shared" si="11"/>
        <v>726</v>
      </c>
      <c r="BT40" s="38">
        <f t="shared" si="22"/>
        <v>-3.2876003106393989</v>
      </c>
      <c r="BU40" s="38">
        <f t="shared" si="17"/>
        <v>335</v>
      </c>
      <c r="BV40" s="38">
        <f t="shared" si="18"/>
        <v>11305</v>
      </c>
      <c r="BW40" s="38">
        <f t="shared" si="19"/>
        <v>574751</v>
      </c>
      <c r="BX40" s="38">
        <f t="shared" si="20"/>
        <v>19258571</v>
      </c>
      <c r="BY40" s="38">
        <f t="shared" si="23"/>
        <v>53.484848484848484</v>
      </c>
      <c r="BZ40" s="38">
        <f t="shared" si="24"/>
        <v>55683.357575757575</v>
      </c>
      <c r="CA40" s="38">
        <f t="shared" si="21"/>
        <v>57715.781818181815</v>
      </c>
      <c r="CB40" s="35">
        <f t="shared" si="55"/>
        <v>570</v>
      </c>
      <c r="CC40" s="35">
        <f t="shared" si="56"/>
        <v>16910</v>
      </c>
      <c r="CD40" s="35">
        <f t="shared" si="57"/>
        <v>1146803</v>
      </c>
      <c r="CE40" s="35">
        <f t="shared" si="58"/>
        <v>32756776</v>
      </c>
      <c r="CF40" s="38">
        <f t="shared" si="69"/>
        <v>109.60977443609022</v>
      </c>
      <c r="CG40" s="38">
        <f t="shared" si="70"/>
        <v>54216.271428571432</v>
      </c>
      <c r="CH40" s="38">
        <f t="shared" si="59"/>
        <v>58381.442857142858</v>
      </c>
      <c r="CI40" s="36">
        <f t="shared" si="103"/>
        <v>705</v>
      </c>
      <c r="CJ40" s="36">
        <f t="shared" si="104"/>
        <v>18815</v>
      </c>
      <c r="CK40" s="36">
        <f t="shared" si="105"/>
        <v>1638860</v>
      </c>
      <c r="CL40" s="36">
        <f t="shared" si="106"/>
        <v>39396830</v>
      </c>
      <c r="CM40" s="38">
        <f t="shared" si="111"/>
        <v>393.15684093437153</v>
      </c>
      <c r="CN40" s="38">
        <f t="shared" si="112"/>
        <v>45389.480904708937</v>
      </c>
      <c r="CO40" s="38">
        <f t="shared" si="107"/>
        <v>60329.440860215051</v>
      </c>
    </row>
    <row r="41" spans="1:93" x14ac:dyDescent="0.25">
      <c r="A41" s="8">
        <v>39</v>
      </c>
      <c r="B41" s="9">
        <f>DATA!H40</f>
        <v>58033</v>
      </c>
      <c r="C41" s="10">
        <f>DATA!C193+DATA!D193</f>
        <v>2840000</v>
      </c>
      <c r="D41" s="10">
        <f t="shared" si="0"/>
        <v>164813720000</v>
      </c>
      <c r="E41" s="10">
        <f t="shared" si="15"/>
        <v>57465.4</v>
      </c>
      <c r="F41" s="10">
        <f t="shared" si="45"/>
        <v>57697.45</v>
      </c>
      <c r="G41" s="10">
        <f t="shared" si="99"/>
        <v>54958.666666666664</v>
      </c>
      <c r="H41" s="38">
        <f t="shared" si="60"/>
        <v>58029.663921580439</v>
      </c>
      <c r="I41" s="28">
        <f t="shared" si="25"/>
        <v>57420.320743923614</v>
      </c>
      <c r="J41" s="27">
        <f t="shared" si="82"/>
        <v>55096.455058828062</v>
      </c>
      <c r="K41" s="27">
        <f t="shared" si="83"/>
        <v>2323.8656850955522</v>
      </c>
      <c r="L41" s="27">
        <f t="shared" si="125"/>
        <v>2898.7576305358225</v>
      </c>
      <c r="M41" s="9">
        <f t="shared" si="46"/>
        <v>59999</v>
      </c>
      <c r="N41" s="9">
        <f t="shared" si="47"/>
        <v>53431</v>
      </c>
      <c r="O41" s="38">
        <f t="shared" si="61"/>
        <v>57697.45</v>
      </c>
      <c r="P41" s="38">
        <f t="shared" si="48"/>
        <v>60667.915382730454</v>
      </c>
      <c r="Q41" s="38">
        <f t="shared" si="49"/>
        <v>54726.98461726954</v>
      </c>
      <c r="R41" s="38">
        <f t="shared" si="16"/>
        <v>57286.5</v>
      </c>
      <c r="S41" s="38">
        <f t="shared" si="84"/>
        <v>53756.5</v>
      </c>
      <c r="T41" s="38">
        <f t="shared" si="85"/>
        <v>55521.5</v>
      </c>
      <c r="V41" s="38">
        <f t="shared" si="86"/>
        <v>50410</v>
      </c>
      <c r="W41" s="10">
        <f t="shared" si="117"/>
        <v>2.7126961089225239E-3</v>
      </c>
      <c r="X41" s="27">
        <f t="shared" si="7"/>
        <v>2.7126961089225239E-3</v>
      </c>
      <c r="Y41" s="27">
        <f t="shared" si="8"/>
        <v>0</v>
      </c>
      <c r="Z41" s="10">
        <f t="shared" ref="Z41:AA41" si="137">AVERAGE(X28:X41)</f>
        <v>6.2078009746915422E-3</v>
      </c>
      <c r="AA41" s="10">
        <f t="shared" si="137"/>
        <v>7.9862968478711226E-3</v>
      </c>
      <c r="AB41" s="38">
        <f t="shared" si="34"/>
        <v>43.735086599331034</v>
      </c>
      <c r="AC41" s="38">
        <f t="shared" si="97"/>
        <v>3.5773288236283382E-2</v>
      </c>
      <c r="AD41" s="38">
        <f t="shared" si="109"/>
        <v>1.1924429412094461E-2</v>
      </c>
      <c r="AE41" s="38">
        <f t="shared" si="29"/>
        <v>57657.214285714283</v>
      </c>
      <c r="AF41" s="38">
        <f t="shared" si="30"/>
        <v>846.82503674439317</v>
      </c>
      <c r="AG41" s="38">
        <f t="shared" si="31"/>
        <v>846.82503674439317</v>
      </c>
      <c r="AH41" s="38">
        <f t="shared" si="32"/>
        <v>0</v>
      </c>
      <c r="AI41" s="38">
        <f t="shared" si="91"/>
        <v>906.08090702293578</v>
      </c>
      <c r="AJ41" s="38">
        <f t="shared" si="92"/>
        <v>1796.5152602284506</v>
      </c>
      <c r="AK41" s="38">
        <f t="shared" si="101"/>
        <v>33.526315104059542</v>
      </c>
      <c r="AL41" s="38">
        <f t="shared" si="119"/>
        <v>157</v>
      </c>
      <c r="AM41" s="38">
        <f t="shared" si="93"/>
        <v>192.0919784164812</v>
      </c>
      <c r="AN41" s="38">
        <f>(2/14)*(AM41-AN40)+AN40</f>
        <v>277.15276266954635</v>
      </c>
      <c r="AO41" s="38">
        <f t="shared" si="9"/>
        <v>157</v>
      </c>
      <c r="AP41" s="38">
        <f t="shared" si="94"/>
        <v>910.19903618012654</v>
      </c>
      <c r="AQ41" s="38">
        <f>(2/14)*(AP41-AQ40)+AQ40</f>
        <v>1018.5804686625469</v>
      </c>
      <c r="AR41" s="38">
        <f t="shared" ref="AR41:AR62" si="138">(AN41/AQ41)*100</f>
        <v>27.209707155828681</v>
      </c>
      <c r="AS41" s="38"/>
      <c r="AT41" s="38">
        <f t="shared" si="120"/>
        <v>164813720000</v>
      </c>
      <c r="AU41" s="38">
        <f t="shared" si="121"/>
        <v>0</v>
      </c>
      <c r="AV41" s="38">
        <f t="shared" ref="AV41:AW41" si="139">AVERAGE(AT28:AT41)</f>
        <v>61691227924.285713</v>
      </c>
      <c r="AW41" s="38">
        <f t="shared" si="139"/>
        <v>117530530420.07143</v>
      </c>
      <c r="AX41" s="38">
        <f t="shared" si="36"/>
        <v>0.52489534169370444</v>
      </c>
      <c r="AY41" s="38">
        <f t="shared" si="37"/>
        <v>34.421728976540905</v>
      </c>
      <c r="AZ41" s="38">
        <f t="shared" si="52"/>
        <v>57697.45</v>
      </c>
      <c r="BA41" s="38">
        <f t="array" ref="BA41">SUM(ABS((B22:B41-AVERAGE(B22:B41))))/COUNT(B22:B41)</f>
        <v>1072.8600000000006</v>
      </c>
      <c r="BB41" s="38">
        <f t="shared" si="64"/>
        <v>20.850809984527508</v>
      </c>
      <c r="BC41" s="38">
        <f t="shared" si="123"/>
        <v>445880000</v>
      </c>
      <c r="BD41" s="38">
        <f t="shared" si="38"/>
        <v>488010122.68472093</v>
      </c>
      <c r="BE41" s="9">
        <f t="shared" si="26"/>
        <v>59067</v>
      </c>
      <c r="BF41" s="9">
        <f t="shared" si="27"/>
        <v>55971</v>
      </c>
      <c r="BG41" s="32">
        <f t="shared" si="28"/>
        <v>0.66602067183462532</v>
      </c>
      <c r="BH41" s="34">
        <f t="shared" si="134"/>
        <v>57870.086569209809</v>
      </c>
      <c r="BI41" s="33">
        <f t="shared" si="65"/>
        <v>56395.2239422411</v>
      </c>
      <c r="BJ41" s="27">
        <f t="shared" si="89"/>
        <v>2.6152261199977399E-2</v>
      </c>
      <c r="BK41" s="35">
        <f t="shared" si="135"/>
        <v>2403515.9549080771</v>
      </c>
      <c r="BL41" s="36">
        <f t="shared" si="66"/>
        <v>3478400.469165442</v>
      </c>
      <c r="BM41" s="27">
        <f t="shared" si="73"/>
        <v>-0.30901689549140887</v>
      </c>
      <c r="BN41" s="38">
        <f t="shared" si="136"/>
        <v>139210105850.56674</v>
      </c>
      <c r="BO41" s="38">
        <f t="shared" si="54"/>
        <v>254011501191.04999</v>
      </c>
      <c r="BP41" s="27">
        <f t="shared" si="68"/>
        <v>-0.4519535328210888</v>
      </c>
      <c r="BQ41" s="38">
        <f t="shared" si="124"/>
        <v>157</v>
      </c>
      <c r="BR41" s="38">
        <f t="shared" si="10"/>
        <v>157</v>
      </c>
      <c r="BS41" s="38">
        <f t="shared" si="11"/>
        <v>0</v>
      </c>
      <c r="BT41" s="38">
        <f t="shared" si="22"/>
        <v>7.009345794392523</v>
      </c>
      <c r="BU41" s="38">
        <f t="shared" si="17"/>
        <v>345</v>
      </c>
      <c r="BV41" s="38">
        <f t="shared" si="18"/>
        <v>11985</v>
      </c>
      <c r="BW41" s="38">
        <f t="shared" si="19"/>
        <v>574654</v>
      </c>
      <c r="BX41" s="38">
        <f t="shared" si="20"/>
        <v>19836088</v>
      </c>
      <c r="BY41" s="38">
        <f t="shared" si="23"/>
        <v>127.57575757575758</v>
      </c>
      <c r="BZ41" s="38">
        <f t="shared" si="24"/>
        <v>53064.036363636362</v>
      </c>
      <c r="CA41" s="38">
        <f t="shared" si="21"/>
        <v>58039.490909090906</v>
      </c>
      <c r="CB41" s="35">
        <f t="shared" si="55"/>
        <v>590</v>
      </c>
      <c r="CC41" s="35">
        <f t="shared" si="56"/>
        <v>18070</v>
      </c>
      <c r="CD41" s="35">
        <f t="shared" si="57"/>
        <v>1153949</v>
      </c>
      <c r="CE41" s="35">
        <f t="shared" si="58"/>
        <v>34053210</v>
      </c>
      <c r="CF41" s="38">
        <f t="shared" si="69"/>
        <v>17.61578947368421</v>
      </c>
      <c r="CG41" s="38">
        <f t="shared" si="70"/>
        <v>57177.784210526319</v>
      </c>
      <c r="CH41" s="38">
        <f t="shared" si="59"/>
        <v>57864.800000000003</v>
      </c>
      <c r="CI41" s="36">
        <f t="shared" si="103"/>
        <v>735</v>
      </c>
      <c r="CJ41" s="36">
        <f t="shared" si="104"/>
        <v>20255</v>
      </c>
      <c r="CK41" s="36">
        <f t="shared" si="105"/>
        <v>1648760</v>
      </c>
      <c r="CL41" s="36">
        <f t="shared" si="106"/>
        <v>41226920</v>
      </c>
      <c r="CM41" s="38">
        <f t="shared" si="111"/>
        <v>370.32258064516128</v>
      </c>
      <c r="CN41" s="38">
        <f t="shared" si="112"/>
        <v>45885.763440860217</v>
      </c>
      <c r="CO41" s="38">
        <f t="shared" si="107"/>
        <v>60328.344086021505</v>
      </c>
    </row>
    <row r="42" spans="1:93" x14ac:dyDescent="0.25">
      <c r="A42" s="8">
        <v>40</v>
      </c>
      <c r="B42" s="9">
        <f>DATA!H41</f>
        <v>60422</v>
      </c>
      <c r="C42" s="10">
        <f>DATA!C184+DATA!D184</f>
        <v>2519020</v>
      </c>
      <c r="D42" s="10">
        <f t="shared" si="0"/>
        <v>152204226440</v>
      </c>
      <c r="E42" s="10">
        <f t="shared" si="15"/>
        <v>57755.3</v>
      </c>
      <c r="F42" s="10">
        <f t="shared" si="45"/>
        <v>58047</v>
      </c>
      <c r="G42" s="10">
        <f t="shared" si="99"/>
        <v>55385.133333333331</v>
      </c>
      <c r="H42" s="38">
        <f t="shared" si="60"/>
        <v>58192.854670033295</v>
      </c>
      <c r="I42" s="28">
        <f t="shared" si="25"/>
        <v>57882.11755255075</v>
      </c>
      <c r="J42" s="27">
        <f t="shared" si="82"/>
        <v>55490.939869285241</v>
      </c>
      <c r="K42" s="27">
        <f t="shared" si="83"/>
        <v>2391.1776832655087</v>
      </c>
      <c r="L42" s="27">
        <f t="shared" si="125"/>
        <v>2747.7819972014445</v>
      </c>
      <c r="M42" s="9">
        <f t="shared" si="46"/>
        <v>60422</v>
      </c>
      <c r="N42" s="9">
        <f t="shared" si="47"/>
        <v>55917</v>
      </c>
      <c r="O42" s="38">
        <f t="shared" si="61"/>
        <v>58047</v>
      </c>
      <c r="P42" s="38">
        <f t="shared" si="48"/>
        <v>60532.767326199297</v>
      </c>
      <c r="Q42" s="38">
        <f t="shared" si="49"/>
        <v>55561.232673800703</v>
      </c>
      <c r="R42" s="38">
        <f t="shared" si="16"/>
        <v>58196.5</v>
      </c>
      <c r="S42" s="38">
        <f t="shared" si="84"/>
        <v>53968</v>
      </c>
      <c r="T42" s="38">
        <f t="shared" si="85"/>
        <v>56082.25</v>
      </c>
      <c r="V42" s="38">
        <f t="shared" si="86"/>
        <v>50352</v>
      </c>
      <c r="W42" s="10">
        <f t="shared" si="117"/>
        <v>4.1166233005359022E-2</v>
      </c>
      <c r="X42" s="27">
        <f t="shared" si="7"/>
        <v>4.1166233005359022E-2</v>
      </c>
      <c r="Y42" s="27">
        <f t="shared" si="8"/>
        <v>0</v>
      </c>
      <c r="Z42" s="10">
        <f t="shared" ref="Z42:AA42" si="140">AVERAGE(X29:X42)</f>
        <v>9.1482461893600438E-3</v>
      </c>
      <c r="AA42" s="10">
        <f t="shared" si="140"/>
        <v>7.334451670686663E-3</v>
      </c>
      <c r="AB42" s="38">
        <f t="shared" si="34"/>
        <v>55.502116625791999</v>
      </c>
      <c r="AC42" s="38">
        <f t="shared" si="97"/>
        <v>0.33718684254226261</v>
      </c>
      <c r="AD42" s="38">
        <f t="shared" si="109"/>
        <v>0.12432004359284866</v>
      </c>
      <c r="AE42" s="38">
        <f t="shared" si="29"/>
        <v>57754</v>
      </c>
      <c r="AF42" s="38">
        <f t="shared" si="30"/>
        <v>1068.711085661314</v>
      </c>
      <c r="AG42" s="38">
        <f t="shared" si="31"/>
        <v>1068.711085661314</v>
      </c>
      <c r="AH42" s="38">
        <f t="shared" si="32"/>
        <v>0</v>
      </c>
      <c r="AI42" s="38">
        <f t="shared" si="91"/>
        <v>982.41741314160106</v>
      </c>
      <c r="AJ42" s="38">
        <f t="shared" si="92"/>
        <v>1456.3457798248271</v>
      </c>
      <c r="AK42" s="38">
        <f t="shared" si="101"/>
        <v>40.283427926703375</v>
      </c>
      <c r="AL42" s="38">
        <f t="shared" si="119"/>
        <v>2389</v>
      </c>
      <c r="AM42" s="38">
        <f t="shared" si="93"/>
        <v>361.08490315367499</v>
      </c>
      <c r="AN42" s="38">
        <f t="shared" ref="AN42:AN62" si="141">(2/14)*(AM42-AN41)+AN41</f>
        <v>289.1430684529933</v>
      </c>
      <c r="AO42" s="38">
        <f t="shared" si="9"/>
        <v>2389</v>
      </c>
      <c r="AP42" s="38">
        <f t="shared" si="94"/>
        <v>1023.952956473963</v>
      </c>
      <c r="AQ42" s="38">
        <f t="shared" ref="AQ42:AQ62" si="142">(2/14)*(AP42-AQ41)+AQ41</f>
        <v>1019.3479669213206</v>
      </c>
      <c r="AR42" s="38">
        <f t="shared" si="138"/>
        <v>28.365492239737904</v>
      </c>
      <c r="AS42" s="38"/>
      <c r="AT42" s="38">
        <f t="shared" si="120"/>
        <v>152204226440</v>
      </c>
      <c r="AU42" s="38">
        <f t="shared" si="121"/>
        <v>0</v>
      </c>
      <c r="AV42" s="38">
        <f t="shared" ref="AV42:AW42" si="143">AVERAGE(AT29:AT42)</f>
        <v>72562958384.285721</v>
      </c>
      <c r="AW42" s="38">
        <f t="shared" si="143"/>
        <v>76073934562.928574</v>
      </c>
      <c r="AX42" s="38">
        <f t="shared" si="36"/>
        <v>0.95384784290684266</v>
      </c>
      <c r="AY42" s="38">
        <f t="shared" si="37"/>
        <v>48.818941882790263</v>
      </c>
      <c r="AZ42" s="38">
        <f t="shared" si="52"/>
        <v>58047</v>
      </c>
      <c r="BA42" s="38">
        <f t="array" ref="BA42">SUM(ABS((B23:B42-AVERAGE(B23:B42))))/COUNT(B23:B42)</f>
        <v>950</v>
      </c>
      <c r="BB42" s="38">
        <f t="shared" si="64"/>
        <v>166.66666666666666</v>
      </c>
      <c r="BC42" s="38">
        <f t="shared" si="123"/>
        <v>6017938780</v>
      </c>
      <c r="BD42" s="38">
        <f t="shared" si="38"/>
        <v>1277999930.872618</v>
      </c>
      <c r="BE42" s="9">
        <f t="shared" si="26"/>
        <v>60422</v>
      </c>
      <c r="BF42" s="9">
        <f t="shared" si="27"/>
        <v>55971</v>
      </c>
      <c r="BG42" s="32">
        <f t="shared" si="28"/>
        <v>1</v>
      </c>
      <c r="BH42" s="34">
        <f t="shared" si="134"/>
        <v>58720.724379473206</v>
      </c>
      <c r="BI42" s="33">
        <f t="shared" si="65"/>
        <v>56778.726423932421</v>
      </c>
      <c r="BJ42" s="27">
        <f t="shared" si="89"/>
        <v>3.4202915032666634E-2</v>
      </c>
      <c r="BK42" s="35">
        <f t="shared" si="135"/>
        <v>2442017.3032720513</v>
      </c>
      <c r="BL42" s="36">
        <f t="shared" si="66"/>
        <v>3387030.9006734951</v>
      </c>
      <c r="BM42" s="27">
        <f t="shared" si="73"/>
        <v>-0.27900944075046152</v>
      </c>
      <c r="BN42" s="38">
        <f t="shared" si="136"/>
        <v>143541479380.37784</v>
      </c>
      <c r="BO42" s="38">
        <f t="shared" si="54"/>
        <v>256756819963.04999</v>
      </c>
      <c r="BP42" s="27">
        <f t="shared" si="68"/>
        <v>-0.44094384951085247</v>
      </c>
      <c r="BQ42" s="38">
        <f t="shared" si="124"/>
        <v>2389</v>
      </c>
      <c r="BR42" s="38">
        <f t="shared" si="10"/>
        <v>2389</v>
      </c>
      <c r="BS42" s="38">
        <f t="shared" si="11"/>
        <v>0</v>
      </c>
      <c r="BT42" s="38">
        <f t="shared" si="22"/>
        <v>27.844726458355552</v>
      </c>
      <c r="BU42" s="38">
        <f t="shared" si="17"/>
        <v>355</v>
      </c>
      <c r="BV42" s="38">
        <f t="shared" si="18"/>
        <v>12685</v>
      </c>
      <c r="BW42" s="38">
        <f t="shared" si="19"/>
        <v>577553</v>
      </c>
      <c r="BX42" s="38">
        <f t="shared" si="20"/>
        <v>20527278</v>
      </c>
      <c r="BY42" s="38">
        <f t="shared" si="23"/>
        <v>292.68484848484849</v>
      </c>
      <c r="BZ42" s="38">
        <f t="shared" si="24"/>
        <v>47364.987878787877</v>
      </c>
      <c r="CA42" s="38">
        <f t="shared" si="21"/>
        <v>59072.381818181821</v>
      </c>
      <c r="CB42" s="35">
        <f t="shared" si="55"/>
        <v>610</v>
      </c>
      <c r="CC42" s="35">
        <f t="shared" si="56"/>
        <v>19270</v>
      </c>
      <c r="CD42" s="35">
        <f t="shared" si="57"/>
        <v>1160940</v>
      </c>
      <c r="CE42" s="35">
        <f t="shared" si="58"/>
        <v>35401470</v>
      </c>
      <c r="CF42" s="38">
        <f t="shared" si="69"/>
        <v>-10.827067669172932</v>
      </c>
      <c r="CG42" s="38">
        <f t="shared" si="70"/>
        <v>58377.225563909771</v>
      </c>
      <c r="CH42" s="38">
        <f t="shared" si="59"/>
        <v>57944.142857142855</v>
      </c>
      <c r="CI42" s="36">
        <f t="shared" si="103"/>
        <v>765</v>
      </c>
      <c r="CJ42" s="36">
        <f t="shared" si="104"/>
        <v>21755</v>
      </c>
      <c r="CK42" s="36">
        <f t="shared" si="105"/>
        <v>1661554</v>
      </c>
      <c r="CL42" s="36">
        <f t="shared" si="106"/>
        <v>43167520</v>
      </c>
      <c r="CM42" s="38">
        <f t="shared" si="111"/>
        <v>355.01357063403782</v>
      </c>
      <c r="CN42" s="38">
        <f t="shared" si="112"/>
        <v>46332.287282165365</v>
      </c>
      <c r="CO42" s="38">
        <f t="shared" si="107"/>
        <v>60532.830107526883</v>
      </c>
    </row>
    <row r="43" spans="1:93" x14ac:dyDescent="0.25">
      <c r="A43" s="8">
        <v>41</v>
      </c>
      <c r="B43" s="9">
        <f>DATA!H42</f>
        <v>63441</v>
      </c>
      <c r="C43" s="10">
        <f>DATA!C175+DATA!D175</f>
        <v>9268000</v>
      </c>
      <c r="D43" s="10">
        <f t="shared" si="0"/>
        <v>587971188000</v>
      </c>
      <c r="E43" s="10">
        <f t="shared" si="15"/>
        <v>58318.3</v>
      </c>
      <c r="F43" s="10">
        <f t="shared" si="45"/>
        <v>58423.199999999997</v>
      </c>
      <c r="G43" s="10">
        <f t="shared" si="99"/>
        <v>55840.2</v>
      </c>
      <c r="H43" s="38">
        <f t="shared" si="60"/>
        <v>59125.313501321652</v>
      </c>
      <c r="I43" s="28">
        <f t="shared" si="25"/>
        <v>58737.330236773712</v>
      </c>
      <c r="J43" s="27">
        <f t="shared" si="82"/>
        <v>56079.83321230115</v>
      </c>
      <c r="K43" s="27">
        <f t="shared" si="83"/>
        <v>2657.4970244725628</v>
      </c>
      <c r="L43" s="27">
        <f t="shared" si="125"/>
        <v>2662.2040154344813</v>
      </c>
      <c r="M43" s="9">
        <f t="shared" si="46"/>
        <v>63441</v>
      </c>
      <c r="N43" s="9">
        <f t="shared" si="47"/>
        <v>55971</v>
      </c>
      <c r="O43" s="38">
        <f t="shared" si="61"/>
        <v>58423.199999999997</v>
      </c>
      <c r="P43" s="38">
        <f t="shared" si="48"/>
        <v>61667.364089561437</v>
      </c>
      <c r="Q43" s="38">
        <f t="shared" si="49"/>
        <v>55179.035910438557</v>
      </c>
      <c r="R43" s="38">
        <f t="shared" si="16"/>
        <v>59706</v>
      </c>
      <c r="S43" s="38">
        <f t="shared" si="84"/>
        <v>55477.5</v>
      </c>
      <c r="T43" s="38">
        <f t="shared" si="85"/>
        <v>57591.75</v>
      </c>
      <c r="V43" s="38">
        <f t="shared" si="86"/>
        <v>48388</v>
      </c>
      <c r="W43" s="10">
        <f t="shared" si="117"/>
        <v>4.9965244447386717E-2</v>
      </c>
      <c r="X43" s="27">
        <f t="shared" si="7"/>
        <v>4.9965244447386717E-2</v>
      </c>
      <c r="Y43" s="27">
        <f t="shared" si="8"/>
        <v>0</v>
      </c>
      <c r="Z43" s="10">
        <f t="shared" ref="Z43:AA43" si="144">AVERAGE(X30:X43)</f>
        <v>1.271719222131624E-2</v>
      </c>
      <c r="AA43" s="10">
        <f t="shared" si="144"/>
        <v>6.3621901468481163E-3</v>
      </c>
      <c r="AB43" s="38">
        <f t="shared" si="34"/>
        <v>66.654108481708533</v>
      </c>
      <c r="AC43" s="38">
        <f t="shared" si="97"/>
        <v>0.62284613765108066</v>
      </c>
      <c r="AD43" s="38">
        <f t="shared" si="109"/>
        <v>0.33193542280987559</v>
      </c>
      <c r="AE43" s="38">
        <f t="shared" si="29"/>
        <v>58123.857142857145</v>
      </c>
      <c r="AF43" s="38">
        <f t="shared" si="30"/>
        <v>1860.8441367021853</v>
      </c>
      <c r="AG43" s="38">
        <f t="shared" si="31"/>
        <v>1860.8441367021853</v>
      </c>
      <c r="AH43" s="38">
        <f t="shared" si="32"/>
        <v>0</v>
      </c>
      <c r="AI43" s="38">
        <f t="shared" si="91"/>
        <v>1115.3348514774714</v>
      </c>
      <c r="AJ43" s="38">
        <f t="shared" si="92"/>
        <v>1111.0969052344519</v>
      </c>
      <c r="AK43" s="38">
        <f t="shared" si="101"/>
        <v>50.095173504201142</v>
      </c>
      <c r="AL43" s="38">
        <f t="shared" si="119"/>
        <v>3019</v>
      </c>
      <c r="AM43" s="38">
        <f t="shared" si="93"/>
        <v>565.53991060339229</v>
      </c>
      <c r="AN43" s="38">
        <f t="shared" si="141"/>
        <v>328.62833161733602</v>
      </c>
      <c r="AO43" s="38">
        <f t="shared" si="9"/>
        <v>3019</v>
      </c>
      <c r="AP43" s="38">
        <f t="shared" si="94"/>
        <v>1177.4181136682735</v>
      </c>
      <c r="AQ43" s="38">
        <f t="shared" si="142"/>
        <v>1041.9294164565995</v>
      </c>
      <c r="AR43" s="38">
        <f t="shared" si="138"/>
        <v>31.540364100184199</v>
      </c>
      <c r="AS43" s="38"/>
      <c r="AT43" s="38">
        <f t="shared" si="120"/>
        <v>587971188000</v>
      </c>
      <c r="AU43" s="38">
        <f t="shared" si="121"/>
        <v>0</v>
      </c>
      <c r="AV43" s="38">
        <f t="shared" ref="AV43:AW43" si="145">AVERAGE(AT30:AT43)</f>
        <v>114560900384.28572</v>
      </c>
      <c r="AW43" s="38">
        <f t="shared" si="145"/>
        <v>59797749348.64286</v>
      </c>
      <c r="AX43" s="38">
        <f t="shared" si="36"/>
        <v>1.9158062240161173</v>
      </c>
      <c r="AY43" s="38">
        <f t="shared" si="37"/>
        <v>65.704168138353197</v>
      </c>
      <c r="AZ43" s="38">
        <f t="shared" si="52"/>
        <v>58423.199999999997</v>
      </c>
      <c r="BA43" s="38">
        <f t="array" ref="BA43">SUM(ABS((B24:B43-AVERAGE(B24:B43))))/COUNT(B24:B43)</f>
        <v>1196.1599999999992</v>
      </c>
      <c r="BB43" s="38">
        <f t="shared" si="64"/>
        <v>279.66158373461781</v>
      </c>
      <c r="BC43" s="38">
        <f t="shared" si="123"/>
        <v>27980092000</v>
      </c>
      <c r="BD43" s="38">
        <f t="shared" si="38"/>
        <v>5092584512.1765289</v>
      </c>
      <c r="BE43" s="9">
        <f t="shared" si="26"/>
        <v>63441</v>
      </c>
      <c r="BF43" s="9">
        <f t="shared" si="27"/>
        <v>55971</v>
      </c>
      <c r="BG43" s="32">
        <f t="shared" si="28"/>
        <v>1</v>
      </c>
      <c r="BH43" s="34">
        <f t="shared" si="134"/>
        <v>60294.149586315471</v>
      </c>
      <c r="BI43" s="33">
        <f t="shared" si="65"/>
        <v>57413.22866927219</v>
      </c>
      <c r="BJ43" s="27">
        <f t="shared" si="89"/>
        <v>5.017869546474682E-2</v>
      </c>
      <c r="BK43" s="35">
        <f t="shared" si="135"/>
        <v>4717344.8688480332</v>
      </c>
      <c r="BL43" s="36">
        <f t="shared" si="66"/>
        <v>3947123.195847448</v>
      </c>
      <c r="BM43" s="27">
        <f t="shared" si="73"/>
        <v>0.19513494633531916</v>
      </c>
      <c r="BN43" s="38">
        <f t="shared" si="136"/>
        <v>291684715586.91858</v>
      </c>
      <c r="BO43" s="38">
        <f t="shared" si="54"/>
        <v>249306076363.04999</v>
      </c>
      <c r="BP43" s="27">
        <f t="shared" si="68"/>
        <v>0.16998638718358006</v>
      </c>
      <c r="BQ43" s="38">
        <f t="shared" si="124"/>
        <v>3019</v>
      </c>
      <c r="BR43" s="38">
        <f t="shared" si="10"/>
        <v>3019</v>
      </c>
      <c r="BS43" s="38">
        <f t="shared" si="11"/>
        <v>0</v>
      </c>
      <c r="BT43" s="38">
        <f t="shared" si="22"/>
        <v>66.861057113764701</v>
      </c>
      <c r="BU43" s="38">
        <f t="shared" si="17"/>
        <v>365</v>
      </c>
      <c r="BV43" s="38">
        <f t="shared" si="18"/>
        <v>13405</v>
      </c>
      <c r="BW43" s="38">
        <f t="shared" si="19"/>
        <v>583183</v>
      </c>
      <c r="BX43" s="38">
        <f t="shared" si="20"/>
        <v>21336218</v>
      </c>
      <c r="BY43" s="38">
        <f t="shared" si="23"/>
        <v>606.5272727272727</v>
      </c>
      <c r="BZ43" s="38">
        <f t="shared" si="24"/>
        <v>36180.054545454543</v>
      </c>
      <c r="CA43" s="38">
        <f t="shared" si="21"/>
        <v>61047.672727272722</v>
      </c>
      <c r="CB43" s="35">
        <f t="shared" si="55"/>
        <v>630</v>
      </c>
      <c r="CC43" s="35">
        <f t="shared" si="56"/>
        <v>20510</v>
      </c>
      <c r="CD43" s="35">
        <f t="shared" si="57"/>
        <v>1168464</v>
      </c>
      <c r="CE43" s="35">
        <f t="shared" si="58"/>
        <v>36828294</v>
      </c>
      <c r="CF43" s="38">
        <f t="shared" si="69"/>
        <v>32.598496240601506</v>
      </c>
      <c r="CG43" s="38">
        <f t="shared" si="70"/>
        <v>57396.347368421055</v>
      </c>
      <c r="CH43" s="38">
        <f t="shared" si="59"/>
        <v>58732.885714285716</v>
      </c>
      <c r="CI43" s="36">
        <f t="shared" si="103"/>
        <v>795</v>
      </c>
      <c r="CJ43" s="36">
        <f t="shared" si="104"/>
        <v>23315</v>
      </c>
      <c r="CK43" s="36">
        <f t="shared" si="105"/>
        <v>1675206</v>
      </c>
      <c r="CL43" s="36">
        <f t="shared" si="106"/>
        <v>45220922</v>
      </c>
      <c r="CM43" s="38">
        <f t="shared" si="111"/>
        <v>368.39288097886538</v>
      </c>
      <c r="CN43" s="38">
        <f t="shared" si="112"/>
        <v>46077.788654060067</v>
      </c>
      <c r="CO43" s="38">
        <f t="shared" si="107"/>
        <v>61181.896774193548</v>
      </c>
    </row>
    <row r="44" spans="1:93" x14ac:dyDescent="0.25">
      <c r="A44" s="8">
        <v>42</v>
      </c>
      <c r="B44" s="9">
        <f>DATA!H43</f>
        <v>66611</v>
      </c>
      <c r="C44" s="10">
        <f>DATA!C166+DATA!D166</f>
        <v>10892000</v>
      </c>
      <c r="D44" s="10">
        <f t="shared" si="0"/>
        <v>725527012000</v>
      </c>
      <c r="E44" s="10">
        <f t="shared" ref="E44:E62" si="146">AVERAGE(B35:B44)</f>
        <v>59357.599999999999</v>
      </c>
      <c r="F44" s="10">
        <f t="shared" si="45"/>
        <v>58853.35</v>
      </c>
      <c r="G44" s="10">
        <f t="shared" si="99"/>
        <v>56382.333333333336</v>
      </c>
      <c r="H44" s="38">
        <f t="shared" si="60"/>
        <v>60134.744137182002</v>
      </c>
      <c r="I44" s="28">
        <f t="shared" si="25"/>
        <v>59948.664046500831</v>
      </c>
      <c r="J44" s="27">
        <f t="shared" si="82"/>
        <v>56859.91964101958</v>
      </c>
      <c r="K44" s="27">
        <f t="shared" si="83"/>
        <v>3088.7444054812513</v>
      </c>
      <c r="L44" s="27">
        <f t="shared" si="125"/>
        <v>2659.1255572423711</v>
      </c>
      <c r="M44" s="9">
        <f t="shared" si="46"/>
        <v>66611</v>
      </c>
      <c r="N44" s="9">
        <f t="shared" si="47"/>
        <v>55971</v>
      </c>
      <c r="O44" s="38">
        <f t="shared" si="61"/>
        <v>58853.35</v>
      </c>
      <c r="P44" s="38">
        <f t="shared" si="48"/>
        <v>63665.628058258895</v>
      </c>
      <c r="Q44" s="38">
        <f t="shared" si="49"/>
        <v>54041.071941741102</v>
      </c>
      <c r="R44" s="38">
        <f t="shared" si="16"/>
        <v>61855</v>
      </c>
      <c r="S44" s="38">
        <f t="shared" si="84"/>
        <v>57062.5</v>
      </c>
      <c r="T44" s="38">
        <f t="shared" si="85"/>
        <v>59458.75</v>
      </c>
      <c r="V44" s="38">
        <f t="shared" si="86"/>
        <v>47514</v>
      </c>
      <c r="W44" s="10">
        <f t="shared" si="117"/>
        <v>4.9967686511877177E-2</v>
      </c>
      <c r="X44" s="27">
        <f t="shared" si="7"/>
        <v>4.9967686511877177E-2</v>
      </c>
      <c r="Y44" s="27">
        <f t="shared" si="8"/>
        <v>0</v>
      </c>
      <c r="Z44" s="10">
        <f t="shared" ref="Z44:AA44" si="147">AVERAGE(X31:X44)</f>
        <v>1.6286312686450321E-2</v>
      </c>
      <c r="AA44" s="10">
        <f t="shared" si="147"/>
        <v>4.9204518223540106E-3</v>
      </c>
      <c r="AB44" s="38">
        <f t="shared" si="34"/>
        <v>76.797724988594069</v>
      </c>
      <c r="AC44" s="38">
        <f t="shared" si="97"/>
        <v>0.88267580562862702</v>
      </c>
      <c r="AD44" s="38">
        <f t="shared" si="109"/>
        <v>0.61423626194065672</v>
      </c>
      <c r="AE44" s="38">
        <f t="shared" si="29"/>
        <v>58804.142857142855</v>
      </c>
      <c r="AF44" s="38">
        <f t="shared" si="30"/>
        <v>2902.1624790740184</v>
      </c>
      <c r="AG44" s="38">
        <f t="shared" si="31"/>
        <v>2902.1624790740184</v>
      </c>
      <c r="AH44" s="38">
        <f t="shared" si="32"/>
        <v>0</v>
      </c>
      <c r="AI44" s="38">
        <f t="shared" si="91"/>
        <v>1322.6321714113299</v>
      </c>
      <c r="AJ44" s="38">
        <f t="shared" si="92"/>
        <v>771.83791909398485</v>
      </c>
      <c r="AK44" s="38">
        <f t="shared" si="101"/>
        <v>63.148773401305995</v>
      </c>
      <c r="AL44" s="38">
        <f t="shared" si="119"/>
        <v>3170</v>
      </c>
      <c r="AM44" s="38">
        <f t="shared" si="93"/>
        <v>765.88299440313131</v>
      </c>
      <c r="AN44" s="38">
        <f t="shared" si="141"/>
        <v>391.09328344387819</v>
      </c>
      <c r="AO44" s="38">
        <f t="shared" si="9"/>
        <v>3170</v>
      </c>
      <c r="AP44" s="38">
        <f t="shared" si="94"/>
        <v>1330.6936433860985</v>
      </c>
      <c r="AQ44" s="38">
        <f t="shared" si="142"/>
        <v>1083.1814488750992</v>
      </c>
      <c r="AR44" s="38">
        <f t="shared" si="138"/>
        <v>36.105980567709558</v>
      </c>
      <c r="AS44" s="38"/>
      <c r="AT44" s="38">
        <f t="shared" si="120"/>
        <v>725527012000</v>
      </c>
      <c r="AU44" s="38">
        <f t="shared" si="121"/>
        <v>0</v>
      </c>
      <c r="AV44" s="38">
        <f t="shared" ref="AV44:AW44" si="148">AVERAGE(AT31:AT44)</f>
        <v>166384258384.28571</v>
      </c>
      <c r="AW44" s="38">
        <f t="shared" si="148"/>
        <v>45006829782.428574</v>
      </c>
      <c r="AX44" s="38">
        <f t="shared" si="36"/>
        <v>3.6968668797295501</v>
      </c>
      <c r="AY44" s="38">
        <f t="shared" si="37"/>
        <v>78.709211361392022</v>
      </c>
      <c r="AZ44" s="38">
        <f t="shared" si="52"/>
        <v>58853.35</v>
      </c>
      <c r="BA44" s="38">
        <f t="array" ref="BA44">SUM(ABS((B25:B44-AVERAGE(B25:B44))))/COUNT(B25:B44)</f>
        <v>1695.9549999999995</v>
      </c>
      <c r="BB44" s="38">
        <f t="shared" si="64"/>
        <v>304.94716349588697</v>
      </c>
      <c r="BC44" s="38">
        <f t="shared" si="123"/>
        <v>34527640000</v>
      </c>
      <c r="BD44" s="38">
        <f t="shared" si="38"/>
        <v>9297592439.0084534</v>
      </c>
      <c r="BE44" s="9">
        <f t="shared" si="26"/>
        <v>66611</v>
      </c>
      <c r="BF44" s="9">
        <f t="shared" si="27"/>
        <v>55971</v>
      </c>
      <c r="BG44" s="32">
        <f t="shared" si="28"/>
        <v>1</v>
      </c>
      <c r="BH44" s="34">
        <f t="shared" si="134"/>
        <v>62399.766390876983</v>
      </c>
      <c r="BI44" s="33">
        <f t="shared" si="65"/>
        <v>58289.206891246264</v>
      </c>
      <c r="BJ44" s="27">
        <f t="shared" si="89"/>
        <v>7.0520079425682378E-2</v>
      </c>
      <c r="BK44" s="35">
        <f t="shared" si="135"/>
        <v>6775563.2458986882</v>
      </c>
      <c r="BL44" s="36">
        <f t="shared" si="66"/>
        <v>4608540.0343381669</v>
      </c>
      <c r="BM44" s="27">
        <f t="shared" si="73"/>
        <v>0.47021902715698721</v>
      </c>
      <c r="BN44" s="38">
        <f t="shared" si="136"/>
        <v>436298814391.27905</v>
      </c>
      <c r="BO44" s="38">
        <f t="shared" si="54"/>
        <v>265688583363.04999</v>
      </c>
      <c r="BP44" s="27">
        <f t="shared" si="68"/>
        <v>0.6421436287124872</v>
      </c>
      <c r="BQ44" s="38">
        <f t="shared" si="124"/>
        <v>3170</v>
      </c>
      <c r="BR44" s="38">
        <f t="shared" si="10"/>
        <v>3170</v>
      </c>
      <c r="BS44" s="38">
        <f t="shared" si="11"/>
        <v>0</v>
      </c>
      <c r="BT44" s="38">
        <f t="shared" si="22"/>
        <v>77.517120792656272</v>
      </c>
      <c r="BU44" s="38">
        <f t="shared" ref="BU44:BU62" si="149">SUM(A35:A44)</f>
        <v>375</v>
      </c>
      <c r="BV44" s="38">
        <f t="shared" ref="BV44:BV62" si="150">(A35*A35)+(A36*A36)+(A37*A37)+(A38*A38)+(A39*A39)+(A40*A40)+(A41*A41)+(A42*A42)+(A43*A43)+(A44*A44)</f>
        <v>14145</v>
      </c>
      <c r="BW44" s="38">
        <f t="shared" ref="BW44:BW62" si="151">SUM(B35:B44)</f>
        <v>593576</v>
      </c>
      <c r="BX44" s="38">
        <f t="shared" ref="BX44:BX62" si="152">(A35*B35)+(A36*B36)+(A37*B37)+(A38*B38)+(A39*B39)+(A40*B40)+(A41*B41)+(A42*B42)+(A43*B43)+(A44*B44)</f>
        <v>22334904</v>
      </c>
      <c r="BY44" s="38">
        <f t="shared" si="23"/>
        <v>918.83636363636367</v>
      </c>
      <c r="BZ44" s="38">
        <f t="shared" si="24"/>
        <v>24901.236363636363</v>
      </c>
      <c r="CA44" s="38">
        <f t="shared" ref="CA44:CA62" si="153">BY44*A44+BZ44</f>
        <v>63492.363636363632</v>
      </c>
      <c r="CB44" s="35">
        <f t="shared" si="55"/>
        <v>650</v>
      </c>
      <c r="CC44" s="35">
        <f t="shared" si="56"/>
        <v>21790</v>
      </c>
      <c r="CD44" s="35">
        <f t="shared" si="57"/>
        <v>1177067</v>
      </c>
      <c r="CE44" s="35">
        <f t="shared" si="58"/>
        <v>38349780</v>
      </c>
      <c r="CF44" s="38">
        <f t="shared" si="69"/>
        <v>143.01127819548873</v>
      </c>
      <c r="CG44" s="38">
        <f t="shared" si="70"/>
        <v>54205.483458646617</v>
      </c>
      <c r="CH44" s="38">
        <f t="shared" si="59"/>
        <v>60211.957142857143</v>
      </c>
      <c r="CI44" s="36">
        <f t="shared" si="103"/>
        <v>825</v>
      </c>
      <c r="CJ44" s="36">
        <f t="shared" si="104"/>
        <v>24935</v>
      </c>
      <c r="CK44" s="36">
        <f t="shared" si="105"/>
        <v>1691470</v>
      </c>
      <c r="CL44" s="36">
        <f t="shared" si="106"/>
        <v>47414420</v>
      </c>
      <c r="CM44" s="38">
        <f t="shared" si="111"/>
        <v>399.99777530589546</v>
      </c>
      <c r="CN44" s="38">
        <f t="shared" si="112"/>
        <v>45382.394512421211</v>
      </c>
      <c r="CO44" s="38">
        <f t="shared" si="107"/>
        <v>62182.301075268821</v>
      </c>
    </row>
    <row r="45" spans="1:93" x14ac:dyDescent="0.25">
      <c r="A45" s="8">
        <v>43</v>
      </c>
      <c r="B45" s="9">
        <f>DATA!H44</f>
        <v>69398</v>
      </c>
      <c r="C45" s="10">
        <f>DATA!C157+DATA!D157</f>
        <v>6506000</v>
      </c>
      <c r="D45" s="10">
        <f t="shared" si="0"/>
        <v>451503388000</v>
      </c>
      <c r="E45" s="10">
        <f t="shared" si="146"/>
        <v>60700.3</v>
      </c>
      <c r="F45" s="10">
        <f t="shared" si="45"/>
        <v>59323.3</v>
      </c>
      <c r="G45" s="10">
        <f t="shared" si="99"/>
        <v>56994.533333333333</v>
      </c>
      <c r="H45" s="38">
        <f t="shared" si="60"/>
        <v>60854.741304230884</v>
      </c>
      <c r="I45" s="28">
        <f t="shared" si="25"/>
        <v>61402.408039346854</v>
      </c>
      <c r="J45" s="27">
        <f t="shared" si="82"/>
        <v>57788.66633427739</v>
      </c>
      <c r="K45" s="27">
        <f t="shared" si="83"/>
        <v>3613.7417050694639</v>
      </c>
      <c r="L45" s="27">
        <f t="shared" si="125"/>
        <v>2728.1816813049863</v>
      </c>
      <c r="M45" s="9">
        <f t="shared" si="46"/>
        <v>69398</v>
      </c>
      <c r="N45" s="9">
        <f t="shared" si="47"/>
        <v>55971</v>
      </c>
      <c r="O45" s="38">
        <f t="shared" si="61"/>
        <v>59323.3</v>
      </c>
      <c r="P45" s="38">
        <f t="shared" si="48"/>
        <v>65975.36990642763</v>
      </c>
      <c r="Q45" s="38">
        <f t="shared" si="49"/>
        <v>52671.230093572383</v>
      </c>
      <c r="R45" s="38">
        <f t="shared" si="16"/>
        <v>63248.5</v>
      </c>
      <c r="S45" s="38">
        <f t="shared" si="84"/>
        <v>58931</v>
      </c>
      <c r="T45" s="38">
        <f t="shared" si="85"/>
        <v>61089.75</v>
      </c>
      <c r="V45" s="38">
        <f t="shared" si="86"/>
        <v>48464</v>
      </c>
      <c r="W45" s="10">
        <f t="shared" si="117"/>
        <v>4.183993634684962E-2</v>
      </c>
      <c r="X45" s="27">
        <f t="shared" si="7"/>
        <v>4.183993634684962E-2</v>
      </c>
      <c r="Y45" s="27">
        <f t="shared" si="8"/>
        <v>0</v>
      </c>
      <c r="Z45" s="10">
        <f t="shared" ref="Z45:AA45" si="154">AVERAGE(X32:X45)</f>
        <v>1.7969853905782977E-2</v>
      </c>
      <c r="AA45" s="10">
        <f t="shared" si="154"/>
        <v>4.9204518223540106E-3</v>
      </c>
      <c r="AB45" s="38">
        <f t="shared" si="34"/>
        <v>78.504210993102888</v>
      </c>
      <c r="AC45" s="38">
        <f t="shared" si="97"/>
        <v>0.92638760128443443</v>
      </c>
      <c r="AD45" s="38">
        <f t="shared" si="109"/>
        <v>0.810636514854714</v>
      </c>
      <c r="AE45" s="38">
        <f t="shared" si="29"/>
        <v>59609</v>
      </c>
      <c r="AF45" s="38">
        <f t="shared" si="30"/>
        <v>4040.1763289775818</v>
      </c>
      <c r="AG45" s="38">
        <f t="shared" si="31"/>
        <v>4040.1763289775818</v>
      </c>
      <c r="AH45" s="38">
        <f t="shared" si="32"/>
        <v>0</v>
      </c>
      <c r="AI45" s="38">
        <f t="shared" si="91"/>
        <v>1279.2893233212269</v>
      </c>
      <c r="AJ45" s="38">
        <f t="shared" si="92"/>
        <v>771.83791909398485</v>
      </c>
      <c r="AK45" s="38">
        <f t="shared" si="101"/>
        <v>62.370061538203636</v>
      </c>
      <c r="AL45" s="38">
        <f t="shared" si="119"/>
        <v>2787</v>
      </c>
      <c r="AM45" s="38">
        <f t="shared" si="93"/>
        <v>921.35353329519808</v>
      </c>
      <c r="AN45" s="38">
        <f t="shared" si="141"/>
        <v>466.84474770835249</v>
      </c>
      <c r="AO45" s="38">
        <f t="shared" si="9"/>
        <v>2787</v>
      </c>
      <c r="AP45" s="38">
        <f t="shared" si="94"/>
        <v>1442.7172092794756</v>
      </c>
      <c r="AQ45" s="38">
        <f t="shared" si="142"/>
        <v>1134.5437003614388</v>
      </c>
      <c r="AR45" s="38">
        <f t="shared" si="138"/>
        <v>41.148238499726965</v>
      </c>
      <c r="AS45" s="38"/>
      <c r="AT45" s="38">
        <f t="shared" si="120"/>
        <v>451503388000</v>
      </c>
      <c r="AU45" s="38">
        <f t="shared" si="121"/>
        <v>0</v>
      </c>
      <c r="AV45" s="38">
        <f t="shared" ref="AV45:AW45" si="155">AVERAGE(AT32:AT45)</f>
        <v>182144688545.71429</v>
      </c>
      <c r="AW45" s="38">
        <f t="shared" si="155"/>
        <v>45006829782.428574</v>
      </c>
      <c r="AX45" s="38">
        <f t="shared" si="36"/>
        <v>4.047045513452864</v>
      </c>
      <c r="AY45" s="38">
        <f t="shared" si="37"/>
        <v>80.186427934233862</v>
      </c>
      <c r="AZ45" s="38">
        <f t="shared" si="52"/>
        <v>59323.3</v>
      </c>
      <c r="BA45" s="38">
        <f t="array" ref="BA45">SUM(ABS((B26:B45-AVERAGE(B26:B45))))/COUNT(B26:B45)</f>
        <v>2332.5200000000013</v>
      </c>
      <c r="BB45" s="38">
        <f t="shared" si="64"/>
        <v>287.94894220271038</v>
      </c>
      <c r="BC45" s="38">
        <f t="shared" si="123"/>
        <v>18132222000</v>
      </c>
      <c r="BD45" s="38">
        <f t="shared" si="38"/>
        <v>10559682376.292959</v>
      </c>
      <c r="BE45" s="9">
        <f t="shared" si="26"/>
        <v>69398</v>
      </c>
      <c r="BF45" s="9">
        <f t="shared" si="27"/>
        <v>55971</v>
      </c>
      <c r="BG45" s="32">
        <f t="shared" si="28"/>
        <v>1</v>
      </c>
      <c r="BH45" s="34">
        <f t="shared" si="134"/>
        <v>64732.510927251322</v>
      </c>
      <c r="BI45" s="33">
        <f t="shared" si="65"/>
        <v>59347.18718731805</v>
      </c>
      <c r="BJ45" s="27">
        <f t="shared" si="89"/>
        <v>9.0742695570988519E-2</v>
      </c>
      <c r="BK45" s="35">
        <f t="shared" si="135"/>
        <v>6685708.8305991255</v>
      </c>
      <c r="BL45" s="36">
        <f t="shared" si="66"/>
        <v>4789250.5072583416</v>
      </c>
      <c r="BM45" s="27">
        <f t="shared" si="73"/>
        <v>0.39598227749135467</v>
      </c>
      <c r="BN45" s="38">
        <f t="shared" si="136"/>
        <v>441367005594.18604</v>
      </c>
      <c r="BO45" s="38">
        <f t="shared" si="54"/>
        <v>260079222513.04999</v>
      </c>
      <c r="BP45" s="27">
        <f t="shared" si="68"/>
        <v>0.69704831216203589</v>
      </c>
      <c r="BQ45" s="38">
        <f t="shared" si="124"/>
        <v>2787</v>
      </c>
      <c r="BR45" s="38">
        <f t="shared" si="10"/>
        <v>2787</v>
      </c>
      <c r="BS45" s="38">
        <f t="shared" si="11"/>
        <v>0</v>
      </c>
      <c r="BT45" s="38">
        <f t="shared" si="22"/>
        <v>78.81658429434377</v>
      </c>
      <c r="BU45" s="38">
        <f t="shared" si="149"/>
        <v>385</v>
      </c>
      <c r="BV45" s="38">
        <f t="shared" si="150"/>
        <v>14905</v>
      </c>
      <c r="BW45" s="38">
        <f t="shared" si="151"/>
        <v>607003</v>
      </c>
      <c r="BX45" s="38">
        <f t="shared" si="152"/>
        <v>23471975</v>
      </c>
      <c r="BY45" s="38">
        <f t="shared" si="23"/>
        <v>1240.7212121212121</v>
      </c>
      <c r="BZ45" s="38">
        <f t="shared" si="24"/>
        <v>12932.533333333333</v>
      </c>
      <c r="CA45" s="38">
        <f t="shared" si="153"/>
        <v>66283.545454545456</v>
      </c>
      <c r="CB45" s="35">
        <f t="shared" si="55"/>
        <v>670</v>
      </c>
      <c r="CC45" s="35">
        <f t="shared" si="56"/>
        <v>23110</v>
      </c>
      <c r="CD45" s="35">
        <f t="shared" si="57"/>
        <v>1186466</v>
      </c>
      <c r="CE45" s="35">
        <f t="shared" si="58"/>
        <v>39953917</v>
      </c>
      <c r="CF45" s="38">
        <f t="shared" si="69"/>
        <v>311.73834586466165</v>
      </c>
      <c r="CG45" s="38">
        <f t="shared" si="70"/>
        <v>48880.065413533834</v>
      </c>
      <c r="CH45" s="38">
        <f t="shared" si="59"/>
        <v>62284.814285714281</v>
      </c>
      <c r="CI45" s="36">
        <f t="shared" si="103"/>
        <v>855</v>
      </c>
      <c r="CJ45" s="36">
        <f t="shared" si="104"/>
        <v>26615</v>
      </c>
      <c r="CK45" s="36">
        <f t="shared" si="105"/>
        <v>1709836</v>
      </c>
      <c r="CL45" s="36">
        <f t="shared" si="106"/>
        <v>49735118</v>
      </c>
      <c r="CM45" s="38">
        <f t="shared" si="111"/>
        <v>447.07096774193548</v>
      </c>
      <c r="CN45" s="38">
        <f t="shared" si="112"/>
        <v>44253.010752688169</v>
      </c>
      <c r="CO45" s="38">
        <f t="shared" si="107"/>
        <v>63477.062365591395</v>
      </c>
    </row>
    <row r="46" spans="1:93" x14ac:dyDescent="0.25">
      <c r="A46" s="8">
        <v>44</v>
      </c>
      <c r="B46" s="9">
        <f>DATA!H45</f>
        <v>69018</v>
      </c>
      <c r="C46" s="10">
        <f>DATA!C148+DATA!D148</f>
        <v>4258000</v>
      </c>
      <c r="D46" s="10">
        <f t="shared" si="0"/>
        <v>293878644000</v>
      </c>
      <c r="E46" s="10">
        <f t="shared" si="146"/>
        <v>61810.5</v>
      </c>
      <c r="F46" s="10">
        <f t="shared" si="45"/>
        <v>59785.1</v>
      </c>
      <c r="G46" s="10">
        <f t="shared" si="99"/>
        <v>57614.8</v>
      </c>
      <c r="H46" s="38">
        <f t="shared" si="60"/>
        <v>61316.956216517705</v>
      </c>
      <c r="I46" s="28">
        <f t="shared" si="25"/>
        <v>62574.037571755027</v>
      </c>
      <c r="J46" s="27">
        <f t="shared" si="82"/>
        <v>58620.468828034624</v>
      </c>
      <c r="K46" s="27">
        <f t="shared" si="83"/>
        <v>3953.5687437204033</v>
      </c>
      <c r="L46" s="27">
        <f t="shared" si="125"/>
        <v>2856.8399169896938</v>
      </c>
      <c r="M46" s="9">
        <f t="shared" si="46"/>
        <v>69398</v>
      </c>
      <c r="N46" s="9">
        <f t="shared" si="47"/>
        <v>55971</v>
      </c>
      <c r="O46" s="38">
        <f t="shared" si="61"/>
        <v>59785.1</v>
      </c>
      <c r="P46" s="38">
        <f t="shared" si="48"/>
        <v>67668.776652425571</v>
      </c>
      <c r="Q46" s="38">
        <f t="shared" si="49"/>
        <v>51901.423347574433</v>
      </c>
      <c r="R46" s="38">
        <f t="shared" si="16"/>
        <v>63501.5</v>
      </c>
      <c r="S46" s="38">
        <f t="shared" si="84"/>
        <v>60142.5</v>
      </c>
      <c r="T46" s="38">
        <f t="shared" si="85"/>
        <v>61822</v>
      </c>
      <c r="V46" s="38">
        <f t="shared" si="86"/>
        <v>50887</v>
      </c>
      <c r="W46" s="10">
        <f t="shared" si="117"/>
        <v>-5.4756621228277472E-3</v>
      </c>
      <c r="X46" s="27">
        <f t="shared" si="7"/>
        <v>0</v>
      </c>
      <c r="Y46" s="27">
        <f t="shared" si="8"/>
        <v>5.4756621228277472E-3</v>
      </c>
      <c r="Z46" s="10">
        <f t="shared" ref="Z46:AA46" si="156">AVERAGE(X33:X46)</f>
        <v>1.7969853905782977E-2</v>
      </c>
      <c r="AA46" s="10">
        <f t="shared" si="156"/>
        <v>4.5657053663809167E-3</v>
      </c>
      <c r="AB46" s="38">
        <f t="shared" si="34"/>
        <v>79.739995305905225</v>
      </c>
      <c r="AC46" s="38">
        <f t="shared" si="97"/>
        <v>0.95804232989817206</v>
      </c>
      <c r="AD46" s="38">
        <f t="shared" si="109"/>
        <v>0.92236857893707791</v>
      </c>
      <c r="AE46" s="38">
        <f t="shared" si="29"/>
        <v>60430.071428571428</v>
      </c>
      <c r="AF46" s="38">
        <f t="shared" si="30"/>
        <v>4698.1092017351593</v>
      </c>
      <c r="AG46" s="38">
        <f t="shared" si="31"/>
        <v>0</v>
      </c>
      <c r="AH46" s="38">
        <f t="shared" si="32"/>
        <v>4698.1092017351593</v>
      </c>
      <c r="AI46" s="38">
        <f t="shared" si="91"/>
        <v>1279.2893233212269</v>
      </c>
      <c r="AJ46" s="38">
        <f t="shared" si="92"/>
        <v>806.00869368338681</v>
      </c>
      <c r="AK46" s="38">
        <f t="shared" si="101"/>
        <v>61.348033369294491</v>
      </c>
      <c r="AL46" s="38">
        <f t="shared" si="119"/>
        <v>-380</v>
      </c>
      <c r="AM46" s="38">
        <f t="shared" si="93"/>
        <v>821.24941534941365</v>
      </c>
      <c r="AN46" s="38">
        <f t="shared" si="141"/>
        <v>517.4739859427898</v>
      </c>
      <c r="AO46" s="38">
        <f t="shared" si="9"/>
        <v>380</v>
      </c>
      <c r="AP46" s="38">
        <f t="shared" si="94"/>
        <v>1360.9697316425929</v>
      </c>
      <c r="AQ46" s="38">
        <f t="shared" si="142"/>
        <v>1166.8902762587466</v>
      </c>
      <c r="AR46" s="38">
        <f t="shared" si="138"/>
        <v>44.346413409313982</v>
      </c>
      <c r="AS46" s="38"/>
      <c r="AT46" s="38">
        <f t="shared" si="120"/>
        <v>0</v>
      </c>
      <c r="AU46" s="38">
        <f t="shared" si="121"/>
        <v>293878644000</v>
      </c>
      <c r="AV46" s="38">
        <f t="shared" ref="AV46:AW46" si="157">AVERAGE(AT33:AT46)</f>
        <v>182144688545.71429</v>
      </c>
      <c r="AW46" s="38">
        <f t="shared" si="157"/>
        <v>55666845801.35714</v>
      </c>
      <c r="AX46" s="38">
        <f t="shared" si="36"/>
        <v>3.2720497438580161</v>
      </c>
      <c r="AY46" s="38">
        <f t="shared" si="37"/>
        <v>76.59203286577565</v>
      </c>
      <c r="AZ46" s="38">
        <f t="shared" si="52"/>
        <v>59785.1</v>
      </c>
      <c r="BA46" s="38">
        <f t="array" ref="BA46">SUM(ABS((B27:B46-AVERAGE(B27:B46))))/COUNT(B27:B46)</f>
        <v>2996.4499999999994</v>
      </c>
      <c r="BB46" s="38">
        <f t="shared" si="64"/>
        <v>205.41863427277843</v>
      </c>
      <c r="BC46" s="38">
        <f t="shared" si="123"/>
        <v>-1618040000</v>
      </c>
      <c r="BD46" s="38">
        <f t="shared" si="38"/>
        <v>8820007751.1082516</v>
      </c>
      <c r="BE46" s="9">
        <f t="shared" si="26"/>
        <v>69398</v>
      </c>
      <c r="BF46" s="9">
        <f t="shared" si="27"/>
        <v>55971</v>
      </c>
      <c r="BG46" s="32">
        <f t="shared" si="28"/>
        <v>0.97169881581887241</v>
      </c>
      <c r="BH46" s="34">
        <f t="shared" si="134"/>
        <v>66161.00728483421</v>
      </c>
      <c r="BI46" s="33">
        <f t="shared" si="65"/>
        <v>60268.216979002042</v>
      </c>
      <c r="BJ46" s="27">
        <f t="shared" si="89"/>
        <v>9.7776084994936327E-2</v>
      </c>
      <c r="BK46" s="35">
        <f t="shared" si="135"/>
        <v>5876472.55373275</v>
      </c>
      <c r="BL46" s="36">
        <f t="shared" si="66"/>
        <v>4738655.2208527857</v>
      </c>
      <c r="BM46" s="27">
        <f t="shared" si="73"/>
        <v>0.24011397323715788</v>
      </c>
      <c r="BN46" s="38">
        <f t="shared" si="136"/>
        <v>392204218396.12402</v>
      </c>
      <c r="BO46" s="38">
        <f t="shared" si="54"/>
        <v>261692853113.04999</v>
      </c>
      <c r="BP46" s="27">
        <f t="shared" si="68"/>
        <v>0.49871963918974044</v>
      </c>
      <c r="BQ46" s="38">
        <f t="shared" si="124"/>
        <v>-380</v>
      </c>
      <c r="BR46" s="38">
        <f t="shared" si="10"/>
        <v>0</v>
      </c>
      <c r="BS46" s="38">
        <f t="shared" si="11"/>
        <v>380</v>
      </c>
      <c r="BT46" s="38">
        <f t="shared" si="22"/>
        <v>84.346472294954353</v>
      </c>
      <c r="BU46" s="38">
        <f t="shared" si="149"/>
        <v>395</v>
      </c>
      <c r="BV46" s="38">
        <f t="shared" si="150"/>
        <v>15685</v>
      </c>
      <c r="BW46" s="38">
        <f t="shared" si="151"/>
        <v>618105</v>
      </c>
      <c r="BX46" s="38">
        <f t="shared" si="152"/>
        <v>24539623</v>
      </c>
      <c r="BY46" s="38">
        <f t="shared" si="23"/>
        <v>1508.7939393939394</v>
      </c>
      <c r="BZ46" s="38">
        <f t="shared" si="24"/>
        <v>2213.1393939393938</v>
      </c>
      <c r="CA46" s="38">
        <f t="shared" si="153"/>
        <v>68600.072727272724</v>
      </c>
      <c r="CB46" s="35">
        <f t="shared" si="55"/>
        <v>690</v>
      </c>
      <c r="CC46" s="35">
        <f t="shared" si="56"/>
        <v>24470</v>
      </c>
      <c r="CD46" s="35">
        <f t="shared" si="57"/>
        <v>1195702</v>
      </c>
      <c r="CE46" s="35">
        <f t="shared" si="58"/>
        <v>41555941</v>
      </c>
      <c r="CF46" s="38">
        <f t="shared" si="69"/>
        <v>457.47669172932331</v>
      </c>
      <c r="CG46" s="38">
        <f t="shared" si="70"/>
        <v>44002.154135338344</v>
      </c>
      <c r="CH46" s="38">
        <f t="shared" si="59"/>
        <v>64131.12857142857</v>
      </c>
      <c r="CI46" s="36">
        <f t="shared" si="103"/>
        <v>885</v>
      </c>
      <c r="CJ46" s="36">
        <f t="shared" si="104"/>
        <v>28355</v>
      </c>
      <c r="CK46" s="36">
        <f t="shared" si="105"/>
        <v>1728444</v>
      </c>
      <c r="CL46" s="36">
        <f t="shared" si="106"/>
        <v>52066170</v>
      </c>
      <c r="CM46" s="38">
        <f t="shared" si="111"/>
        <v>479.23114571746385</v>
      </c>
      <c r="CN46" s="38">
        <f t="shared" si="112"/>
        <v>43477.48120133482</v>
      </c>
      <c r="CO46" s="38">
        <f t="shared" si="107"/>
        <v>64563.651612903224</v>
      </c>
    </row>
    <row r="47" spans="1:93" x14ac:dyDescent="0.25">
      <c r="A47" s="8">
        <v>45</v>
      </c>
      <c r="B47" s="9">
        <f>DATA!H46</f>
        <v>69775</v>
      </c>
      <c r="C47" s="10">
        <f>DATA!C139+DATA!D139</f>
        <v>2530000</v>
      </c>
      <c r="D47" s="10">
        <f t="shared" si="0"/>
        <v>176530750000</v>
      </c>
      <c r="E47" s="10">
        <f t="shared" si="146"/>
        <v>63078.1</v>
      </c>
      <c r="F47" s="10">
        <f t="shared" si="45"/>
        <v>60293.3</v>
      </c>
      <c r="G47" s="10">
        <f t="shared" si="99"/>
        <v>58262.23333333333</v>
      </c>
      <c r="H47" s="38">
        <f t="shared" si="60"/>
        <v>61772.347728266046</v>
      </c>
      <c r="I47" s="28">
        <f t="shared" si="25"/>
        <v>63681.87794533118</v>
      </c>
      <c r="J47" s="27">
        <f t="shared" si="82"/>
        <v>59446.730396328356</v>
      </c>
      <c r="K47" s="27">
        <f t="shared" si="83"/>
        <v>4235.1475490028242</v>
      </c>
      <c r="L47" s="27">
        <f t="shared" si="125"/>
        <v>3032.9535277234777</v>
      </c>
      <c r="M47" s="9">
        <f t="shared" si="46"/>
        <v>69775</v>
      </c>
      <c r="N47" s="9">
        <f t="shared" si="47"/>
        <v>55971</v>
      </c>
      <c r="O47" s="38">
        <f t="shared" si="61"/>
        <v>60293.3</v>
      </c>
      <c r="P47" s="38">
        <f t="shared" si="48"/>
        <v>69297.34613715412</v>
      </c>
      <c r="Q47" s="38">
        <f t="shared" si="49"/>
        <v>51289.253862845886</v>
      </c>
      <c r="R47" s="38">
        <f t="shared" si="16"/>
        <v>63825.5</v>
      </c>
      <c r="S47" s="38">
        <f t="shared" si="84"/>
        <v>61603</v>
      </c>
      <c r="T47" s="38">
        <f t="shared" si="85"/>
        <v>62714.25</v>
      </c>
      <c r="V47" s="38">
        <f t="shared" si="86"/>
        <v>53431</v>
      </c>
      <c r="W47" s="10">
        <f t="shared" si="117"/>
        <v>1.096815323538787E-2</v>
      </c>
      <c r="X47" s="27">
        <f t="shared" si="7"/>
        <v>1.096815323538787E-2</v>
      </c>
      <c r="Y47" s="27">
        <f t="shared" si="8"/>
        <v>0</v>
      </c>
      <c r="Z47" s="10">
        <f t="shared" ref="Z47:AA47" si="158">AVERAGE(X34:X47)</f>
        <v>1.8395672495811827E-2</v>
      </c>
      <c r="AA47" s="10">
        <f t="shared" si="158"/>
        <v>4.5657053663809167E-3</v>
      </c>
      <c r="AB47" s="38">
        <f t="shared" si="34"/>
        <v>80.115716949640813</v>
      </c>
      <c r="AC47" s="38">
        <f t="shared" si="97"/>
        <v>1</v>
      </c>
      <c r="AD47" s="38">
        <f t="shared" si="109"/>
        <v>0.9614766437275355</v>
      </c>
      <c r="AE47" s="38">
        <f t="shared" si="29"/>
        <v>61284.642857142855</v>
      </c>
      <c r="AF47" s="38">
        <f t="shared" si="30"/>
        <v>5241.7191338359571</v>
      </c>
      <c r="AG47" s="38">
        <f t="shared" si="31"/>
        <v>5241.7191338359571</v>
      </c>
      <c r="AH47" s="38">
        <f t="shared" si="32"/>
        <v>0</v>
      </c>
      <c r="AI47" s="38">
        <f t="shared" si="91"/>
        <v>1406.5487129432306</v>
      </c>
      <c r="AJ47" s="38">
        <f t="shared" si="92"/>
        <v>806.00869368338681</v>
      </c>
      <c r="AK47" s="38">
        <f t="shared" si="101"/>
        <v>63.571173734548644</v>
      </c>
      <c r="AL47" s="38">
        <f t="shared" si="119"/>
        <v>757</v>
      </c>
      <c r="AM47" s="38">
        <f t="shared" si="93"/>
        <v>816.30715263022796</v>
      </c>
      <c r="AN47" s="38">
        <f t="shared" si="141"/>
        <v>560.1644383267095</v>
      </c>
      <c r="AO47" s="38">
        <f t="shared" si="9"/>
        <v>757</v>
      </c>
      <c r="AP47" s="38">
        <f t="shared" si="94"/>
        <v>1314.5105215162396</v>
      </c>
      <c r="AQ47" s="38">
        <f t="shared" si="142"/>
        <v>1187.9788827241027</v>
      </c>
      <c r="AR47" s="38">
        <f t="shared" si="138"/>
        <v>47.152726910618206</v>
      </c>
      <c r="AS47" s="38"/>
      <c r="AT47" s="38">
        <f t="shared" si="120"/>
        <v>176530750000</v>
      </c>
      <c r="AU47" s="38">
        <f t="shared" si="121"/>
        <v>0</v>
      </c>
      <c r="AV47" s="38">
        <f t="shared" ref="AV47:AW47" si="159">AVERAGE(AT34:AT47)</f>
        <v>183989367740.64285</v>
      </c>
      <c r="AW47" s="38">
        <f t="shared" si="159"/>
        <v>55666845801.35714</v>
      </c>
      <c r="AX47" s="38">
        <f t="shared" si="36"/>
        <v>3.3051875868303151</v>
      </c>
      <c r="AY47" s="38">
        <f t="shared" si="37"/>
        <v>76.772208415284226</v>
      </c>
      <c r="AZ47" s="38">
        <f t="shared" si="52"/>
        <v>60293.3</v>
      </c>
      <c r="BA47" s="38">
        <f t="array" ref="BA47">SUM(ABS((B28:B47-AVERAGE(B28:B47))))/COUNT(B28:B47)</f>
        <v>3690.5200000000013</v>
      </c>
      <c r="BB47" s="38">
        <f t="shared" si="64"/>
        <v>171.28028931785573</v>
      </c>
      <c r="BC47" s="38">
        <f t="shared" si="123"/>
        <v>1915210000</v>
      </c>
      <c r="BD47" s="38">
        <f t="shared" si="38"/>
        <v>7833608072.3785019</v>
      </c>
      <c r="BE47" s="9">
        <f t="shared" si="26"/>
        <v>69775</v>
      </c>
      <c r="BF47" s="9">
        <f t="shared" si="27"/>
        <v>55971</v>
      </c>
      <c r="BG47" s="32">
        <f t="shared" si="28"/>
        <v>1</v>
      </c>
      <c r="BH47" s="34">
        <f t="shared" si="134"/>
        <v>67365.671523222802</v>
      </c>
      <c r="BI47" s="33">
        <f t="shared" si="65"/>
        <v>61173.624885763755</v>
      </c>
      <c r="BJ47" s="27">
        <f t="shared" si="89"/>
        <v>0.10122085537716846</v>
      </c>
      <c r="BK47" s="35">
        <f t="shared" si="135"/>
        <v>4760981.7024885006</v>
      </c>
      <c r="BL47" s="36">
        <f t="shared" si="66"/>
        <v>4528307.1045810916</v>
      </c>
      <c r="BM47" s="27">
        <f t="shared" si="73"/>
        <v>5.1382247832092103E-2</v>
      </c>
      <c r="BN47" s="38">
        <f t="shared" si="136"/>
        <v>320313062264.0827</v>
      </c>
      <c r="BO47" s="38">
        <f t="shared" si="54"/>
        <v>244835991263.04999</v>
      </c>
      <c r="BP47" s="27">
        <f t="shared" si="68"/>
        <v>0.30827604475822634</v>
      </c>
      <c r="BQ47" s="38">
        <f t="shared" si="124"/>
        <v>757</v>
      </c>
      <c r="BR47" s="38">
        <f t="shared" si="10"/>
        <v>757</v>
      </c>
      <c r="BS47" s="38">
        <f t="shared" si="11"/>
        <v>0</v>
      </c>
      <c r="BT47" s="38">
        <f t="shared" si="22"/>
        <v>84.619663468224175</v>
      </c>
      <c r="BU47" s="38">
        <f t="shared" si="149"/>
        <v>405</v>
      </c>
      <c r="BV47" s="38">
        <f t="shared" si="150"/>
        <v>16485</v>
      </c>
      <c r="BW47" s="38">
        <f t="shared" si="151"/>
        <v>630781</v>
      </c>
      <c r="BX47" s="38">
        <f t="shared" si="152"/>
        <v>25681033</v>
      </c>
      <c r="BY47" s="38">
        <f t="shared" si="23"/>
        <v>1629.121212121212</v>
      </c>
      <c r="BZ47" s="38">
        <f t="shared" si="24"/>
        <v>-2901.3090909090911</v>
      </c>
      <c r="CA47" s="38">
        <f t="shared" si="153"/>
        <v>70409.145454545447</v>
      </c>
      <c r="CB47" s="35">
        <f t="shared" si="55"/>
        <v>710</v>
      </c>
      <c r="CC47" s="35">
        <f t="shared" si="56"/>
        <v>25870</v>
      </c>
      <c r="CD47" s="35">
        <f t="shared" si="57"/>
        <v>1205866</v>
      </c>
      <c r="CE47" s="35">
        <f t="shared" si="58"/>
        <v>43205541</v>
      </c>
      <c r="CF47" s="38">
        <f t="shared" si="69"/>
        <v>597.44060150375935</v>
      </c>
      <c r="CG47" s="38">
        <f t="shared" si="70"/>
        <v>39084.158646616539</v>
      </c>
      <c r="CH47" s="38">
        <f t="shared" si="59"/>
        <v>65968.985714285707</v>
      </c>
      <c r="CI47" s="36">
        <f t="shared" si="103"/>
        <v>915</v>
      </c>
      <c r="CJ47" s="36">
        <f t="shared" si="104"/>
        <v>30155</v>
      </c>
      <c r="CK47" s="36">
        <f t="shared" si="105"/>
        <v>1747867</v>
      </c>
      <c r="CL47" s="36">
        <f t="shared" si="106"/>
        <v>54450765</v>
      </c>
      <c r="CM47" s="38">
        <f t="shared" si="111"/>
        <v>507.59577308120134</v>
      </c>
      <c r="CN47" s="38">
        <f t="shared" si="112"/>
        <v>42780.562254356693</v>
      </c>
      <c r="CO47" s="38">
        <f t="shared" si="107"/>
        <v>65622.37204301075</v>
      </c>
    </row>
    <row r="48" spans="1:93" x14ac:dyDescent="0.25">
      <c r="A48" s="8">
        <v>46</v>
      </c>
      <c r="B48" s="9">
        <f>DATA!H47</f>
        <v>71124</v>
      </c>
      <c r="C48" s="10">
        <f>DATA!C130+DATA!D130</f>
        <v>2936000</v>
      </c>
      <c r="D48" s="10">
        <f t="shared" si="0"/>
        <v>208820064000</v>
      </c>
      <c r="E48" s="10">
        <f t="shared" si="146"/>
        <v>64430</v>
      </c>
      <c r="F48" s="10">
        <f t="shared" si="45"/>
        <v>60896.15</v>
      </c>
      <c r="G48" s="10">
        <f t="shared" si="99"/>
        <v>59020.1</v>
      </c>
      <c r="H48" s="38">
        <f t="shared" si="60"/>
        <v>62518.947421124314</v>
      </c>
      <c r="I48" s="28">
        <f t="shared" si="25"/>
        <v>64826.819799895617</v>
      </c>
      <c r="J48" s="27">
        <f t="shared" si="82"/>
        <v>60311.713329933664</v>
      </c>
      <c r="K48" s="27">
        <f t="shared" si="83"/>
        <v>4515.1064699619528</v>
      </c>
      <c r="L48" s="27">
        <f t="shared" si="125"/>
        <v>3247.3602575645887</v>
      </c>
      <c r="M48" s="9">
        <f t="shared" si="46"/>
        <v>71124</v>
      </c>
      <c r="N48" s="9">
        <f t="shared" si="47"/>
        <v>55971</v>
      </c>
      <c r="O48" s="38">
        <f t="shared" si="61"/>
        <v>60896.15</v>
      </c>
      <c r="P48" s="38">
        <f t="shared" si="48"/>
        <v>71034.15692986545</v>
      </c>
      <c r="Q48" s="38">
        <f t="shared" si="49"/>
        <v>50758.143070134545</v>
      </c>
      <c r="R48" s="38">
        <f t="shared" si="16"/>
        <v>64500</v>
      </c>
      <c r="S48" s="38">
        <f t="shared" si="84"/>
        <v>63520.5</v>
      </c>
      <c r="T48" s="38">
        <f t="shared" si="85"/>
        <v>64010.25</v>
      </c>
      <c r="V48" s="38">
        <f t="shared" si="86"/>
        <v>55917</v>
      </c>
      <c r="W48" s="10">
        <f t="shared" si="117"/>
        <v>1.9333572196345395E-2</v>
      </c>
      <c r="X48" s="27">
        <f t="shared" si="7"/>
        <v>1.9333572196345395E-2</v>
      </c>
      <c r="Y48" s="27">
        <f t="shared" si="8"/>
        <v>0</v>
      </c>
      <c r="Z48" s="10">
        <f t="shared" ref="Z48:AA48" si="160">AVERAGE(X35:X48)</f>
        <v>1.9776641938407925E-2</v>
      </c>
      <c r="AA48" s="10">
        <f t="shared" si="160"/>
        <v>2.5974689704404514E-3</v>
      </c>
      <c r="AB48" s="38">
        <f t="shared" si="34"/>
        <v>88.390738827466791</v>
      </c>
      <c r="AC48" s="38">
        <f t="shared" si="97"/>
        <v>1</v>
      </c>
      <c r="AD48" s="38">
        <f t="shared" si="109"/>
        <v>0.98601410996605743</v>
      </c>
      <c r="AE48" s="38">
        <f t="shared" si="29"/>
        <v>62349.357142857145</v>
      </c>
      <c r="AF48" s="38">
        <f t="shared" si="30"/>
        <v>5632.6964523375327</v>
      </c>
      <c r="AG48" s="38">
        <f t="shared" si="31"/>
        <v>5632.6964523375327</v>
      </c>
      <c r="AH48" s="38">
        <f t="shared" si="32"/>
        <v>0</v>
      </c>
      <c r="AI48" s="38">
        <f t="shared" si="91"/>
        <v>1808.8841738244828</v>
      </c>
      <c r="AJ48" s="38">
        <f t="shared" si="92"/>
        <v>624.93250342462431</v>
      </c>
      <c r="AK48" s="38">
        <f t="shared" si="101"/>
        <v>74.322942674097675</v>
      </c>
      <c r="AL48" s="38">
        <f t="shared" si="119"/>
        <v>1349</v>
      </c>
      <c r="AM48" s="38">
        <f t="shared" si="93"/>
        <v>857.28352550482577</v>
      </c>
      <c r="AN48" s="38">
        <f t="shared" si="141"/>
        <v>602.61002220929754</v>
      </c>
      <c r="AO48" s="38">
        <f t="shared" si="9"/>
        <v>1349</v>
      </c>
      <c r="AP48" s="38">
        <f t="shared" si="94"/>
        <v>1317.1635583226828</v>
      </c>
      <c r="AQ48" s="38">
        <f t="shared" si="142"/>
        <v>1206.4338363810427</v>
      </c>
      <c r="AR48" s="38">
        <f t="shared" si="138"/>
        <v>49.949695046431692</v>
      </c>
      <c r="AS48" s="38"/>
      <c r="AT48" s="38">
        <f t="shared" si="120"/>
        <v>208820064000</v>
      </c>
      <c r="AU48" s="38">
        <f t="shared" si="121"/>
        <v>0</v>
      </c>
      <c r="AV48" s="38">
        <f t="shared" ref="AV48:AW48" si="161">AVERAGE(AT35:AT48)</f>
        <v>198905086597.78571</v>
      </c>
      <c r="AW48" s="38">
        <f t="shared" si="161"/>
        <v>45414758651.785713</v>
      </c>
      <c r="AX48" s="38">
        <f t="shared" si="36"/>
        <v>4.3797455387328084</v>
      </c>
      <c r="AY48" s="38">
        <f t="shared" si="37"/>
        <v>81.41176022545578</v>
      </c>
      <c r="AZ48" s="38">
        <f t="shared" si="52"/>
        <v>60896.15</v>
      </c>
      <c r="BA48" s="38">
        <f t="array" ref="BA48">SUM(ABS((B29:B48-AVERAGE(B29:B48))))/COUNT(B29:B48)</f>
        <v>4399.01</v>
      </c>
      <c r="BB48" s="38">
        <f t="shared" si="64"/>
        <v>155.00229975987017</v>
      </c>
      <c r="BC48" s="38">
        <f t="shared" si="123"/>
        <v>3960664000</v>
      </c>
      <c r="BD48" s="38">
        <f t="shared" si="38"/>
        <v>7280330347.7530022</v>
      </c>
      <c r="BE48" s="9">
        <f t="shared" si="26"/>
        <v>71124</v>
      </c>
      <c r="BF48" s="9">
        <f t="shared" si="27"/>
        <v>55971</v>
      </c>
      <c r="BG48" s="32">
        <f t="shared" si="28"/>
        <v>1</v>
      </c>
      <c r="BH48" s="34">
        <f t="shared" si="134"/>
        <v>68618.44768214853</v>
      </c>
      <c r="BI48" s="33">
        <f t="shared" si="65"/>
        <v>62121.279658548156</v>
      </c>
      <c r="BJ48" s="27">
        <f t="shared" si="89"/>
        <v>0.10458844472155582</v>
      </c>
      <c r="BK48" s="35">
        <f t="shared" si="135"/>
        <v>4152654.4683256671</v>
      </c>
      <c r="BL48" s="36">
        <f t="shared" si="66"/>
        <v>4376658.8089067023</v>
      </c>
      <c r="BM48" s="27">
        <f t="shared" si="73"/>
        <v>-5.118158631081228E-2</v>
      </c>
      <c r="BN48" s="38">
        <f t="shared" si="136"/>
        <v>283148729509.38849</v>
      </c>
      <c r="BO48" s="38">
        <f t="shared" si="54"/>
        <v>226257377363.04999</v>
      </c>
      <c r="BP48" s="27">
        <f t="shared" si="68"/>
        <v>0.25144529124038811</v>
      </c>
      <c r="BQ48" s="38">
        <f t="shared" si="124"/>
        <v>1349</v>
      </c>
      <c r="BR48" s="38">
        <f t="shared" si="10"/>
        <v>1349</v>
      </c>
      <c r="BS48" s="38">
        <f t="shared" si="11"/>
        <v>0</v>
      </c>
      <c r="BT48" s="38">
        <f t="shared" si="22"/>
        <v>84.987104655897923</v>
      </c>
      <c r="BU48" s="38">
        <f t="shared" si="149"/>
        <v>415</v>
      </c>
      <c r="BV48" s="38">
        <f t="shared" si="150"/>
        <v>17305</v>
      </c>
      <c r="BW48" s="38">
        <f t="shared" si="151"/>
        <v>644300</v>
      </c>
      <c r="BX48" s="38">
        <f t="shared" si="152"/>
        <v>26878957</v>
      </c>
      <c r="BY48" s="38">
        <f t="shared" si="23"/>
        <v>1703.1151515151514</v>
      </c>
      <c r="BZ48" s="38">
        <f t="shared" si="24"/>
        <v>-6249.2787878787876</v>
      </c>
      <c r="CA48" s="38">
        <f t="shared" si="153"/>
        <v>72094.018181818174</v>
      </c>
      <c r="CB48" s="35">
        <f t="shared" si="55"/>
        <v>730</v>
      </c>
      <c r="CC48" s="35">
        <f t="shared" si="56"/>
        <v>27310</v>
      </c>
      <c r="CD48" s="35">
        <f t="shared" si="57"/>
        <v>1217923</v>
      </c>
      <c r="CE48" s="35">
        <f t="shared" si="58"/>
        <v>44941503</v>
      </c>
      <c r="CF48" s="38">
        <f t="shared" si="69"/>
        <v>732.80225563909778</v>
      </c>
      <c r="CG48" s="38">
        <f t="shared" si="70"/>
        <v>34148.867669172934</v>
      </c>
      <c r="CH48" s="38">
        <f t="shared" si="59"/>
        <v>67857.771428571432</v>
      </c>
      <c r="CI48" s="36">
        <f t="shared" si="103"/>
        <v>945</v>
      </c>
      <c r="CJ48" s="36">
        <f t="shared" si="104"/>
        <v>32015</v>
      </c>
      <c r="CK48" s="36">
        <f t="shared" si="105"/>
        <v>1770603</v>
      </c>
      <c r="CL48" s="36">
        <f t="shared" si="106"/>
        <v>56948261</v>
      </c>
      <c r="CM48" s="38">
        <f t="shared" si="111"/>
        <v>522.47675194660735</v>
      </c>
      <c r="CN48" s="38">
        <f t="shared" si="112"/>
        <v>42562.082313681865</v>
      </c>
      <c r="CO48" s="38">
        <f t="shared" si="107"/>
        <v>66596.012903225812</v>
      </c>
    </row>
    <row r="49" spans="1:93" x14ac:dyDescent="0.25">
      <c r="A49" s="8">
        <v>47</v>
      </c>
      <c r="B49" s="9">
        <f>DATA!H48</f>
        <v>74297</v>
      </c>
      <c r="C49" s="10">
        <f>DATA!C121+DATA!D121</f>
        <v>3861000</v>
      </c>
      <c r="D49" s="10">
        <f t="shared" si="0"/>
        <v>286860717000</v>
      </c>
      <c r="E49" s="10">
        <f t="shared" si="146"/>
        <v>65999.5</v>
      </c>
      <c r="F49" s="10">
        <f t="shared" si="45"/>
        <v>61697.85</v>
      </c>
      <c r="G49" s="10">
        <f t="shared" si="99"/>
        <v>59912.866666666669</v>
      </c>
      <c r="H49" s="38">
        <f t="shared" si="60"/>
        <v>63377.784865849942</v>
      </c>
      <c r="I49" s="28">
        <f t="shared" si="25"/>
        <v>66283.770599911673</v>
      </c>
      <c r="J49" s="27">
        <f t="shared" si="82"/>
        <v>61347.660490679322</v>
      </c>
      <c r="K49" s="27">
        <f t="shared" si="83"/>
        <v>4936.1101092323515</v>
      </c>
      <c r="L49" s="27">
        <f t="shared" si="125"/>
        <v>3523.8843750335413</v>
      </c>
      <c r="M49" s="9">
        <f t="shared" si="46"/>
        <v>74297</v>
      </c>
      <c r="N49" s="9">
        <f t="shared" si="47"/>
        <v>55971</v>
      </c>
      <c r="O49" s="38">
        <f t="shared" si="61"/>
        <v>61697.85</v>
      </c>
      <c r="P49" s="38">
        <f t="shared" si="48"/>
        <v>73305.526481966575</v>
      </c>
      <c r="Q49" s="38">
        <f t="shared" si="49"/>
        <v>50090.173518033422</v>
      </c>
      <c r="R49" s="38">
        <f t="shared" si="16"/>
        <v>66165</v>
      </c>
      <c r="S49" s="38">
        <f t="shared" si="84"/>
        <v>65134</v>
      </c>
      <c r="T49" s="38">
        <f t="shared" si="85"/>
        <v>65649.5</v>
      </c>
      <c r="V49" s="38">
        <f t="shared" si="86"/>
        <v>58008</v>
      </c>
      <c r="W49" s="10">
        <f t="shared" si="117"/>
        <v>4.4612226533940723E-2</v>
      </c>
      <c r="X49" s="27">
        <f t="shared" si="7"/>
        <v>4.4612226533940723E-2</v>
      </c>
      <c r="Y49" s="27">
        <f t="shared" si="8"/>
        <v>0</v>
      </c>
      <c r="Z49" s="10">
        <f t="shared" ref="Z49:AA49" si="162">AVERAGE(X36:X49)</f>
        <v>2.2963229547975118E-2</v>
      </c>
      <c r="AA49" s="10">
        <f t="shared" si="162"/>
        <v>2.2836396427721394E-3</v>
      </c>
      <c r="AB49" s="38">
        <f t="shared" si="34"/>
        <v>90.954761061585131</v>
      </c>
      <c r="AC49" s="38">
        <f t="shared" si="97"/>
        <v>1</v>
      </c>
      <c r="AD49" s="38">
        <f t="shared" si="109"/>
        <v>1</v>
      </c>
      <c r="AE49" s="38">
        <f t="shared" si="29"/>
        <v>63658.357142857145</v>
      </c>
      <c r="AF49" s="38">
        <f t="shared" si="30"/>
        <v>6142.7161194520313</v>
      </c>
      <c r="AG49" s="38">
        <f t="shared" si="31"/>
        <v>6142.7161194520313</v>
      </c>
      <c r="AH49" s="38">
        <f t="shared" si="32"/>
        <v>0</v>
      </c>
      <c r="AI49" s="38">
        <f t="shared" si="91"/>
        <v>2247.6496109281993</v>
      </c>
      <c r="AJ49" s="38">
        <f t="shared" si="92"/>
        <v>495.51340867555183</v>
      </c>
      <c r="AK49" s="38">
        <f t="shared" si="101"/>
        <v>81.93642138165275</v>
      </c>
      <c r="AL49" s="38">
        <f t="shared" si="119"/>
        <v>3173</v>
      </c>
      <c r="AM49" s="38">
        <f t="shared" si="93"/>
        <v>1035.4155620044546</v>
      </c>
      <c r="AN49" s="38">
        <f t="shared" si="141"/>
        <v>664.43938503717709</v>
      </c>
      <c r="AO49" s="38">
        <f t="shared" si="9"/>
        <v>3173</v>
      </c>
      <c r="AP49" s="38">
        <f t="shared" si="94"/>
        <v>1459.9202076824763</v>
      </c>
      <c r="AQ49" s="38">
        <f t="shared" si="142"/>
        <v>1242.6461751383904</v>
      </c>
      <c r="AR49" s="38">
        <f t="shared" si="138"/>
        <v>53.469716346503873</v>
      </c>
      <c r="AS49" s="38"/>
      <c r="AT49" s="38">
        <f t="shared" si="120"/>
        <v>286860717000</v>
      </c>
      <c r="AU49" s="38">
        <f t="shared" si="121"/>
        <v>0</v>
      </c>
      <c r="AV49" s="38">
        <f t="shared" ref="AV49:AW49" si="163">AVERAGE(AT36:AT49)</f>
        <v>219395137812.07144</v>
      </c>
      <c r="AW49" s="38">
        <f t="shared" si="163"/>
        <v>39233741194.285713</v>
      </c>
      <c r="AX49" s="38">
        <f t="shared" si="36"/>
        <v>5.592001454197943</v>
      </c>
      <c r="AY49" s="38">
        <f t="shared" si="37"/>
        <v>84.8301004338648</v>
      </c>
      <c r="AZ49" s="38">
        <f t="shared" si="52"/>
        <v>61697.85</v>
      </c>
      <c r="BA49" s="38">
        <f t="array" ref="BA49">SUM(ABS((B30:B49-AVERAGE(B30:B49))))/COUNT(B30:B49)</f>
        <v>5177.9049999999988</v>
      </c>
      <c r="BB49" s="38">
        <f t="shared" si="64"/>
        <v>162.21682965085949</v>
      </c>
      <c r="BC49" s="38">
        <f t="shared" si="123"/>
        <v>12250953000</v>
      </c>
      <c r="BD49" s="38">
        <f t="shared" si="38"/>
        <v>7990419298.0740013</v>
      </c>
      <c r="BE49" s="9">
        <f t="shared" si="26"/>
        <v>74297</v>
      </c>
      <c r="BF49" s="9">
        <f t="shared" si="27"/>
        <v>57099</v>
      </c>
      <c r="BG49" s="32">
        <f t="shared" si="28"/>
        <v>1</v>
      </c>
      <c r="BH49" s="34">
        <f t="shared" si="134"/>
        <v>70511.298454765682</v>
      </c>
      <c r="BI49" s="33">
        <f t="shared" si="65"/>
        <v>63280.87207201976</v>
      </c>
      <c r="BJ49" s="27">
        <f t="shared" si="89"/>
        <v>0.11425927213071584</v>
      </c>
      <c r="BK49" s="35">
        <f t="shared" si="135"/>
        <v>4055436.3122171112</v>
      </c>
      <c r="BL49" s="36">
        <f t="shared" si="66"/>
        <v>4327548.4461536827</v>
      </c>
      <c r="BM49" s="27">
        <f t="shared" si="73"/>
        <v>-6.2879049725815137E-2</v>
      </c>
      <c r="BN49" s="38">
        <f t="shared" si="136"/>
        <v>284386058672.92566</v>
      </c>
      <c r="BO49" s="38">
        <f t="shared" si="54"/>
        <v>229207083563.04999</v>
      </c>
      <c r="BP49" s="27">
        <f t="shared" si="68"/>
        <v>0.24073852453472325</v>
      </c>
      <c r="BQ49" s="38">
        <f t="shared" si="124"/>
        <v>3173</v>
      </c>
      <c r="BR49" s="38">
        <f t="shared" si="10"/>
        <v>3173</v>
      </c>
      <c r="BS49" s="38">
        <f t="shared" si="11"/>
        <v>0</v>
      </c>
      <c r="BT49" s="38">
        <f t="shared" si="22"/>
        <v>95.576508934287872</v>
      </c>
      <c r="BU49" s="38">
        <f t="shared" si="149"/>
        <v>425</v>
      </c>
      <c r="BV49" s="38">
        <f t="shared" si="150"/>
        <v>18145</v>
      </c>
      <c r="BW49" s="38">
        <f t="shared" si="151"/>
        <v>659995</v>
      </c>
      <c r="BX49" s="38">
        <f t="shared" si="152"/>
        <v>28202642</v>
      </c>
      <c r="BY49" s="38">
        <f t="shared" si="23"/>
        <v>1852.7818181818182</v>
      </c>
      <c r="BZ49" s="38">
        <f t="shared" si="24"/>
        <v>-12743.727272727272</v>
      </c>
      <c r="CA49" s="38">
        <f t="shared" si="153"/>
        <v>74337.018181818188</v>
      </c>
      <c r="CB49" s="35">
        <f t="shared" si="55"/>
        <v>750</v>
      </c>
      <c r="CC49" s="35">
        <f t="shared" si="56"/>
        <v>28790</v>
      </c>
      <c r="CD49" s="35">
        <f t="shared" si="57"/>
        <v>1233957</v>
      </c>
      <c r="CE49" s="35">
        <f t="shared" si="58"/>
        <v>46860361</v>
      </c>
      <c r="CF49" s="38">
        <f t="shared" si="69"/>
        <v>882.66691729323304</v>
      </c>
      <c r="CG49" s="38">
        <f t="shared" si="70"/>
        <v>28597.840601503758</v>
      </c>
      <c r="CH49" s="38">
        <f t="shared" si="59"/>
        <v>70083.185714285704</v>
      </c>
      <c r="CI49" s="36">
        <f t="shared" si="103"/>
        <v>975</v>
      </c>
      <c r="CJ49" s="36">
        <f t="shared" si="104"/>
        <v>33935</v>
      </c>
      <c r="CK49" s="36">
        <f t="shared" si="105"/>
        <v>1797386</v>
      </c>
      <c r="CL49" s="36">
        <f t="shared" si="106"/>
        <v>59632482</v>
      </c>
      <c r="CM49" s="38">
        <f t="shared" si="111"/>
        <v>541.68498331479418</v>
      </c>
      <c r="CN49" s="38">
        <f t="shared" si="112"/>
        <v>42308.104708935854</v>
      </c>
      <c r="CO49" s="38">
        <f t="shared" si="107"/>
        <v>67767.298924731178</v>
      </c>
    </row>
    <row r="50" spans="1:93" x14ac:dyDescent="0.25">
      <c r="A50" s="8">
        <v>48</v>
      </c>
      <c r="B50" s="9">
        <f>DATA!H49</f>
        <v>75901</v>
      </c>
      <c r="C50" s="10">
        <f>DATA!C112+DATA!D112</f>
        <v>3702000</v>
      </c>
      <c r="D50" s="10">
        <f t="shared" si="0"/>
        <v>280985502000</v>
      </c>
      <c r="E50" s="10">
        <f t="shared" si="146"/>
        <v>67802</v>
      </c>
      <c r="F50" s="10">
        <f t="shared" si="45"/>
        <v>62638.55</v>
      </c>
      <c r="G50" s="10">
        <f t="shared" si="99"/>
        <v>60827.433333333334</v>
      </c>
      <c r="H50" s="38">
        <f t="shared" si="60"/>
        <v>64333.237469925632</v>
      </c>
      <c r="I50" s="28">
        <f t="shared" si="25"/>
        <v>67763.344353771419</v>
      </c>
      <c r="J50" s="27">
        <f t="shared" si="82"/>
        <v>62425.685639517891</v>
      </c>
      <c r="K50" s="27">
        <f t="shared" si="83"/>
        <v>5337.6587142535282</v>
      </c>
      <c r="L50" s="27">
        <f t="shared" si="125"/>
        <v>3858.7502671622051</v>
      </c>
      <c r="M50" s="9">
        <f t="shared" si="46"/>
        <v>75901</v>
      </c>
      <c r="N50" s="9">
        <f t="shared" si="47"/>
        <v>55971</v>
      </c>
      <c r="O50" s="38">
        <f t="shared" si="61"/>
        <v>62638.55</v>
      </c>
      <c r="P50" s="38">
        <f t="shared" si="48"/>
        <v>75572.706091141008</v>
      </c>
      <c r="Q50" s="38">
        <f t="shared" si="49"/>
        <v>49704.393908858998</v>
      </c>
      <c r="R50" s="38">
        <f t="shared" si="16"/>
        <v>68161.5</v>
      </c>
      <c r="S50" s="38">
        <f t="shared" si="84"/>
        <v>65936</v>
      </c>
      <c r="T50" s="38">
        <f t="shared" si="85"/>
        <v>67048.75</v>
      </c>
      <c r="V50" s="38">
        <f t="shared" si="86"/>
        <v>59999</v>
      </c>
      <c r="W50" s="10">
        <f t="shared" si="117"/>
        <v>2.1589027820773384E-2</v>
      </c>
      <c r="X50" s="27">
        <f t="shared" si="7"/>
        <v>2.1589027820773384E-2</v>
      </c>
      <c r="Y50" s="27">
        <f t="shared" si="8"/>
        <v>0</v>
      </c>
      <c r="Z50" s="10">
        <f t="shared" ref="Z50:AA50" si="164">AVERAGE(X37:X50)</f>
        <v>2.2023150216275933E-2</v>
      </c>
      <c r="AA50" s="10">
        <f t="shared" si="164"/>
        <v>2.2836396427721394E-3</v>
      </c>
      <c r="AB50" s="38">
        <f t="shared" si="34"/>
        <v>90.604931148807935</v>
      </c>
      <c r="AC50" s="38">
        <f t="shared" si="97"/>
        <v>0.99280425892265245</v>
      </c>
      <c r="AD50" s="38">
        <f t="shared" si="109"/>
        <v>0.99760141964088422</v>
      </c>
      <c r="AE50" s="38">
        <f t="shared" si="29"/>
        <v>64943</v>
      </c>
      <c r="AF50" s="38">
        <f t="shared" si="30"/>
        <v>6704.371903122963</v>
      </c>
      <c r="AG50" s="38">
        <f t="shared" si="31"/>
        <v>6704.371903122963</v>
      </c>
      <c r="AH50" s="38">
        <f t="shared" si="32"/>
        <v>0</v>
      </c>
      <c r="AI50" s="38">
        <f t="shared" si="91"/>
        <v>2630.1059752878209</v>
      </c>
      <c r="AJ50" s="38">
        <f t="shared" si="92"/>
        <v>495.51340867555183</v>
      </c>
      <c r="AK50" s="38">
        <f t="shared" si="101"/>
        <v>84.14671308931969</v>
      </c>
      <c r="AL50" s="38">
        <f t="shared" si="119"/>
        <v>1604</v>
      </c>
      <c r="AM50" s="38">
        <f t="shared" si="93"/>
        <v>1079.1528264656504</v>
      </c>
      <c r="AN50" s="38">
        <f t="shared" si="141"/>
        <v>723.6841623841018</v>
      </c>
      <c r="AO50" s="38">
        <f t="shared" si="9"/>
        <v>1604</v>
      </c>
      <c r="AP50" s="38">
        <f t="shared" si="94"/>
        <v>1471.003268629978</v>
      </c>
      <c r="AQ50" s="38">
        <f t="shared" si="142"/>
        <v>1275.2686170657601</v>
      </c>
      <c r="AR50" s="38">
        <f t="shared" si="138"/>
        <v>56.747586563308694</v>
      </c>
      <c r="AS50" s="38"/>
      <c r="AT50" s="38">
        <f t="shared" si="120"/>
        <v>280985502000</v>
      </c>
      <c r="AU50" s="38">
        <f t="shared" si="121"/>
        <v>0</v>
      </c>
      <c r="AV50" s="38">
        <f t="shared" ref="AV50:AW50" si="165">AVERAGE(AT37:AT50)</f>
        <v>232745206383.5</v>
      </c>
      <c r="AW50" s="38">
        <f t="shared" si="165"/>
        <v>39233741194.285713</v>
      </c>
      <c r="AX50" s="38">
        <f t="shared" si="36"/>
        <v>5.9322715422662444</v>
      </c>
      <c r="AY50" s="38">
        <f t="shared" si="37"/>
        <v>85.574713946172281</v>
      </c>
      <c r="AZ50" s="38">
        <f t="shared" si="52"/>
        <v>62638.55</v>
      </c>
      <c r="BA50" s="38">
        <f t="array" ref="BA50">SUM(ABS((B31:B50-AVERAGE(B31:B50))))/COUNT(B31:B50)</f>
        <v>5845.6600000000008</v>
      </c>
      <c r="BB50" s="38">
        <f t="shared" si="64"/>
        <v>151.25124166190525</v>
      </c>
      <c r="BC50" s="38">
        <f t="shared" si="123"/>
        <v>5938008000</v>
      </c>
      <c r="BD50" s="38">
        <f t="shared" si="38"/>
        <v>7697217684.0634298</v>
      </c>
      <c r="BE50" s="9">
        <f t="shared" si="26"/>
        <v>75901</v>
      </c>
      <c r="BF50" s="9">
        <f t="shared" si="27"/>
        <v>57099</v>
      </c>
      <c r="BG50" s="32">
        <f t="shared" si="28"/>
        <v>1</v>
      </c>
      <c r="BH50" s="34">
        <f t="shared" si="134"/>
        <v>72307.865636510454</v>
      </c>
      <c r="BI50" s="33">
        <f t="shared" si="65"/>
        <v>64482.789017541691</v>
      </c>
      <c r="BJ50" s="27">
        <f t="shared" si="89"/>
        <v>0.12135139838383938</v>
      </c>
      <c r="BK50" s="35">
        <f t="shared" si="135"/>
        <v>3937624.2081447407</v>
      </c>
      <c r="BL50" s="36">
        <f t="shared" si="66"/>
        <v>4267972.4036628557</v>
      </c>
      <c r="BM50" s="27">
        <f t="shared" si="73"/>
        <v>-7.740167092800411E-2</v>
      </c>
      <c r="BN50" s="38">
        <f t="shared" si="136"/>
        <v>283252539781.95044</v>
      </c>
      <c r="BO50" s="38">
        <f t="shared" si="54"/>
        <v>232902714966.70001</v>
      </c>
      <c r="BP50" s="27">
        <f t="shared" si="68"/>
        <v>0.21618393251641291</v>
      </c>
      <c r="BQ50" s="38">
        <f t="shared" si="124"/>
        <v>1604</v>
      </c>
      <c r="BR50" s="38">
        <f t="shared" si="10"/>
        <v>1604</v>
      </c>
      <c r="BS50" s="38">
        <f t="shared" si="11"/>
        <v>0</v>
      </c>
      <c r="BT50" s="38">
        <f t="shared" si="22"/>
        <v>95.92012024908739</v>
      </c>
      <c r="BU50" s="38">
        <f t="shared" si="149"/>
        <v>435</v>
      </c>
      <c r="BV50" s="38">
        <f t="shared" si="150"/>
        <v>19005</v>
      </c>
      <c r="BW50" s="38">
        <f t="shared" si="151"/>
        <v>678020</v>
      </c>
      <c r="BX50" s="38">
        <f t="shared" si="152"/>
        <v>29646602</v>
      </c>
      <c r="BY50" s="38">
        <f t="shared" si="23"/>
        <v>1851.2969696969697</v>
      </c>
      <c r="BZ50" s="38">
        <f t="shared" si="24"/>
        <v>-12729.418181818182</v>
      </c>
      <c r="CA50" s="38">
        <f t="shared" si="153"/>
        <v>76132.836363636365</v>
      </c>
      <c r="CB50" s="35">
        <f t="shared" si="55"/>
        <v>770</v>
      </c>
      <c r="CC50" s="35">
        <f t="shared" si="56"/>
        <v>30310</v>
      </c>
      <c r="CD50" s="35">
        <f t="shared" si="57"/>
        <v>1252771</v>
      </c>
      <c r="CE50" s="35">
        <f t="shared" si="58"/>
        <v>48905173</v>
      </c>
      <c r="CF50" s="38">
        <f t="shared" si="69"/>
        <v>1012.7661654135338</v>
      </c>
      <c r="CG50" s="38">
        <f t="shared" si="70"/>
        <v>23647.052631578947</v>
      </c>
      <c r="CH50" s="38">
        <f t="shared" si="59"/>
        <v>72259.828571428574</v>
      </c>
      <c r="CI50" s="36">
        <f t="shared" si="103"/>
        <v>1005</v>
      </c>
      <c r="CJ50" s="36">
        <f t="shared" si="104"/>
        <v>35915</v>
      </c>
      <c r="CK50" s="36">
        <f t="shared" si="105"/>
        <v>1824823</v>
      </c>
      <c r="CL50" s="36">
        <f t="shared" si="106"/>
        <v>62403378</v>
      </c>
      <c r="CM50" s="38">
        <f t="shared" si="111"/>
        <v>565.87652947719687</v>
      </c>
      <c r="CN50" s="38">
        <f t="shared" si="112"/>
        <v>41870.569595847235</v>
      </c>
      <c r="CO50" s="38">
        <f t="shared" si="107"/>
        <v>69032.643010752683</v>
      </c>
    </row>
    <row r="51" spans="1:93" x14ac:dyDescent="0.25">
      <c r="A51" s="8">
        <v>49</v>
      </c>
      <c r="B51" s="9">
        <f>DATA!H50</f>
        <v>76199</v>
      </c>
      <c r="C51" s="10">
        <f>DATA!C103+DATA!D103</f>
        <v>2968410</v>
      </c>
      <c r="D51" s="10">
        <f t="shared" si="0"/>
        <v>226189873590</v>
      </c>
      <c r="E51" s="10">
        <f t="shared" si="146"/>
        <v>69618.600000000006</v>
      </c>
      <c r="F51" s="10">
        <f t="shared" si="45"/>
        <v>63542</v>
      </c>
      <c r="G51" s="10">
        <f t="shared" si="99"/>
        <v>61671.166666666664</v>
      </c>
      <c r="H51" s="38">
        <f t="shared" si="60"/>
        <v>65171.559668972805</v>
      </c>
      <c r="I51" s="28">
        <f t="shared" si="25"/>
        <v>69061.137530114283</v>
      </c>
      <c r="J51" s="27">
        <f t="shared" si="82"/>
        <v>63445.931147701755</v>
      </c>
      <c r="K51" s="27">
        <f t="shared" si="83"/>
        <v>5615.2063824125289</v>
      </c>
      <c r="L51" s="27">
        <f t="shared" si="125"/>
        <v>4216.9756781785409</v>
      </c>
      <c r="M51" s="9">
        <f t="shared" si="46"/>
        <v>76199</v>
      </c>
      <c r="N51" s="9">
        <f t="shared" si="47"/>
        <v>55971</v>
      </c>
      <c r="O51" s="38">
        <f t="shared" si="61"/>
        <v>63542</v>
      </c>
      <c r="P51" s="38">
        <f t="shared" si="48"/>
        <v>77568.377379779849</v>
      </c>
      <c r="Q51" s="38">
        <f t="shared" si="49"/>
        <v>49515.622620220143</v>
      </c>
      <c r="R51" s="38">
        <f t="shared" si="16"/>
        <v>69820</v>
      </c>
      <c r="S51" s="38">
        <f t="shared" si="84"/>
        <v>66085</v>
      </c>
      <c r="T51" s="38">
        <f t="shared" si="85"/>
        <v>67952.5</v>
      </c>
      <c r="V51" s="38">
        <f t="shared" si="86"/>
        <v>59782</v>
      </c>
      <c r="W51" s="10">
        <f t="shared" si="117"/>
        <v>3.9261669806721911E-3</v>
      </c>
      <c r="X51" s="27">
        <f t="shared" si="7"/>
        <v>3.9261669806721911E-3</v>
      </c>
      <c r="Y51" s="27">
        <f t="shared" si="8"/>
        <v>0</v>
      </c>
      <c r="Z51" s="10">
        <f t="shared" ref="Z51:AA51" si="166">AVERAGE(X38:X51)</f>
        <v>2.2303590714895374E-2</v>
      </c>
      <c r="AA51" s="10">
        <f t="shared" si="166"/>
        <v>1.276022700007742E-3</v>
      </c>
      <c r="AB51" s="38">
        <f t="shared" si="34"/>
        <v>94.588449447600993</v>
      </c>
      <c r="AC51" s="38">
        <f t="shared" si="97"/>
        <v>1</v>
      </c>
      <c r="AD51" s="38">
        <f t="shared" si="109"/>
        <v>0.99760141964088422</v>
      </c>
      <c r="AE51" s="38">
        <f t="shared" si="29"/>
        <v>66307.28571428571</v>
      </c>
      <c r="AF51" s="38">
        <f t="shared" si="30"/>
        <v>6925.1113673751988</v>
      </c>
      <c r="AG51" s="38">
        <f t="shared" si="31"/>
        <v>6925.1113673751988</v>
      </c>
      <c r="AH51" s="38">
        <f t="shared" si="32"/>
        <v>0</v>
      </c>
      <c r="AI51" s="38">
        <f t="shared" si="91"/>
        <v>3124.7567872431923</v>
      </c>
      <c r="AJ51" s="38">
        <f t="shared" si="92"/>
        <v>406.51341040794006</v>
      </c>
      <c r="AK51" s="38">
        <f t="shared" si="101"/>
        <v>88.488181655475188</v>
      </c>
      <c r="AL51" s="38">
        <f t="shared" si="119"/>
        <v>298</v>
      </c>
      <c r="AM51" s="38">
        <f t="shared" si="93"/>
        <v>1019.0641475067542</v>
      </c>
      <c r="AN51" s="38">
        <f t="shared" si="141"/>
        <v>765.8813031159093</v>
      </c>
      <c r="AO51" s="38">
        <f t="shared" si="9"/>
        <v>298</v>
      </c>
      <c r="AP51" s="38">
        <f t="shared" si="94"/>
        <v>1380.7722479661336</v>
      </c>
      <c r="AQ51" s="38">
        <f t="shared" si="142"/>
        <v>1290.3405643372421</v>
      </c>
      <c r="AR51" s="38">
        <f t="shared" si="138"/>
        <v>59.354973739765292</v>
      </c>
      <c r="AS51" s="38"/>
      <c r="AT51" s="38">
        <f t="shared" si="120"/>
        <v>226189873590</v>
      </c>
      <c r="AU51" s="38">
        <f t="shared" si="121"/>
        <v>0</v>
      </c>
      <c r="AV51" s="38">
        <f t="shared" ref="AV51:AW51" si="167">AVERAGE(AT38:AT51)</f>
        <v>248901625925.64285</v>
      </c>
      <c r="AW51" s="38">
        <f t="shared" si="167"/>
        <v>30573943714.285713</v>
      </c>
      <c r="AX51" s="38">
        <f t="shared" si="36"/>
        <v>8.140972203377979</v>
      </c>
      <c r="AY51" s="38">
        <f t="shared" si="37"/>
        <v>89.060244602533004</v>
      </c>
      <c r="AZ51" s="38">
        <f t="shared" si="52"/>
        <v>63542</v>
      </c>
      <c r="BA51" s="38">
        <f t="array" ref="BA51">SUM(ABS((B32:B51-AVERAGE(B32:B51))))/COUNT(B32:B51)</f>
        <v>6398.7</v>
      </c>
      <c r="BB51" s="38">
        <f t="shared" si="64"/>
        <v>131.87053620266619</v>
      </c>
      <c r="BC51" s="38">
        <f t="shared" si="123"/>
        <v>884586180</v>
      </c>
      <c r="BD51" s="38">
        <f t="shared" si="38"/>
        <v>6723984612.054369</v>
      </c>
      <c r="BE51" s="9">
        <f t="shared" si="26"/>
        <v>76199</v>
      </c>
      <c r="BF51" s="9">
        <f t="shared" si="27"/>
        <v>57605</v>
      </c>
      <c r="BG51" s="32">
        <f t="shared" si="28"/>
        <v>1</v>
      </c>
      <c r="BH51" s="34">
        <f t="shared" si="134"/>
        <v>73604.910424340298</v>
      </c>
      <c r="BI51" s="33">
        <f t="shared" si="65"/>
        <v>65598.618634918676</v>
      </c>
      <c r="BJ51" s="27">
        <f t="shared" si="89"/>
        <v>0.12204970098501142</v>
      </c>
      <c r="BK51" s="35">
        <f t="shared" si="135"/>
        <v>3614552.805429827</v>
      </c>
      <c r="BL51" s="36">
        <f t="shared" si="66"/>
        <v>4144204.5556949647</v>
      </c>
      <c r="BM51" s="27">
        <f t="shared" si="73"/>
        <v>-0.12780540708042282</v>
      </c>
      <c r="BN51" s="38">
        <f t="shared" si="136"/>
        <v>264231651051.30029</v>
      </c>
      <c r="BO51" s="38">
        <f t="shared" si="54"/>
        <v>232669340359.20001</v>
      </c>
      <c r="BP51" s="27">
        <f t="shared" si="68"/>
        <v>0.13565307162247375</v>
      </c>
      <c r="BQ51" s="38">
        <f t="shared" si="124"/>
        <v>298</v>
      </c>
      <c r="BR51" s="38">
        <f t="shared" si="10"/>
        <v>298</v>
      </c>
      <c r="BS51" s="38">
        <f t="shared" si="11"/>
        <v>0</v>
      </c>
      <c r="BT51" s="38">
        <f t="shared" si="22"/>
        <v>95.40424502630465</v>
      </c>
      <c r="BU51" s="38">
        <f t="shared" si="149"/>
        <v>445</v>
      </c>
      <c r="BV51" s="38">
        <f t="shared" si="150"/>
        <v>19885</v>
      </c>
      <c r="BW51" s="38">
        <f t="shared" si="151"/>
        <v>696186</v>
      </c>
      <c r="BX51" s="38">
        <f t="shared" si="152"/>
        <v>31117066</v>
      </c>
      <c r="BY51" s="38">
        <f t="shared" si="23"/>
        <v>1658.0484848484848</v>
      </c>
      <c r="BZ51" s="38">
        <f t="shared" si="24"/>
        <v>-4164.5575757575762</v>
      </c>
      <c r="CA51" s="38">
        <f t="shared" si="153"/>
        <v>77079.818181818191</v>
      </c>
      <c r="CB51" s="35">
        <f t="shared" si="55"/>
        <v>790</v>
      </c>
      <c r="CC51" s="35">
        <f t="shared" si="56"/>
        <v>31870</v>
      </c>
      <c r="CD51" s="35">
        <f t="shared" si="57"/>
        <v>1270840</v>
      </c>
      <c r="CE51" s="35">
        <f t="shared" si="58"/>
        <v>50953154</v>
      </c>
      <c r="CF51" s="38">
        <f t="shared" si="69"/>
        <v>1135.2992481203007</v>
      </c>
      <c r="CG51" s="38">
        <f t="shared" si="70"/>
        <v>18697.679699248121</v>
      </c>
      <c r="CH51" s="38">
        <f t="shared" si="59"/>
        <v>74327.342857142852</v>
      </c>
      <c r="CI51" s="36">
        <f t="shared" si="103"/>
        <v>1035</v>
      </c>
      <c r="CJ51" s="36">
        <f t="shared" si="104"/>
        <v>37955</v>
      </c>
      <c r="CK51" s="36">
        <f t="shared" si="105"/>
        <v>1850135</v>
      </c>
      <c r="CL51" s="36">
        <f t="shared" si="106"/>
        <v>65170276</v>
      </c>
      <c r="CM51" s="38">
        <f t="shared" si="111"/>
        <v>596.49321468298103</v>
      </c>
      <c r="CN51" s="38">
        <f t="shared" si="112"/>
        <v>41092.150760103817</v>
      </c>
      <c r="CO51" s="38">
        <f t="shared" si="107"/>
        <v>70320.318279569881</v>
      </c>
    </row>
    <row r="52" spans="1:93" x14ac:dyDescent="0.25">
      <c r="A52" s="8">
        <v>50</v>
      </c>
      <c r="B52" s="9">
        <f>DATA!H51</f>
        <v>74238</v>
      </c>
      <c r="C52" s="10">
        <f>DATA!C94+DATA!D94</f>
        <v>3372000</v>
      </c>
      <c r="D52" s="10">
        <f t="shared" si="0"/>
        <v>250330536000</v>
      </c>
      <c r="E52" s="10">
        <f t="shared" si="146"/>
        <v>71000.2</v>
      </c>
      <c r="F52" s="10">
        <f t="shared" si="45"/>
        <v>64377.75</v>
      </c>
      <c r="G52" s="10">
        <f t="shared" si="99"/>
        <v>62364.73333333333</v>
      </c>
      <c r="H52" s="38">
        <f t="shared" si="60"/>
        <v>65860.795082703407</v>
      </c>
      <c r="I52" s="28">
        <f t="shared" si="25"/>
        <v>69857.577910096705</v>
      </c>
      <c r="J52" s="27">
        <f t="shared" si="82"/>
        <v>64245.343655279401</v>
      </c>
      <c r="K52" s="27">
        <f t="shared" si="83"/>
        <v>5612.2342548173037</v>
      </c>
      <c r="L52" s="27">
        <f t="shared" si="125"/>
        <v>4545.2798148835118</v>
      </c>
      <c r="M52" s="9">
        <f t="shared" si="46"/>
        <v>76199</v>
      </c>
      <c r="N52" s="9">
        <f t="shared" si="47"/>
        <v>55971</v>
      </c>
      <c r="O52" s="38">
        <f t="shared" si="61"/>
        <v>64377.75</v>
      </c>
      <c r="P52" s="38">
        <f t="shared" si="48"/>
        <v>78854.647497392187</v>
      </c>
      <c r="Q52" s="38">
        <f t="shared" si="49"/>
        <v>49900.85250260782</v>
      </c>
      <c r="R52" s="38">
        <f t="shared" si="16"/>
        <v>71405</v>
      </c>
      <c r="S52" s="38">
        <f t="shared" si="84"/>
        <v>66085</v>
      </c>
      <c r="T52" s="38">
        <f t="shared" si="85"/>
        <v>68745</v>
      </c>
      <c r="V52" s="38">
        <f t="shared" si="86"/>
        <v>59611</v>
      </c>
      <c r="W52" s="10">
        <f t="shared" si="117"/>
        <v>-2.5735245869368366E-2</v>
      </c>
      <c r="X52" s="27">
        <f t="shared" si="7"/>
        <v>0</v>
      </c>
      <c r="Y52" s="27">
        <f t="shared" si="8"/>
        <v>2.5735245869368366E-2</v>
      </c>
      <c r="Z52" s="10">
        <f t="shared" ref="Z52:AA52" si="168">AVERAGE(X39:X52)</f>
        <v>2.1670604898281123E-2</v>
      </c>
      <c r="AA52" s="10">
        <f t="shared" si="168"/>
        <v>3.1142545478197682E-3</v>
      </c>
      <c r="AB52" s="38">
        <f t="shared" si="34"/>
        <v>87.434850883087421</v>
      </c>
      <c r="AC52" s="38">
        <f t="shared" si="97"/>
        <v>0.86308884872370728</v>
      </c>
      <c r="AD52" s="38">
        <f t="shared" si="109"/>
        <v>0.95196436921545324</v>
      </c>
      <c r="AE52" s="38">
        <f t="shared" si="29"/>
        <v>67495.357142857145</v>
      </c>
      <c r="AF52" s="38">
        <f t="shared" si="30"/>
        <v>6741.6526004915368</v>
      </c>
      <c r="AG52" s="38">
        <f t="shared" si="31"/>
        <v>0</v>
      </c>
      <c r="AH52" s="38">
        <f t="shared" si="32"/>
        <v>6741.6526004915368</v>
      </c>
      <c r="AI52" s="38">
        <f t="shared" si="91"/>
        <v>3035.3777377542137</v>
      </c>
      <c r="AJ52" s="38">
        <f t="shared" si="92"/>
        <v>888.06002472876412</v>
      </c>
      <c r="AK52" s="38">
        <f t="shared" si="101"/>
        <v>77.365257753783041</v>
      </c>
      <c r="AL52" s="38">
        <f t="shared" si="119"/>
        <v>-1961</v>
      </c>
      <c r="AM52" s="38">
        <f t="shared" si="93"/>
        <v>789.82844385238855</v>
      </c>
      <c r="AN52" s="38">
        <f t="shared" si="141"/>
        <v>769.30232322112067</v>
      </c>
      <c r="AO52" s="38">
        <f t="shared" si="9"/>
        <v>1961</v>
      </c>
      <c r="AP52" s="38">
        <f t="shared" si="94"/>
        <v>1425.4051519687387</v>
      </c>
      <c r="AQ52" s="38">
        <f t="shared" si="142"/>
        <v>1309.6355054274559</v>
      </c>
      <c r="AR52" s="38">
        <f t="shared" si="138"/>
        <v>58.741712486637709</v>
      </c>
      <c r="AS52" s="38">
        <f>AVERAGE(AR40:AR52)</f>
        <v>43.248903872539692</v>
      </c>
      <c r="AT52" s="38">
        <f t="shared" si="120"/>
        <v>0</v>
      </c>
      <c r="AU52" s="38">
        <f t="shared" si="121"/>
        <v>250330536000</v>
      </c>
      <c r="AV52" s="38">
        <f t="shared" ref="AV52:AW52" si="169">AVERAGE(AT39:AT52)</f>
        <v>242508816413.85715</v>
      </c>
      <c r="AW52" s="38">
        <f t="shared" si="169"/>
        <v>48454696285.714287</v>
      </c>
      <c r="AX52" s="38">
        <f t="shared" si="36"/>
        <v>5.0048568044653106</v>
      </c>
      <c r="AY52" s="38">
        <f t="shared" si="37"/>
        <v>83.346813545056008</v>
      </c>
      <c r="AZ52" s="38">
        <f t="shared" si="52"/>
        <v>64377.75</v>
      </c>
      <c r="BA52" s="38">
        <f t="array" ref="BA52">SUM(ABS((B33:B52-AVERAGE(B33:B52))))/COUNT(B33:B52)</f>
        <v>6716.125</v>
      </c>
      <c r="BB52" s="38">
        <f t="shared" si="64"/>
        <v>97.876379608777384</v>
      </c>
      <c r="BC52" s="38">
        <f t="shared" si="123"/>
        <v>-6612492000</v>
      </c>
      <c r="BD52" s="38">
        <f t="shared" si="38"/>
        <v>4818773667.475174</v>
      </c>
      <c r="BE52" s="9">
        <f t="shared" si="26"/>
        <v>76199</v>
      </c>
      <c r="BF52" s="9">
        <f t="shared" si="27"/>
        <v>57876</v>
      </c>
      <c r="BG52" s="32">
        <f t="shared" si="28"/>
        <v>0.89297604104131423</v>
      </c>
      <c r="BH52" s="34">
        <f t="shared" si="134"/>
        <v>73815.940282893527</v>
      </c>
      <c r="BI52" s="33">
        <f t="shared" si="65"/>
        <v>66421.416860164521</v>
      </c>
      <c r="BJ52" s="27">
        <f t="shared" si="89"/>
        <v>0.11132739667834135</v>
      </c>
      <c r="BK52" s="35">
        <f t="shared" si="135"/>
        <v>3533701.8702865513</v>
      </c>
      <c r="BL52" s="36">
        <f t="shared" si="66"/>
        <v>4070661.2646763967</v>
      </c>
      <c r="BM52" s="27">
        <f t="shared" si="73"/>
        <v>-0.13190962339445156</v>
      </c>
      <c r="BN52" s="38">
        <f t="shared" si="136"/>
        <v>259597946034.2002</v>
      </c>
      <c r="BO52" s="38">
        <f t="shared" si="54"/>
        <v>237953946172.45001</v>
      </c>
      <c r="BP52" s="27">
        <f t="shared" si="68"/>
        <v>9.0958776729276603E-2</v>
      </c>
      <c r="BQ52" s="38">
        <f t="shared" si="124"/>
        <v>-1961</v>
      </c>
      <c r="BR52" s="38">
        <f t="shared" si="10"/>
        <v>0</v>
      </c>
      <c r="BS52" s="38">
        <f t="shared" si="11"/>
        <v>1961</v>
      </c>
      <c r="BT52" s="38">
        <f t="shared" si="22"/>
        <v>69.752567995348542</v>
      </c>
      <c r="BU52" s="38">
        <f t="shared" si="149"/>
        <v>455</v>
      </c>
      <c r="BV52" s="38">
        <f t="shared" si="150"/>
        <v>20785</v>
      </c>
      <c r="BW52" s="38">
        <f t="shared" si="151"/>
        <v>710002</v>
      </c>
      <c r="BX52" s="38">
        <f t="shared" si="152"/>
        <v>32412086</v>
      </c>
      <c r="BY52" s="38">
        <f t="shared" si="23"/>
        <v>1296.909090909091</v>
      </c>
      <c r="BZ52" s="38">
        <f t="shared" si="24"/>
        <v>11990.836363636363</v>
      </c>
      <c r="CA52" s="38">
        <f t="shared" si="153"/>
        <v>76836.290909090909</v>
      </c>
      <c r="CB52" s="35">
        <f t="shared" si="55"/>
        <v>810</v>
      </c>
      <c r="CC52" s="35">
        <f t="shared" si="56"/>
        <v>33470</v>
      </c>
      <c r="CD52" s="35">
        <f t="shared" si="57"/>
        <v>1287555</v>
      </c>
      <c r="CE52" s="35">
        <f t="shared" si="58"/>
        <v>52939364</v>
      </c>
      <c r="CF52" s="38">
        <f t="shared" si="69"/>
        <v>1193.0624060150376</v>
      </c>
      <c r="CG52" s="38">
        <f t="shared" si="70"/>
        <v>16058.722556390978</v>
      </c>
      <c r="CH52" s="38">
        <f t="shared" si="59"/>
        <v>75711.842857142852</v>
      </c>
      <c r="CI52" s="36">
        <f t="shared" si="103"/>
        <v>1065</v>
      </c>
      <c r="CJ52" s="36">
        <f t="shared" si="104"/>
        <v>40055</v>
      </c>
      <c r="CK52" s="36">
        <f t="shared" si="105"/>
        <v>1870942</v>
      </c>
      <c r="CL52" s="36">
        <f t="shared" si="106"/>
        <v>67813556</v>
      </c>
      <c r="CM52" s="38">
        <f t="shared" si="111"/>
        <v>620.74082313681868</v>
      </c>
      <c r="CN52" s="38">
        <f t="shared" si="112"/>
        <v>40328.434111976268</v>
      </c>
      <c r="CO52" s="38">
        <f t="shared" si="107"/>
        <v>71365.475268817201</v>
      </c>
    </row>
    <row r="53" spans="1:93" x14ac:dyDescent="0.25">
      <c r="A53" s="8">
        <v>51</v>
      </c>
      <c r="B53" s="9">
        <f>DATA!H52</f>
        <v>70550</v>
      </c>
      <c r="C53" s="10">
        <f>DATA!C85+DATA!D85</f>
        <v>3747000</v>
      </c>
      <c r="D53" s="10">
        <f t="shared" si="0"/>
        <v>264350850000</v>
      </c>
      <c r="E53" s="10">
        <f t="shared" si="146"/>
        <v>71711.100000000006</v>
      </c>
      <c r="F53" s="10">
        <f t="shared" si="45"/>
        <v>65014.7</v>
      </c>
      <c r="G53" s="10">
        <f t="shared" si="99"/>
        <v>62852.5</v>
      </c>
      <c r="H53" s="38">
        <f t="shared" si="60"/>
        <v>66386.070984114223</v>
      </c>
      <c r="I53" s="28">
        <f t="shared" si="25"/>
        <v>69964.104385466446</v>
      </c>
      <c r="J53" s="27">
        <f t="shared" si="82"/>
        <v>64712.355236369818</v>
      </c>
      <c r="K53" s="27">
        <f t="shared" si="83"/>
        <v>5251.7491490966277</v>
      </c>
      <c r="L53" s="27">
        <f t="shared" si="125"/>
        <v>4785.6136752852208</v>
      </c>
      <c r="M53" s="9">
        <f t="shared" si="46"/>
        <v>76199</v>
      </c>
      <c r="N53" s="9">
        <f t="shared" si="47"/>
        <v>55971</v>
      </c>
      <c r="O53" s="38">
        <f t="shared" si="61"/>
        <v>65014.7</v>
      </c>
      <c r="P53" s="38">
        <f t="shared" si="48"/>
        <v>79400.548353155958</v>
      </c>
      <c r="Q53" s="38">
        <f t="shared" si="49"/>
        <v>50628.851646844036</v>
      </c>
      <c r="R53" s="38">
        <f t="shared" si="16"/>
        <v>72608.5</v>
      </c>
      <c r="S53" s="38">
        <f t="shared" si="84"/>
        <v>66085</v>
      </c>
      <c r="T53" s="38">
        <f t="shared" si="85"/>
        <v>69346.75</v>
      </c>
      <c r="V53" s="38">
        <f t="shared" si="86"/>
        <v>59067</v>
      </c>
      <c r="W53" s="10">
        <f t="shared" si="117"/>
        <v>-4.9678062447803012E-2</v>
      </c>
      <c r="X53" s="27">
        <f t="shared" si="7"/>
        <v>0</v>
      </c>
      <c r="Y53" s="27">
        <f t="shared" si="8"/>
        <v>4.9678062447803012E-2</v>
      </c>
      <c r="Z53" s="10">
        <f t="shared" ref="Z53:AA53" si="170">AVERAGE(X40:X53)</f>
        <v>2.0434353084822474E-2</v>
      </c>
      <c r="AA53" s="10">
        <f t="shared" si="170"/>
        <v>6.6626875798056978E-3</v>
      </c>
      <c r="AB53" s="38">
        <f t="shared" si="34"/>
        <v>75.411751924249756</v>
      </c>
      <c r="AC53" s="38">
        <f t="shared" si="97"/>
        <v>0.63298139923262842</v>
      </c>
      <c r="AD53" s="38">
        <f t="shared" si="109"/>
        <v>0.83202341598544516</v>
      </c>
      <c r="AE53" s="38">
        <f t="shared" si="29"/>
        <v>68348.78571428571</v>
      </c>
      <c r="AF53" s="38">
        <f t="shared" si="30"/>
        <v>6268.9142377113612</v>
      </c>
      <c r="AG53" s="38">
        <f t="shared" si="31"/>
        <v>0</v>
      </c>
      <c r="AH53" s="38">
        <f t="shared" si="32"/>
        <v>6268.9142377113612</v>
      </c>
      <c r="AI53" s="38">
        <f t="shared" si="91"/>
        <v>2954.6667173773699</v>
      </c>
      <c r="AJ53" s="38">
        <f t="shared" si="92"/>
        <v>1335.8396131367185</v>
      </c>
      <c r="AK53" s="38">
        <f t="shared" si="101"/>
        <v>68.865222185171362</v>
      </c>
      <c r="AL53" s="38">
        <f t="shared" si="119"/>
        <v>-3688</v>
      </c>
      <c r="AM53" s="38">
        <f t="shared" si="93"/>
        <v>445.38010201758937</v>
      </c>
      <c r="AN53" s="38">
        <f t="shared" si="141"/>
        <v>723.02772019204474</v>
      </c>
      <c r="AO53" s="38">
        <f t="shared" si="9"/>
        <v>3688</v>
      </c>
      <c r="AP53" s="38">
        <f t="shared" si="94"/>
        <v>1599.450909509605</v>
      </c>
      <c r="AQ53" s="38">
        <f t="shared" si="142"/>
        <v>1351.03770601062</v>
      </c>
      <c r="AR53" s="38">
        <f t="shared" si="138"/>
        <v>53.516472336439833</v>
      </c>
      <c r="AS53" s="38">
        <f>(2/14)*(AR53-AS52)+AS52</f>
        <v>44.71569936738257</v>
      </c>
      <c r="AT53" s="38">
        <f t="shared" si="120"/>
        <v>0</v>
      </c>
      <c r="AU53" s="38">
        <f t="shared" si="121"/>
        <v>264350850000</v>
      </c>
      <c r="AV53" s="38">
        <f t="shared" ref="AV53:AW53" si="171">AVERAGE(AT40:AT53)</f>
        <v>232957602930.71429</v>
      </c>
      <c r="AW53" s="38">
        <f t="shared" si="171"/>
        <v>67336899857.14286</v>
      </c>
      <c r="AX53" s="38">
        <f t="shared" si="36"/>
        <v>3.459583132352996</v>
      </c>
      <c r="AY53" s="38">
        <f t="shared" si="37"/>
        <v>77.576379443511513</v>
      </c>
      <c r="AZ53" s="38">
        <f t="shared" si="52"/>
        <v>65014.7</v>
      </c>
      <c r="BA53" s="38">
        <f t="array" ref="BA53">SUM(ABS((B34:B53-AVERAGE(B34:B53))))/COUNT(B34:B53)</f>
        <v>6696.4</v>
      </c>
      <c r="BB53" s="38">
        <f t="shared" si="64"/>
        <v>55.107221790813014</v>
      </c>
      <c r="BC53" s="38">
        <f t="shared" si="123"/>
        <v>-13818936000</v>
      </c>
      <c r="BD53" s="38">
        <f t="shared" si="38"/>
        <v>2156243714.9787207</v>
      </c>
      <c r="BE53" s="9">
        <f t="shared" si="26"/>
        <v>76199</v>
      </c>
      <c r="BF53" s="9">
        <f t="shared" si="27"/>
        <v>57876</v>
      </c>
      <c r="BG53" s="32">
        <f t="shared" si="28"/>
        <v>0.69169895759428046</v>
      </c>
      <c r="BH53" s="34">
        <f t="shared" si="134"/>
        <v>72727.293521929023</v>
      </c>
      <c r="BI53" s="33">
        <f t="shared" si="65"/>
        <v>66814.615254434568</v>
      </c>
      <c r="BJ53" s="27">
        <f t="shared" si="89"/>
        <v>8.8493786052326676E-2</v>
      </c>
      <c r="BK53" s="35">
        <f t="shared" si="135"/>
        <v>3604801.2468577009</v>
      </c>
      <c r="BL53" s="36">
        <f t="shared" si="66"/>
        <v>4039836.3823262639</v>
      </c>
      <c r="BM53" s="27">
        <f t="shared" si="73"/>
        <v>-0.1076863254590663</v>
      </c>
      <c r="BN53" s="38">
        <f t="shared" si="136"/>
        <v>261182247356.13345</v>
      </c>
      <c r="BO53" s="38">
        <f t="shared" si="54"/>
        <v>243636226608.89999</v>
      </c>
      <c r="BP53" s="27">
        <f t="shared" si="68"/>
        <v>7.2017289840067264E-2</v>
      </c>
      <c r="BQ53" s="38">
        <f t="shared" si="124"/>
        <v>-3688</v>
      </c>
      <c r="BR53" s="38">
        <f t="shared" si="10"/>
        <v>0</v>
      </c>
      <c r="BS53" s="38">
        <f t="shared" si="11"/>
        <v>3688</v>
      </c>
      <c r="BT53" s="38">
        <f t="shared" si="22"/>
        <v>24.623366881290242</v>
      </c>
      <c r="BU53" s="38">
        <f t="shared" si="149"/>
        <v>465</v>
      </c>
      <c r="BV53" s="38">
        <f t="shared" si="150"/>
        <v>21705</v>
      </c>
      <c r="BW53" s="38">
        <f t="shared" si="151"/>
        <v>717111</v>
      </c>
      <c r="BX53" s="38">
        <f t="shared" si="152"/>
        <v>33409055</v>
      </c>
      <c r="BY53" s="38">
        <f t="shared" si="23"/>
        <v>768.40606060606058</v>
      </c>
      <c r="BZ53" s="38">
        <f t="shared" si="24"/>
        <v>35980.218181818185</v>
      </c>
      <c r="CA53" s="38">
        <f t="shared" si="153"/>
        <v>75168.927272727276</v>
      </c>
      <c r="CB53" s="35">
        <f t="shared" si="55"/>
        <v>830</v>
      </c>
      <c r="CC53" s="35">
        <f t="shared" si="56"/>
        <v>35110</v>
      </c>
      <c r="CD53" s="35">
        <f t="shared" si="57"/>
        <v>1300294</v>
      </c>
      <c r="CE53" s="35">
        <f t="shared" si="58"/>
        <v>54745273</v>
      </c>
      <c r="CF53" s="38">
        <f t="shared" si="69"/>
        <v>1177.551879699248</v>
      </c>
      <c r="CG53" s="38">
        <f t="shared" si="70"/>
        <v>16146.296992481202</v>
      </c>
      <c r="CH53" s="38">
        <f t="shared" si="59"/>
        <v>76201.442857142858</v>
      </c>
      <c r="CI53" s="36">
        <f t="shared" si="103"/>
        <v>1095</v>
      </c>
      <c r="CJ53" s="36">
        <f t="shared" si="104"/>
        <v>42215</v>
      </c>
      <c r="CK53" s="36">
        <f t="shared" si="105"/>
        <v>1885575</v>
      </c>
      <c r="CL53" s="36">
        <f t="shared" si="106"/>
        <v>70237349</v>
      </c>
      <c r="CM53" s="38">
        <f t="shared" si="111"/>
        <v>629.08186874304783</v>
      </c>
      <c r="CN53" s="38">
        <f t="shared" si="112"/>
        <v>39891.011790878751</v>
      </c>
      <c r="CO53" s="38">
        <f t="shared" si="107"/>
        <v>71974.187096774185</v>
      </c>
    </row>
    <row r="54" spans="1:93" x14ac:dyDescent="0.25">
      <c r="A54" s="8">
        <v>52</v>
      </c>
      <c r="B54" s="9">
        <f>DATA!H53</f>
        <v>72095</v>
      </c>
      <c r="C54" s="10">
        <f>DATA!C76+DATA!D76</f>
        <v>1361500</v>
      </c>
      <c r="D54" s="10">
        <f t="shared" si="0"/>
        <v>98157342500</v>
      </c>
      <c r="E54" s="10">
        <f t="shared" si="146"/>
        <v>72259.5</v>
      </c>
      <c r="F54" s="10">
        <f t="shared" si="45"/>
        <v>65808.55</v>
      </c>
      <c r="G54" s="10">
        <f t="shared" si="99"/>
        <v>63322.066666666666</v>
      </c>
      <c r="H54" s="38">
        <f t="shared" si="60"/>
        <v>66853.228823311249</v>
      </c>
      <c r="I54" s="28">
        <f t="shared" si="25"/>
        <v>70291.934480010066</v>
      </c>
      <c r="J54" s="27">
        <f t="shared" si="82"/>
        <v>65259.217811453535</v>
      </c>
      <c r="K54" s="27">
        <f t="shared" si="83"/>
        <v>5032.7166685565317</v>
      </c>
      <c r="L54" s="27">
        <f t="shared" si="125"/>
        <v>4943.277560117117</v>
      </c>
      <c r="M54" s="9">
        <f t="shared" si="46"/>
        <v>76199</v>
      </c>
      <c r="N54" s="9">
        <f t="shared" si="47"/>
        <v>55971</v>
      </c>
      <c r="O54" s="38">
        <f t="shared" si="61"/>
        <v>65808.55</v>
      </c>
      <c r="P54" s="38">
        <f t="shared" si="48"/>
        <v>79914.633261841329</v>
      </c>
      <c r="Q54" s="38">
        <f t="shared" si="49"/>
        <v>51702.466738158677</v>
      </c>
      <c r="R54" s="38">
        <f t="shared" si="16"/>
        <v>72608.5</v>
      </c>
      <c r="S54" s="38">
        <f t="shared" si="84"/>
        <v>66085</v>
      </c>
      <c r="T54" s="38">
        <f t="shared" si="85"/>
        <v>69346.75</v>
      </c>
      <c r="U54" s="38">
        <f>(MIN(B3:B54)+MAX(B3:B54))*0.5</f>
        <v>60356.5</v>
      </c>
      <c r="V54" s="38">
        <f t="shared" si="86"/>
        <v>58263</v>
      </c>
      <c r="W54" s="10">
        <f t="shared" si="117"/>
        <v>2.1899362154500356E-2</v>
      </c>
      <c r="X54" s="27">
        <f t="shared" si="7"/>
        <v>2.1899362154500356E-2</v>
      </c>
      <c r="Y54" s="27">
        <f t="shared" si="8"/>
        <v>0</v>
      </c>
      <c r="Z54" s="10">
        <f t="shared" ref="Z54:AA54" si="172">AVERAGE(X41:X54)</f>
        <v>2.1998593238715357E-2</v>
      </c>
      <c r="AA54" s="10">
        <f t="shared" si="172"/>
        <v>5.7777836028570801E-3</v>
      </c>
      <c r="AB54" s="38">
        <f t="shared" si="34"/>
        <v>79.198929954717613</v>
      </c>
      <c r="AC54" s="38">
        <f t="shared" si="97"/>
        <v>0.69737459568208404</v>
      </c>
      <c r="AD54" s="38">
        <f t="shared" si="109"/>
        <v>0.73114828121280662</v>
      </c>
      <c r="AE54" s="38">
        <f t="shared" si="29"/>
        <v>69364.428571428565</v>
      </c>
      <c r="AF54" s="38">
        <f t="shared" si="30"/>
        <v>5552.5750743275821</v>
      </c>
      <c r="AG54" s="38">
        <f t="shared" si="31"/>
        <v>5552.5750743275821</v>
      </c>
      <c r="AH54" s="38">
        <f t="shared" si="32"/>
        <v>0</v>
      </c>
      <c r="AI54" s="38">
        <f t="shared" si="91"/>
        <v>3351.2792226864831</v>
      </c>
      <c r="AJ54" s="38">
        <f t="shared" si="92"/>
        <v>1264.9054314241471</v>
      </c>
      <c r="AK54" s="38">
        <f t="shared" si="101"/>
        <v>72.598465481709638</v>
      </c>
      <c r="AL54" s="38">
        <f t="shared" si="119"/>
        <v>1545</v>
      </c>
      <c r="AM54" s="38">
        <f t="shared" si="93"/>
        <v>529.96624801623636</v>
      </c>
      <c r="AN54" s="38">
        <f t="shared" si="141"/>
        <v>695.44750988121496</v>
      </c>
      <c r="AO54" s="38">
        <f t="shared" si="9"/>
        <v>1545</v>
      </c>
      <c r="AP54" s="38">
        <f t="shared" si="94"/>
        <v>1595.2623780088661</v>
      </c>
      <c r="AQ54" s="38">
        <f t="shared" si="142"/>
        <v>1385.9269448675122</v>
      </c>
      <c r="AR54" s="38">
        <f t="shared" si="138"/>
        <v>50.179232928305339</v>
      </c>
      <c r="AS54" s="38">
        <f t="shared" ref="AS54:AS62" si="173">(2/14)*(AR54-AS53)+AS53</f>
        <v>45.496204161800108</v>
      </c>
      <c r="AT54" s="38">
        <f t="shared" si="120"/>
        <v>98157342500</v>
      </c>
      <c r="AU54" s="38">
        <f t="shared" si="121"/>
        <v>0</v>
      </c>
      <c r="AV54" s="38">
        <f t="shared" ref="AV54:AW54" si="174">AVERAGE(AT41:AT54)</f>
        <v>239968841680.71429</v>
      </c>
      <c r="AW54" s="38">
        <f t="shared" si="174"/>
        <v>57754287857.14286</v>
      </c>
      <c r="AX54" s="38">
        <f t="shared" si="36"/>
        <v>4.1549961151678492</v>
      </c>
      <c r="AY54" s="38">
        <f t="shared" si="37"/>
        <v>80.601343286028069</v>
      </c>
      <c r="AZ54" s="38">
        <f t="shared" si="52"/>
        <v>65808.55</v>
      </c>
      <c r="BA54" s="38">
        <f t="array" ref="BA54">SUM(ABS((B35:B54-AVERAGE(B35:B54))))/COUNT(B35:B54)</f>
        <v>6531.1949999999997</v>
      </c>
      <c r="BB54" s="38">
        <f t="shared" si="64"/>
        <v>64.168451051708985</v>
      </c>
      <c r="BC54" s="38">
        <f t="shared" si="123"/>
        <v>2103517500</v>
      </c>
      <c r="BD54" s="38">
        <f t="shared" si="38"/>
        <v>2148711398.5531893</v>
      </c>
      <c r="BE54" s="9">
        <f t="shared" si="26"/>
        <v>76199</v>
      </c>
      <c r="BF54" s="9">
        <f t="shared" si="27"/>
        <v>58033</v>
      </c>
      <c r="BG54" s="32">
        <f t="shared" si="28"/>
        <v>0.77408345260376532</v>
      </c>
      <c r="BH54" s="34">
        <f t="shared" si="134"/>
        <v>72516.529014619344</v>
      </c>
      <c r="BI54" s="33">
        <f t="shared" si="65"/>
        <v>67317.509039726516</v>
      </c>
      <c r="BJ54" s="27">
        <f t="shared" si="89"/>
        <v>7.7231318405211594E-2</v>
      </c>
      <c r="BK54" s="35">
        <f t="shared" si="135"/>
        <v>2857034.1645718007</v>
      </c>
      <c r="BL54" s="36">
        <f t="shared" si="66"/>
        <v>3784756.7268666197</v>
      </c>
      <c r="BM54" s="27">
        <f t="shared" si="73"/>
        <v>-0.2451207909108799</v>
      </c>
      <c r="BN54" s="38">
        <f t="shared" si="136"/>
        <v>206840612404.08899</v>
      </c>
      <c r="BO54" s="38">
        <f t="shared" si="54"/>
        <v>241367632729.20001</v>
      </c>
      <c r="BP54" s="27">
        <f t="shared" si="68"/>
        <v>-0.14304743322336125</v>
      </c>
      <c r="BQ54" s="38">
        <f t="shared" si="124"/>
        <v>1545</v>
      </c>
      <c r="BR54" s="38">
        <f t="shared" si="10"/>
        <v>1545</v>
      </c>
      <c r="BS54" s="38">
        <f t="shared" si="11"/>
        <v>0</v>
      </c>
      <c r="BT54" s="38">
        <f t="shared" si="22"/>
        <v>18.278549644188409</v>
      </c>
      <c r="BU54" s="38">
        <f t="shared" si="149"/>
        <v>475</v>
      </c>
      <c r="BV54" s="38">
        <f t="shared" si="150"/>
        <v>22645</v>
      </c>
      <c r="BW54" s="38">
        <f t="shared" si="151"/>
        <v>722595</v>
      </c>
      <c r="BX54" s="38">
        <f t="shared" si="152"/>
        <v>34360333</v>
      </c>
      <c r="BY54" s="38">
        <f t="shared" si="23"/>
        <v>449.33939393939391</v>
      </c>
      <c r="BZ54" s="38">
        <f t="shared" si="24"/>
        <v>50915.878787878784</v>
      </c>
      <c r="CA54" s="38">
        <f t="shared" si="153"/>
        <v>74281.527272727268</v>
      </c>
      <c r="CB54" s="35">
        <f t="shared" si="55"/>
        <v>850</v>
      </c>
      <c r="CC54" s="35">
        <f t="shared" si="56"/>
        <v>36790</v>
      </c>
      <c r="CD54" s="35">
        <f t="shared" si="57"/>
        <v>1316171</v>
      </c>
      <c r="CE54" s="35">
        <f t="shared" si="58"/>
        <v>56695237</v>
      </c>
      <c r="CF54" s="38">
        <f t="shared" si="69"/>
        <v>1139.8037593984961</v>
      </c>
      <c r="CG54" s="38">
        <f t="shared" si="70"/>
        <v>17366.890225563911</v>
      </c>
      <c r="CH54" s="38">
        <f t="shared" si="59"/>
        <v>76636.685714285704</v>
      </c>
      <c r="CI54" s="36">
        <f t="shared" si="103"/>
        <v>1125</v>
      </c>
      <c r="CJ54" s="36">
        <f t="shared" si="104"/>
        <v>44435</v>
      </c>
      <c r="CK54" s="36">
        <f t="shared" si="105"/>
        <v>1899662</v>
      </c>
      <c r="CL54" s="36">
        <f t="shared" si="106"/>
        <v>72710113</v>
      </c>
      <c r="CM54" s="38">
        <f t="shared" si="111"/>
        <v>655.30055617352616</v>
      </c>
      <c r="CN54" s="38">
        <f t="shared" si="112"/>
        <v>38748.295810159434</v>
      </c>
      <c r="CO54" s="38">
        <f t="shared" si="107"/>
        <v>72823.924731182793</v>
      </c>
    </row>
    <row r="55" spans="1:93" x14ac:dyDescent="0.25">
      <c r="A55" s="8">
        <v>53</v>
      </c>
      <c r="B55" s="9">
        <f>DATA!H54</f>
        <v>74474</v>
      </c>
      <c r="C55" s="10">
        <f>DATA!C67+DATA!D67</f>
        <v>2683000</v>
      </c>
      <c r="D55" s="10">
        <f t="shared" si="0"/>
        <v>199813742000</v>
      </c>
      <c r="E55" s="10">
        <f t="shared" si="146"/>
        <v>72767.100000000006</v>
      </c>
      <c r="F55" s="10">
        <f t="shared" si="45"/>
        <v>66733.7</v>
      </c>
      <c r="G55" s="10">
        <f t="shared" si="99"/>
        <v>63804.566666666666</v>
      </c>
      <c r="H55" s="38">
        <f t="shared" si="60"/>
        <v>67361.388472968873</v>
      </c>
      <c r="I55" s="28">
        <f t="shared" si="25"/>
        <v>70935.329175393126</v>
      </c>
      <c r="J55" s="27">
        <f t="shared" si="82"/>
        <v>65941.794269864389</v>
      </c>
      <c r="K55" s="27">
        <f t="shared" si="83"/>
        <v>4993.534905528737</v>
      </c>
      <c r="L55" s="27">
        <f t="shared" si="125"/>
        <v>5058.8293558735986</v>
      </c>
      <c r="M55" s="9">
        <f t="shared" si="46"/>
        <v>76199</v>
      </c>
      <c r="N55" s="9">
        <f t="shared" si="47"/>
        <v>57099</v>
      </c>
      <c r="O55" s="38">
        <f t="shared" si="61"/>
        <v>66733.7</v>
      </c>
      <c r="P55" s="38">
        <f t="shared" si="48"/>
        <v>80561.950129354751</v>
      </c>
      <c r="Q55" s="38">
        <f t="shared" si="49"/>
        <v>52905.449870645236</v>
      </c>
      <c r="R55" s="38">
        <f t="shared" si="16"/>
        <v>72987</v>
      </c>
      <c r="S55" s="38">
        <f t="shared" si="84"/>
        <v>66085</v>
      </c>
      <c r="T55" s="38">
        <f t="shared" si="85"/>
        <v>69536</v>
      </c>
      <c r="U55" s="38">
        <f t="shared" ref="U55:U62" si="175">(MIN(B4:B55)+MAX(B4:B55))*0.5</f>
        <v>60356.5</v>
      </c>
      <c r="V55" s="38">
        <f t="shared" si="86"/>
        <v>57087</v>
      </c>
      <c r="W55" s="10">
        <f t="shared" si="117"/>
        <v>3.2998127470698385E-2</v>
      </c>
      <c r="X55" s="27">
        <f t="shared" si="7"/>
        <v>3.2998127470698385E-2</v>
      </c>
      <c r="Y55" s="27">
        <f t="shared" si="8"/>
        <v>0</v>
      </c>
      <c r="Z55" s="10">
        <f t="shared" ref="Z55:AA55" si="176">AVERAGE(X42:X55)</f>
        <v>2.4161838335985057E-2</v>
      </c>
      <c r="AA55" s="10">
        <f t="shared" si="176"/>
        <v>5.7777836028570801E-3</v>
      </c>
      <c r="AB55" s="38">
        <f t="shared" si="34"/>
        <v>80.701881891964447</v>
      </c>
      <c r="AC55" s="38">
        <f t="shared" si="97"/>
        <v>0.64472063370733368</v>
      </c>
      <c r="AD55" s="38">
        <f t="shared" si="109"/>
        <v>0.65835887620734868</v>
      </c>
      <c r="AE55" s="38">
        <f t="shared" si="29"/>
        <v>70538.78571428571</v>
      </c>
      <c r="AF55" s="38">
        <f t="shared" si="30"/>
        <v>4634.3451147769674</v>
      </c>
      <c r="AG55" s="38">
        <f t="shared" si="31"/>
        <v>4634.3451147769674</v>
      </c>
      <c r="AH55" s="38">
        <f t="shared" si="32"/>
        <v>0</v>
      </c>
      <c r="AI55" s="38">
        <f t="shared" si="91"/>
        <v>3621.8163711173806</v>
      </c>
      <c r="AJ55" s="38">
        <f t="shared" si="92"/>
        <v>1264.9054314241471</v>
      </c>
      <c r="AK55" s="38">
        <f t="shared" si="101"/>
        <v>74.115460577962835</v>
      </c>
      <c r="AL55" s="38">
        <f t="shared" si="119"/>
        <v>2379</v>
      </c>
      <c r="AM55" s="38">
        <f t="shared" si="93"/>
        <v>672.1996135534489</v>
      </c>
      <c r="AN55" s="38">
        <f t="shared" si="141"/>
        <v>692.12638183439128</v>
      </c>
      <c r="AO55" s="38">
        <f t="shared" si="9"/>
        <v>2379</v>
      </c>
      <c r="AP55" s="38">
        <f t="shared" si="94"/>
        <v>1655.5498873927995</v>
      </c>
      <c r="AQ55" s="38">
        <f t="shared" si="142"/>
        <v>1424.4445080854105</v>
      </c>
      <c r="AR55" s="38">
        <f t="shared" si="138"/>
        <v>48.589213402540707</v>
      </c>
      <c r="AS55" s="38">
        <f t="shared" si="173"/>
        <v>45.938062624763049</v>
      </c>
      <c r="AT55" s="38">
        <f t="shared" si="120"/>
        <v>199813742000</v>
      </c>
      <c r="AU55" s="38">
        <f t="shared" si="121"/>
        <v>0</v>
      </c>
      <c r="AV55" s="38">
        <f t="shared" ref="AV55:AW55" si="177">AVERAGE(AT42:AT55)</f>
        <v>242468843252.14285</v>
      </c>
      <c r="AW55" s="38">
        <f t="shared" si="177"/>
        <v>57754287857.14286</v>
      </c>
      <c r="AX55" s="38">
        <f t="shared" si="36"/>
        <v>4.1982829716799133</v>
      </c>
      <c r="AY55" s="38">
        <f t="shared" si="37"/>
        <v>80.762878714991672</v>
      </c>
      <c r="AZ55" s="38">
        <f t="shared" si="52"/>
        <v>66733.7</v>
      </c>
      <c r="BA55" s="38">
        <f t="array" ref="BA55">SUM(ABS((B36:B55-AVERAGE(B36:B55))))/COUNT(B36:B55)</f>
        <v>6299.83</v>
      </c>
      <c r="BB55" s="38">
        <f t="shared" si="64"/>
        <v>81.91014678173859</v>
      </c>
      <c r="BC55" s="38">
        <f t="shared" si="123"/>
        <v>6382857000</v>
      </c>
      <c r="BD55" s="38">
        <f t="shared" si="38"/>
        <v>2753589341.6170192</v>
      </c>
      <c r="BE55" s="9">
        <f t="shared" si="26"/>
        <v>76199</v>
      </c>
      <c r="BF55" s="9">
        <f t="shared" si="27"/>
        <v>60422</v>
      </c>
      <c r="BG55" s="32">
        <f t="shared" si="28"/>
        <v>0.89066362426316792</v>
      </c>
      <c r="BH55" s="34">
        <f t="shared" si="134"/>
        <v>73169.019343079563</v>
      </c>
      <c r="BI55" s="33">
        <f t="shared" si="65"/>
        <v>67999.079607371605</v>
      </c>
      <c r="BJ55" s="27">
        <f t="shared" si="89"/>
        <v>7.6029554599258101E-2</v>
      </c>
      <c r="BK55" s="35">
        <f t="shared" si="135"/>
        <v>2799022.7763812006</v>
      </c>
      <c r="BL55" s="36">
        <f t="shared" si="66"/>
        <v>3679827.5147840846</v>
      </c>
      <c r="BM55" s="27">
        <f t="shared" si="73"/>
        <v>-0.23936033275042393</v>
      </c>
      <c r="BN55" s="38">
        <f t="shared" si="136"/>
        <v>204498322269.39267</v>
      </c>
      <c r="BO55" s="38">
        <f t="shared" si="54"/>
        <v>247031607608.95001</v>
      </c>
      <c r="BP55" s="27">
        <f t="shared" si="68"/>
        <v>-0.17217750291649866</v>
      </c>
      <c r="BQ55" s="38">
        <f t="shared" si="124"/>
        <v>2379</v>
      </c>
      <c r="BR55" s="38">
        <f t="shared" si="10"/>
        <v>2379</v>
      </c>
      <c r="BS55" s="38">
        <f t="shared" si="11"/>
        <v>0</v>
      </c>
      <c r="BT55" s="38">
        <f t="shared" si="22"/>
        <v>32.565357526560824</v>
      </c>
      <c r="BU55" s="38">
        <f t="shared" si="149"/>
        <v>485</v>
      </c>
      <c r="BV55" s="38">
        <f t="shared" si="150"/>
        <v>23605</v>
      </c>
      <c r="BW55" s="38">
        <f t="shared" si="151"/>
        <v>727671</v>
      </c>
      <c r="BX55" s="38">
        <f t="shared" si="152"/>
        <v>35323341</v>
      </c>
      <c r="BY55" s="38">
        <f t="shared" si="23"/>
        <v>379.36363636363637</v>
      </c>
      <c r="BZ55" s="38">
        <f t="shared" si="24"/>
        <v>54367.963636363638</v>
      </c>
      <c r="CA55" s="38">
        <f t="shared" si="153"/>
        <v>74474.236363636359</v>
      </c>
      <c r="CB55" s="35">
        <f t="shared" si="55"/>
        <v>870</v>
      </c>
      <c r="CC55" s="35">
        <f t="shared" si="56"/>
        <v>38510</v>
      </c>
      <c r="CD55" s="35">
        <f t="shared" si="57"/>
        <v>1334674</v>
      </c>
      <c r="CE55" s="35">
        <f t="shared" si="58"/>
        <v>58795316</v>
      </c>
      <c r="CF55" s="38">
        <f t="shared" si="69"/>
        <v>1108.2661654135338</v>
      </c>
      <c r="CG55" s="38">
        <f t="shared" si="70"/>
        <v>18524.121804511276</v>
      </c>
      <c r="CH55" s="38">
        <f t="shared" si="59"/>
        <v>77262.228571428568</v>
      </c>
      <c r="CI55" s="36">
        <f t="shared" si="103"/>
        <v>1155</v>
      </c>
      <c r="CJ55" s="36">
        <f t="shared" si="104"/>
        <v>46715</v>
      </c>
      <c r="CK55" s="36">
        <f t="shared" si="105"/>
        <v>1914137</v>
      </c>
      <c r="CL55" s="36">
        <f t="shared" si="106"/>
        <v>75277258</v>
      </c>
      <c r="CM55" s="38">
        <f t="shared" si="111"/>
        <v>704.33081201334812</v>
      </c>
      <c r="CN55" s="38">
        <f t="shared" si="112"/>
        <v>36687.830404152759</v>
      </c>
      <c r="CO55" s="38">
        <f t="shared" si="107"/>
        <v>74017.363440860208</v>
      </c>
    </row>
    <row r="56" spans="1:93" x14ac:dyDescent="0.25">
      <c r="A56" s="8">
        <v>54</v>
      </c>
      <c r="B56" s="9">
        <f>DATA!H55</f>
        <v>76259</v>
      </c>
      <c r="C56" s="10">
        <f>DATA!C58+DATA!D58</f>
        <v>2577833</v>
      </c>
      <c r="D56" s="10">
        <f t="shared" si="0"/>
        <v>196582966747</v>
      </c>
      <c r="E56" s="10">
        <f t="shared" si="146"/>
        <v>73491.199999999997</v>
      </c>
      <c r="F56" s="10">
        <f t="shared" si="45"/>
        <v>67650.850000000006</v>
      </c>
      <c r="G56" s="10">
        <f t="shared" si="99"/>
        <v>64353.8</v>
      </c>
      <c r="H56" s="38">
        <f t="shared" si="60"/>
        <v>67876.615445523537</v>
      </c>
      <c r="I56" s="28">
        <f t="shared" si="25"/>
        <v>71754.355456101883</v>
      </c>
      <c r="J56" s="27">
        <f t="shared" si="82"/>
        <v>66706.031731355921</v>
      </c>
      <c r="K56" s="27">
        <f t="shared" si="83"/>
        <v>5048.323724745962</v>
      </c>
      <c r="L56" s="27">
        <f t="shared" si="125"/>
        <v>5149.1822642895022</v>
      </c>
      <c r="M56" s="9">
        <f t="shared" si="46"/>
        <v>76259</v>
      </c>
      <c r="N56" s="9">
        <f t="shared" si="47"/>
        <v>57099</v>
      </c>
      <c r="O56" s="38">
        <f t="shared" si="61"/>
        <v>67650.850000000006</v>
      </c>
      <c r="P56" s="38">
        <f t="shared" si="48"/>
        <v>81451.275591625788</v>
      </c>
      <c r="Q56" s="38">
        <f t="shared" si="49"/>
        <v>53850.424408374216</v>
      </c>
      <c r="R56" s="38">
        <f t="shared" si="16"/>
        <v>73404.5</v>
      </c>
      <c r="S56" s="38">
        <f t="shared" si="84"/>
        <v>66115</v>
      </c>
      <c r="T56" s="38">
        <f t="shared" si="85"/>
        <v>69759.75</v>
      </c>
      <c r="U56" s="38">
        <f t="shared" si="175"/>
        <v>60386.5</v>
      </c>
      <c r="V56" s="38">
        <f t="shared" si="86"/>
        <v>58130</v>
      </c>
      <c r="W56" s="10">
        <f t="shared" si="117"/>
        <v>2.3968096248355129E-2</v>
      </c>
      <c r="X56" s="27">
        <f t="shared" si="7"/>
        <v>2.3968096248355129E-2</v>
      </c>
      <c r="Y56" s="27">
        <f t="shared" si="8"/>
        <v>0</v>
      </c>
      <c r="Z56" s="10">
        <f t="shared" ref="Z56:AA56" si="178">AVERAGE(X43:X56)</f>
        <v>2.2933399996199068E-2</v>
      </c>
      <c r="AA56" s="10">
        <f t="shared" si="178"/>
        <v>5.7777836028570801E-3</v>
      </c>
      <c r="AB56" s="38">
        <f t="shared" si="34"/>
        <v>79.876191509405359</v>
      </c>
      <c r="AC56" s="38">
        <f t="shared" si="97"/>
        <v>0.47332718691451686</v>
      </c>
      <c r="AD56" s="38">
        <f t="shared" si="109"/>
        <v>0.60514080543464488</v>
      </c>
      <c r="AE56" s="38">
        <f t="shared" si="29"/>
        <v>71670</v>
      </c>
      <c r="AF56" s="38">
        <f t="shared" si="30"/>
        <v>3839.6661313192321</v>
      </c>
      <c r="AG56" s="38">
        <f t="shared" si="31"/>
        <v>3839.6661313192321</v>
      </c>
      <c r="AH56" s="38">
        <f t="shared" si="32"/>
        <v>0</v>
      </c>
      <c r="AI56" s="38">
        <f t="shared" si="91"/>
        <v>3819.7417315215175</v>
      </c>
      <c r="AJ56" s="38">
        <f t="shared" si="92"/>
        <v>1264.9054314241471</v>
      </c>
      <c r="AK56" s="38">
        <f t="shared" si="101"/>
        <v>75.123044119125169</v>
      </c>
      <c r="AL56" s="38">
        <f t="shared" si="119"/>
        <v>1785</v>
      </c>
      <c r="AM56" s="38">
        <f t="shared" si="93"/>
        <v>757.79964328010669</v>
      </c>
      <c r="AN56" s="38">
        <f t="shared" si="141"/>
        <v>701.50827632663629</v>
      </c>
      <c r="AO56" s="38">
        <f t="shared" si="9"/>
        <v>1785</v>
      </c>
      <c r="AP56" s="38">
        <f t="shared" si="94"/>
        <v>1665.5075883625841</v>
      </c>
      <c r="AQ56" s="38">
        <f t="shared" si="142"/>
        <v>1458.8820909821495</v>
      </c>
      <c r="AR56" s="38">
        <f t="shared" si="138"/>
        <v>48.085330587228363</v>
      </c>
      <c r="AS56" s="38">
        <f t="shared" si="173"/>
        <v>46.24481519082952</v>
      </c>
      <c r="AT56" s="38">
        <f t="shared" si="120"/>
        <v>196582966747</v>
      </c>
      <c r="AU56" s="38">
        <f t="shared" si="121"/>
        <v>0</v>
      </c>
      <c r="AV56" s="38">
        <f t="shared" ref="AV56:AW56" si="179">AVERAGE(AT43:AT56)</f>
        <v>245638753274.07144</v>
      </c>
      <c r="AW56" s="38">
        <f t="shared" si="179"/>
        <v>57754287857.14286</v>
      </c>
      <c r="AX56" s="38">
        <f t="shared" si="36"/>
        <v>4.2531691132902028</v>
      </c>
      <c r="AY56" s="38">
        <f t="shared" si="37"/>
        <v>80.963871932657568</v>
      </c>
      <c r="AZ56" s="38">
        <f t="shared" si="52"/>
        <v>67650.850000000006</v>
      </c>
      <c r="BA56" s="38">
        <f t="array" ref="BA56">SUM(ABS((B37:B56-AVERAGE(B37:B56))))/COUNT(B37:B56)</f>
        <v>6151.7799999999988</v>
      </c>
      <c r="BB56" s="38">
        <f t="shared" si="64"/>
        <v>93.286279201575226</v>
      </c>
      <c r="BC56" s="38">
        <f t="shared" si="123"/>
        <v>4601431905</v>
      </c>
      <c r="BD56" s="38">
        <f t="shared" si="38"/>
        <v>3017566850.6717305</v>
      </c>
      <c r="BE56" s="9">
        <f t="shared" si="26"/>
        <v>76259</v>
      </c>
      <c r="BF56" s="9">
        <f t="shared" si="27"/>
        <v>63441</v>
      </c>
      <c r="BG56" s="32">
        <f t="shared" si="28"/>
        <v>1</v>
      </c>
      <c r="BH56" s="34">
        <f t="shared" si="134"/>
        <v>74199.012895386375</v>
      </c>
      <c r="BI56" s="33">
        <f t="shared" si="65"/>
        <v>68785.738692383835</v>
      </c>
      <c r="BJ56" s="27">
        <f t="shared" si="89"/>
        <v>7.869762404109959E-2</v>
      </c>
      <c r="BK56" s="35">
        <f t="shared" si="135"/>
        <v>2725292.8509208006</v>
      </c>
      <c r="BL56" s="36">
        <f t="shared" si="66"/>
        <v>3574875.6562332194</v>
      </c>
      <c r="BM56" s="27">
        <f t="shared" si="73"/>
        <v>-0.23765380589701646</v>
      </c>
      <c r="BN56" s="38">
        <f t="shared" si="136"/>
        <v>201859870428.59512</v>
      </c>
      <c r="BO56" s="38">
        <f t="shared" si="54"/>
        <v>252156528846.29999</v>
      </c>
      <c r="BP56" s="27">
        <f t="shared" si="68"/>
        <v>-0.19946601679452367</v>
      </c>
      <c r="BQ56" s="38">
        <f t="shared" si="124"/>
        <v>1785</v>
      </c>
      <c r="BR56" s="38">
        <f t="shared" si="10"/>
        <v>1785</v>
      </c>
      <c r="BS56" s="38">
        <f t="shared" si="11"/>
        <v>0</v>
      </c>
      <c r="BT56" s="38">
        <f t="shared" si="22"/>
        <v>36.463839838038467</v>
      </c>
      <c r="BU56" s="38">
        <f t="shared" si="149"/>
        <v>495</v>
      </c>
      <c r="BV56" s="38">
        <f t="shared" si="150"/>
        <v>24585</v>
      </c>
      <c r="BW56" s="38">
        <f t="shared" si="151"/>
        <v>734912</v>
      </c>
      <c r="BX56" s="38">
        <f t="shared" si="152"/>
        <v>36404535</v>
      </c>
      <c r="BY56" s="38">
        <f t="shared" si="23"/>
        <v>319.89090909090908</v>
      </c>
      <c r="BZ56" s="38">
        <f t="shared" si="24"/>
        <v>57656.6</v>
      </c>
      <c r="CA56" s="38">
        <f t="shared" si="153"/>
        <v>74930.709090909091</v>
      </c>
      <c r="CB56" s="35">
        <f t="shared" si="55"/>
        <v>890</v>
      </c>
      <c r="CC56" s="35">
        <f t="shared" si="56"/>
        <v>40270</v>
      </c>
      <c r="CD56" s="35">
        <f t="shared" si="57"/>
        <v>1353017</v>
      </c>
      <c r="CE56" s="35">
        <f t="shared" si="58"/>
        <v>60944158</v>
      </c>
      <c r="CF56" s="38">
        <f t="shared" si="69"/>
        <v>1105.1150375939849</v>
      </c>
      <c r="CG56" s="38">
        <f t="shared" si="70"/>
        <v>18473.230827067669</v>
      </c>
      <c r="CH56" s="38">
        <f t="shared" si="59"/>
        <v>78149.442857142858</v>
      </c>
      <c r="CI56" s="36">
        <f t="shared" si="103"/>
        <v>1185</v>
      </c>
      <c r="CJ56" s="36">
        <f t="shared" si="104"/>
        <v>49055</v>
      </c>
      <c r="CK56" s="36">
        <f t="shared" si="105"/>
        <v>1930614</v>
      </c>
      <c r="CL56" s="36">
        <f t="shared" si="106"/>
        <v>77960476</v>
      </c>
      <c r="CM56" s="38">
        <f t="shared" si="111"/>
        <v>756.94015572858734</v>
      </c>
      <c r="CN56" s="38">
        <f t="shared" si="112"/>
        <v>34454.663848720804</v>
      </c>
      <c r="CO56" s="38">
        <f t="shared" si="107"/>
        <v>75329.432258064509</v>
      </c>
    </row>
    <row r="57" spans="1:93" x14ac:dyDescent="0.25">
      <c r="A57" s="8">
        <v>55</v>
      </c>
      <c r="B57" s="9">
        <f>DATA!H56</f>
        <v>75693</v>
      </c>
      <c r="C57" s="10">
        <f>DATA!C49+DATA!D49</f>
        <v>1432517</v>
      </c>
      <c r="D57" s="10">
        <f t="shared" si="0"/>
        <v>108431509281</v>
      </c>
      <c r="E57" s="10">
        <f t="shared" si="146"/>
        <v>74083</v>
      </c>
      <c r="F57" s="10">
        <f t="shared" si="45"/>
        <v>68580.55</v>
      </c>
      <c r="G57" s="10">
        <f t="shared" si="99"/>
        <v>64889.866666666669</v>
      </c>
      <c r="H57" s="38">
        <f t="shared" si="60"/>
        <v>68339.623838269166</v>
      </c>
      <c r="I57" s="28">
        <f t="shared" si="25"/>
        <v>72360.30077054775</v>
      </c>
      <c r="J57" s="27">
        <f t="shared" si="82"/>
        <v>67371.733084588821</v>
      </c>
      <c r="K57" s="27">
        <f t="shared" si="83"/>
        <v>4988.5676859589294</v>
      </c>
      <c r="L57" s="27">
        <f t="shared" si="125"/>
        <v>5201.7890660669445</v>
      </c>
      <c r="M57" s="9">
        <f t="shared" si="46"/>
        <v>76259</v>
      </c>
      <c r="N57" s="9">
        <f t="shared" si="47"/>
        <v>57605</v>
      </c>
      <c r="O57" s="38">
        <f t="shared" si="61"/>
        <v>68580.55</v>
      </c>
      <c r="P57" s="38">
        <f t="shared" si="48"/>
        <v>81909.514918177258</v>
      </c>
      <c r="Q57" s="38">
        <f t="shared" si="49"/>
        <v>55251.585081822748</v>
      </c>
      <c r="R57" s="38">
        <f t="shared" si="16"/>
        <v>73404.5</v>
      </c>
      <c r="S57" s="38">
        <f t="shared" si="84"/>
        <v>66115</v>
      </c>
      <c r="T57" s="38">
        <f t="shared" si="85"/>
        <v>69759.75</v>
      </c>
      <c r="U57" s="38">
        <f t="shared" si="175"/>
        <v>61222.5</v>
      </c>
      <c r="V57" s="38">
        <f t="shared" si="86"/>
        <v>57523</v>
      </c>
      <c r="W57" s="10">
        <f t="shared" si="117"/>
        <v>-7.4220747715023801E-3</v>
      </c>
      <c r="X57" s="27">
        <f t="shared" si="7"/>
        <v>0</v>
      </c>
      <c r="Y57" s="27">
        <f t="shared" si="8"/>
        <v>7.4220747715023801E-3</v>
      </c>
      <c r="Z57" s="10">
        <f t="shared" ref="Z57:AA57" si="180">AVERAGE(X44:X57)</f>
        <v>1.9364453964242873E-2</v>
      </c>
      <c r="AA57" s="10">
        <f t="shared" si="180"/>
        <v>6.3079318008215359E-3</v>
      </c>
      <c r="AB57" s="38">
        <f t="shared" si="34"/>
        <v>75.429117268074407</v>
      </c>
      <c r="AC57" s="38">
        <f t="shared" si="97"/>
        <v>9.0554402307825989E-4</v>
      </c>
      <c r="AD57" s="38">
        <f t="shared" si="109"/>
        <v>0.37298445488164295</v>
      </c>
      <c r="AE57" s="38">
        <f t="shared" si="29"/>
        <v>72545.142857142855</v>
      </c>
      <c r="AF57" s="38">
        <f t="shared" si="30"/>
        <v>3155.0363366709876</v>
      </c>
      <c r="AG57" s="38">
        <f t="shared" si="31"/>
        <v>0</v>
      </c>
      <c r="AH57" s="38">
        <f t="shared" si="32"/>
        <v>3155.0363366709876</v>
      </c>
      <c r="AI57" s="38">
        <f t="shared" si="91"/>
        <v>3686.8242931856471</v>
      </c>
      <c r="AJ57" s="38">
        <f t="shared" si="92"/>
        <v>1490.265169757789</v>
      </c>
      <c r="AK57" s="38">
        <f t="shared" si="101"/>
        <v>71.214227986114452</v>
      </c>
      <c r="AL57" s="38">
        <f t="shared" si="119"/>
        <v>-566</v>
      </c>
      <c r="AM57" s="38">
        <f t="shared" si="93"/>
        <v>655.96890148932926</v>
      </c>
      <c r="AN57" s="38">
        <f t="shared" si="141"/>
        <v>695.00265134987819</v>
      </c>
      <c r="AO57" s="38">
        <f t="shared" si="9"/>
        <v>566</v>
      </c>
      <c r="AP57" s="38">
        <f t="shared" si="94"/>
        <v>1580.9300815654622</v>
      </c>
      <c r="AQ57" s="38">
        <f t="shared" si="142"/>
        <v>1476.3175182083371</v>
      </c>
      <c r="AR57" s="38">
        <f t="shared" si="138"/>
        <v>47.076773307772932</v>
      </c>
      <c r="AS57" s="38">
        <f t="shared" si="173"/>
        <v>46.363666350392862</v>
      </c>
      <c r="AT57" s="38">
        <f t="shared" si="120"/>
        <v>0</v>
      </c>
      <c r="AU57" s="38">
        <f t="shared" si="121"/>
        <v>108431509281</v>
      </c>
      <c r="AV57" s="38">
        <f t="shared" ref="AV57:AW57" si="181">AVERAGE(AT44:AT57)</f>
        <v>203640811274.07144</v>
      </c>
      <c r="AW57" s="38">
        <f t="shared" si="181"/>
        <v>65499395662.928574</v>
      </c>
      <c r="AX57" s="38">
        <f t="shared" si="36"/>
        <v>3.1090487051520737</v>
      </c>
      <c r="AY57" s="38">
        <f t="shared" si="37"/>
        <v>75.663466856789412</v>
      </c>
      <c r="AZ57" s="38">
        <f t="shared" si="52"/>
        <v>68580.55</v>
      </c>
      <c r="BA57" s="38">
        <f t="array" ref="BA57">SUM(ABS((B38:B57-AVERAGE(B38:B57))))/COUNT(B38:B57)</f>
        <v>5747.3849999999993</v>
      </c>
      <c r="BB57" s="38">
        <f t="shared" si="64"/>
        <v>82.500708293133869</v>
      </c>
      <c r="BC57" s="38">
        <f t="shared" si="123"/>
        <v>-810804622</v>
      </c>
      <c r="BD57" s="38">
        <f t="shared" si="38"/>
        <v>2470656640.2900548</v>
      </c>
      <c r="BE57" s="9">
        <f t="shared" si="26"/>
        <v>76259</v>
      </c>
      <c r="BF57" s="9">
        <f t="shared" si="27"/>
        <v>66611</v>
      </c>
      <c r="BG57" s="32">
        <f t="shared" si="28"/>
        <v>0.94133499170812607</v>
      </c>
      <c r="BH57" s="34">
        <f t="shared" si="134"/>
        <v>74697.00859692425</v>
      </c>
      <c r="BI57" s="33">
        <f t="shared" si="65"/>
        <v>69443.573102632989</v>
      </c>
      <c r="BJ57" s="27">
        <f t="shared" si="89"/>
        <v>7.5650420327983886E-2</v>
      </c>
      <c r="BK57" s="35">
        <f t="shared" si="135"/>
        <v>2294367.5672805337</v>
      </c>
      <c r="BL57" s="36">
        <f t="shared" si="66"/>
        <v>3370841.4984967224</v>
      </c>
      <c r="BM57" s="27">
        <f t="shared" si="73"/>
        <v>-0.31934872395995434</v>
      </c>
      <c r="BN57" s="38">
        <f t="shared" si="136"/>
        <v>170717083379.39676</v>
      </c>
      <c r="BO57" s="38">
        <f t="shared" si="54"/>
        <v>251516246074.35001</v>
      </c>
      <c r="BP57" s="27">
        <f t="shared" si="68"/>
        <v>-0.32124828497586766</v>
      </c>
      <c r="BQ57" s="38">
        <f t="shared" si="124"/>
        <v>-566</v>
      </c>
      <c r="BR57" s="38">
        <f t="shared" si="10"/>
        <v>0</v>
      </c>
      <c r="BS57" s="38">
        <f t="shared" si="11"/>
        <v>566</v>
      </c>
      <c r="BT57" s="38">
        <f t="shared" si="22"/>
        <v>26.878051650097063</v>
      </c>
      <c r="BU57" s="38">
        <f t="shared" si="149"/>
        <v>505</v>
      </c>
      <c r="BV57" s="38">
        <f t="shared" si="150"/>
        <v>25585</v>
      </c>
      <c r="BW57" s="38">
        <f t="shared" si="151"/>
        <v>740830</v>
      </c>
      <c r="BX57" s="38">
        <f t="shared" si="152"/>
        <v>37427775</v>
      </c>
      <c r="BY57" s="38">
        <f t="shared" si="23"/>
        <v>192.24242424242425</v>
      </c>
      <c r="BZ57" s="38">
        <f t="shared" si="24"/>
        <v>64374.757575757576</v>
      </c>
      <c r="CA57" s="38">
        <f t="shared" si="153"/>
        <v>74948.090909090912</v>
      </c>
      <c r="CB57" s="35">
        <f t="shared" si="55"/>
        <v>910</v>
      </c>
      <c r="CC57" s="35">
        <f t="shared" si="56"/>
        <v>42070</v>
      </c>
      <c r="CD57" s="35">
        <f t="shared" si="57"/>
        <v>1371611</v>
      </c>
      <c r="CE57" s="35">
        <f t="shared" si="58"/>
        <v>63108808</v>
      </c>
      <c r="CF57" s="38">
        <f t="shared" si="69"/>
        <v>1053.3947368421052</v>
      </c>
      <c r="CG57" s="38">
        <f t="shared" si="70"/>
        <v>20651.089473684209</v>
      </c>
      <c r="CH57" s="38">
        <f t="shared" si="59"/>
        <v>78587.799999999988</v>
      </c>
      <c r="CI57" s="36">
        <f t="shared" si="103"/>
        <v>1215</v>
      </c>
      <c r="CJ57" s="36">
        <f t="shared" si="104"/>
        <v>51455</v>
      </c>
      <c r="CK57" s="36">
        <f t="shared" si="105"/>
        <v>1946696</v>
      </c>
      <c r="CL57" s="36">
        <f t="shared" si="106"/>
        <v>80633316</v>
      </c>
      <c r="CM57" s="38">
        <f t="shared" si="111"/>
        <v>797.387319243604</v>
      </c>
      <c r="CN57" s="38">
        <f t="shared" si="112"/>
        <v>32595.680237300705</v>
      </c>
      <c r="CO57" s="38">
        <f t="shared" si="107"/>
        <v>76451.982795698932</v>
      </c>
    </row>
    <row r="58" spans="1:93" x14ac:dyDescent="0.25">
      <c r="A58" s="8">
        <v>56</v>
      </c>
      <c r="B58" s="9">
        <f>DATA!H57</f>
        <v>72119</v>
      </c>
      <c r="C58" s="10">
        <f>DATA!C40+DATA!D40</f>
        <v>3662000</v>
      </c>
      <c r="D58" s="10">
        <f t="shared" si="0"/>
        <v>264099778000</v>
      </c>
      <c r="E58" s="10">
        <f t="shared" si="146"/>
        <v>74182.5</v>
      </c>
      <c r="F58" s="10">
        <f t="shared" si="45"/>
        <v>69306.25</v>
      </c>
      <c r="G58" s="10">
        <f t="shared" si="99"/>
        <v>65324.933333333334</v>
      </c>
      <c r="H58" s="38">
        <f t="shared" si="60"/>
        <v>68742.684561724833</v>
      </c>
      <c r="I58" s="28">
        <f t="shared" si="25"/>
        <v>72323.177575078866</v>
      </c>
      <c r="J58" s="27">
        <f t="shared" si="82"/>
        <v>67723.382485730384</v>
      </c>
      <c r="K58" s="27">
        <f t="shared" si="83"/>
        <v>4599.7950893484813</v>
      </c>
      <c r="L58" s="27">
        <f t="shared" si="125"/>
        <v>5164.4207305242926</v>
      </c>
      <c r="M58" s="9">
        <f t="shared" si="46"/>
        <v>76259</v>
      </c>
      <c r="N58" s="9">
        <f t="shared" si="47"/>
        <v>57876</v>
      </c>
      <c r="O58" s="38">
        <f t="shared" si="61"/>
        <v>69306.25</v>
      </c>
      <c r="P58" s="38">
        <f t="shared" si="48"/>
        <v>81714.566966857354</v>
      </c>
      <c r="Q58" s="38">
        <f t="shared" si="49"/>
        <v>56897.933033142646</v>
      </c>
      <c r="R58" s="38">
        <f t="shared" si="16"/>
        <v>73404.5</v>
      </c>
      <c r="S58" s="38">
        <f t="shared" si="84"/>
        <v>66115</v>
      </c>
      <c r="T58" s="38">
        <f t="shared" si="85"/>
        <v>69759.75</v>
      </c>
      <c r="U58" s="38">
        <f t="shared" si="175"/>
        <v>61726</v>
      </c>
      <c r="V58" s="38">
        <f t="shared" si="86"/>
        <v>57811</v>
      </c>
      <c r="W58" s="10">
        <f t="shared" si="117"/>
        <v>-4.7217047811554572E-2</v>
      </c>
      <c r="X58" s="27">
        <f t="shared" si="7"/>
        <v>0</v>
      </c>
      <c r="Y58" s="27">
        <f t="shared" si="8"/>
        <v>4.7217047811554572E-2</v>
      </c>
      <c r="Z58" s="10">
        <f t="shared" ref="Z58:AA58" si="182">AVERAGE(X45:X58)</f>
        <v>1.5795333499108791E-2</v>
      </c>
      <c r="AA58" s="10">
        <f t="shared" si="182"/>
        <v>9.6805780730754333E-3</v>
      </c>
      <c r="AB58" s="38">
        <f t="shared" si="34"/>
        <v>62.001053247314864</v>
      </c>
      <c r="AC58" s="38">
        <f t="shared" si="97"/>
        <v>0</v>
      </c>
      <c r="AD58" s="38">
        <f t="shared" si="109"/>
        <v>0.15807757697919836</v>
      </c>
      <c r="AE58" s="38">
        <f t="shared" si="29"/>
        <v>72938.571428571435</v>
      </c>
      <c r="AF58" s="38">
        <f t="shared" si="30"/>
        <v>2663.2231402016419</v>
      </c>
      <c r="AG58" s="38">
        <f t="shared" si="31"/>
        <v>0</v>
      </c>
      <c r="AH58" s="38">
        <f t="shared" si="32"/>
        <v>2663.2231402016419</v>
      </c>
      <c r="AI58" s="38">
        <f t="shared" si="91"/>
        <v>3479.5269732517886</v>
      </c>
      <c r="AJ58" s="38">
        <f t="shared" si="92"/>
        <v>1680.495394057906</v>
      </c>
      <c r="AK58" s="38">
        <f t="shared" si="101"/>
        <v>67.432400977477286</v>
      </c>
      <c r="AL58" s="38">
        <f t="shared" si="119"/>
        <v>-3574</v>
      </c>
      <c r="AM58" s="38">
        <f t="shared" si="93"/>
        <v>330.58667829784235</v>
      </c>
      <c r="AN58" s="38">
        <f t="shared" si="141"/>
        <v>642.94322662815875</v>
      </c>
      <c r="AO58" s="38">
        <f t="shared" si="9"/>
        <v>3574</v>
      </c>
      <c r="AP58" s="38">
        <f t="shared" si="94"/>
        <v>1734.2431522142729</v>
      </c>
      <c r="AQ58" s="38">
        <f t="shared" si="142"/>
        <v>1513.1640373520422</v>
      </c>
      <c r="AR58" s="38">
        <f t="shared" si="138"/>
        <v>42.489988577396787</v>
      </c>
      <c r="AS58" s="38">
        <f t="shared" si="173"/>
        <v>45.810283811393425</v>
      </c>
      <c r="AT58" s="38">
        <f t="shared" si="120"/>
        <v>0</v>
      </c>
      <c r="AU58" s="38">
        <f t="shared" si="121"/>
        <v>264099778000</v>
      </c>
      <c r="AV58" s="38">
        <f t="shared" ref="AV58:AW58" si="183">AVERAGE(AT45:AT58)</f>
        <v>151817453274.07144</v>
      </c>
      <c r="AW58" s="38">
        <f t="shared" si="183"/>
        <v>84363665520.071426</v>
      </c>
      <c r="AX58" s="38">
        <f t="shared" si="36"/>
        <v>1.7995597078217485</v>
      </c>
      <c r="AY58" s="38">
        <f t="shared" si="37"/>
        <v>64.280097430818159</v>
      </c>
      <c r="AZ58" s="38">
        <f t="shared" si="52"/>
        <v>69306.25</v>
      </c>
      <c r="BA58" s="38">
        <f t="array" ref="BA58">SUM(ABS((B39:B58-AVERAGE(B39:B58))))/COUNT(B39:B58)</f>
        <v>5114.0749999999998</v>
      </c>
      <c r="BB58" s="38">
        <f t="shared" si="64"/>
        <v>36.66678073095656</v>
      </c>
      <c r="BC58" s="38">
        <f t="shared" si="123"/>
        <v>-13087988000</v>
      </c>
      <c r="BD58" s="38">
        <f t="shared" si="38"/>
        <v>247993120.2486186</v>
      </c>
      <c r="BE58" s="9">
        <f t="shared" si="26"/>
        <v>76259</v>
      </c>
      <c r="BF58" s="9">
        <f t="shared" si="27"/>
        <v>69018</v>
      </c>
      <c r="BG58" s="32">
        <f t="shared" si="28"/>
        <v>0.42825576577820745</v>
      </c>
      <c r="BH58" s="34">
        <f t="shared" si="134"/>
        <v>73837.6723979495</v>
      </c>
      <c r="BI58" s="33">
        <f t="shared" si="65"/>
        <v>69698.375664286985</v>
      </c>
      <c r="BJ58" s="27">
        <f t="shared" si="89"/>
        <v>5.9388711633683956E-2</v>
      </c>
      <c r="BK58" s="35">
        <f t="shared" si="135"/>
        <v>2750245.0448536891</v>
      </c>
      <c r="BL58" s="36">
        <f t="shared" si="66"/>
        <v>3398570.8795922725</v>
      </c>
      <c r="BM58" s="27">
        <f t="shared" si="73"/>
        <v>-0.19076425288983914</v>
      </c>
      <c r="BN58" s="38">
        <f t="shared" si="136"/>
        <v>201844648252.93118</v>
      </c>
      <c r="BO58" s="38">
        <f t="shared" si="54"/>
        <v>260246268316.10001</v>
      </c>
      <c r="BP58" s="27">
        <f t="shared" si="68"/>
        <v>-0.22440905854693416</v>
      </c>
      <c r="BQ58" s="38">
        <f t="shared" si="124"/>
        <v>-3574</v>
      </c>
      <c r="BR58" s="38">
        <f t="shared" si="10"/>
        <v>0</v>
      </c>
      <c r="BS58" s="38">
        <f t="shared" si="11"/>
        <v>3574</v>
      </c>
      <c r="BT58" s="38">
        <f t="shared" si="22"/>
        <v>-12.517241379310345</v>
      </c>
      <c r="BU58" s="38">
        <f t="shared" si="149"/>
        <v>515</v>
      </c>
      <c r="BV58" s="38">
        <f t="shared" si="150"/>
        <v>26605</v>
      </c>
      <c r="BW58" s="38">
        <f t="shared" si="151"/>
        <v>741825</v>
      </c>
      <c r="BX58" s="38">
        <f t="shared" si="152"/>
        <v>38194735</v>
      </c>
      <c r="BY58" s="38">
        <f t="shared" si="23"/>
        <v>-112.15151515151516</v>
      </c>
      <c r="BZ58" s="38">
        <f t="shared" si="24"/>
        <v>79958.303030303025</v>
      </c>
      <c r="CA58" s="38">
        <f t="shared" si="153"/>
        <v>73677.818181818177</v>
      </c>
      <c r="CB58" s="35">
        <f t="shared" si="55"/>
        <v>930</v>
      </c>
      <c r="CC58" s="35">
        <f t="shared" si="56"/>
        <v>43910</v>
      </c>
      <c r="CD58" s="35">
        <f t="shared" si="57"/>
        <v>1386125</v>
      </c>
      <c r="CE58" s="35">
        <f t="shared" si="58"/>
        <v>65073692</v>
      </c>
      <c r="CF58" s="38">
        <f t="shared" si="69"/>
        <v>930.64586466165417</v>
      </c>
      <c r="CG58" s="38">
        <f t="shared" si="70"/>
        <v>26031.217293233083</v>
      </c>
      <c r="CH58" s="38">
        <f t="shared" si="59"/>
        <v>78147.385714285716</v>
      </c>
      <c r="CI58" s="36">
        <f t="shared" si="103"/>
        <v>1245</v>
      </c>
      <c r="CJ58" s="36">
        <f t="shared" si="104"/>
        <v>53915</v>
      </c>
      <c r="CK58" s="36">
        <f t="shared" si="105"/>
        <v>1959748</v>
      </c>
      <c r="CL58" s="36">
        <f t="shared" si="106"/>
        <v>83136238</v>
      </c>
      <c r="CM58" s="38">
        <f t="shared" si="111"/>
        <v>803.86918798665181</v>
      </c>
      <c r="CN58" s="38">
        <f t="shared" si="112"/>
        <v>31964.362031887282</v>
      </c>
      <c r="CO58" s="38">
        <f t="shared" si="107"/>
        <v>76981.036559139786</v>
      </c>
    </row>
    <row r="59" spans="1:93" x14ac:dyDescent="0.25">
      <c r="A59" s="8">
        <v>57</v>
      </c>
      <c r="B59" s="9">
        <f>DATA!H58</f>
        <v>69894</v>
      </c>
      <c r="C59" s="10">
        <f>DATA!C31+DATA!D31</f>
        <v>740541</v>
      </c>
      <c r="D59" s="10">
        <f t="shared" si="0"/>
        <v>51759372654</v>
      </c>
      <c r="E59" s="10">
        <f t="shared" si="146"/>
        <v>73742.2</v>
      </c>
      <c r="F59" s="10">
        <f t="shared" si="45"/>
        <v>69870.850000000006</v>
      </c>
      <c r="G59" s="10">
        <f t="shared" si="99"/>
        <v>65712.633333333331</v>
      </c>
      <c r="H59" s="38">
        <f t="shared" si="60"/>
        <v>69066.128925501558</v>
      </c>
      <c r="I59" s="28">
        <f t="shared" si="25"/>
        <v>71949.457948143652</v>
      </c>
      <c r="J59" s="27">
        <f t="shared" si="82"/>
        <v>67884.168968268874</v>
      </c>
      <c r="K59" s="27">
        <f t="shared" si="83"/>
        <v>4065.2889798747783</v>
      </c>
      <c r="L59" s="27">
        <f t="shared" si="125"/>
        <v>5023.0463155933203</v>
      </c>
      <c r="M59" s="9">
        <f t="shared" si="46"/>
        <v>76259</v>
      </c>
      <c r="N59" s="9">
        <f t="shared" si="47"/>
        <v>57876</v>
      </c>
      <c r="O59" s="38">
        <f t="shared" si="61"/>
        <v>69870.850000000006</v>
      </c>
      <c r="P59" s="38">
        <f t="shared" si="48"/>
        <v>81265.767011983902</v>
      </c>
      <c r="Q59" s="38">
        <f t="shared" si="49"/>
        <v>58475.932988016109</v>
      </c>
      <c r="R59" s="38">
        <f t="shared" si="16"/>
        <v>73076.5</v>
      </c>
      <c r="S59" s="38">
        <f t="shared" si="84"/>
        <v>66115</v>
      </c>
      <c r="T59" s="38">
        <f t="shared" si="85"/>
        <v>69595.75</v>
      </c>
      <c r="U59" s="38">
        <f t="shared" si="175"/>
        <v>61726</v>
      </c>
      <c r="V59" s="38">
        <f t="shared" si="86"/>
        <v>56218</v>
      </c>
      <c r="W59" s="10">
        <f t="shared" si="117"/>
        <v>-3.0851786630430263E-2</v>
      </c>
      <c r="X59" s="27">
        <f t="shared" si="7"/>
        <v>0</v>
      </c>
      <c r="Y59" s="27">
        <f t="shared" si="8"/>
        <v>3.0851786630430263E-2</v>
      </c>
      <c r="Z59" s="10">
        <f t="shared" ref="Z59:AA59" si="184">AVERAGE(X46:X59)</f>
        <v>1.280676661719096E-2</v>
      </c>
      <c r="AA59" s="10">
        <f t="shared" si="184"/>
        <v>1.1884277118106166E-2</v>
      </c>
      <c r="AB59" s="38">
        <f t="shared" si="34"/>
        <v>51.868065013724085</v>
      </c>
      <c r="AC59" s="38">
        <f t="shared" si="97"/>
        <v>0</v>
      </c>
      <c r="AD59" s="38">
        <f t="shared" si="109"/>
        <v>3.018480076927533E-4</v>
      </c>
      <c r="AE59" s="38">
        <f t="shared" si="29"/>
        <v>72974</v>
      </c>
      <c r="AF59" s="38">
        <f t="shared" si="30"/>
        <v>2615.3694252952546</v>
      </c>
      <c r="AG59" s="38">
        <f t="shared" si="31"/>
        <v>0</v>
      </c>
      <c r="AH59" s="38">
        <f t="shared" si="32"/>
        <v>2615.3694252952546</v>
      </c>
      <c r="AI59" s="38">
        <f t="shared" si="91"/>
        <v>3190.9429497533897</v>
      </c>
      <c r="AJ59" s="38">
        <f t="shared" si="92"/>
        <v>1867.3074958647101</v>
      </c>
      <c r="AK59" s="38">
        <f t="shared" si="101"/>
        <v>63.083925639104415</v>
      </c>
      <c r="AL59" s="38">
        <f t="shared" si="119"/>
        <v>-2225</v>
      </c>
      <c r="AM59" s="38">
        <f t="shared" si="93"/>
        <v>134.00308765954676</v>
      </c>
      <c r="AN59" s="38">
        <f t="shared" si="141"/>
        <v>570.23749248978561</v>
      </c>
      <c r="AO59" s="38">
        <f t="shared" si="9"/>
        <v>2225</v>
      </c>
      <c r="AP59" s="38">
        <f t="shared" si="94"/>
        <v>1771.9936789670212</v>
      </c>
      <c r="AQ59" s="38">
        <f t="shared" si="142"/>
        <v>1550.1397004398964</v>
      </c>
      <c r="AR59" s="38">
        <f t="shared" si="138"/>
        <v>36.786200129444104</v>
      </c>
      <c r="AS59" s="38">
        <f t="shared" si="173"/>
        <v>44.521128999686383</v>
      </c>
      <c r="AT59" s="38">
        <f t="shared" si="120"/>
        <v>0</v>
      </c>
      <c r="AU59" s="38">
        <f t="shared" si="121"/>
        <v>51759372654</v>
      </c>
      <c r="AV59" s="38">
        <f t="shared" ref="AV59:AW59" si="185">AVERAGE(AT46:AT59)</f>
        <v>119567211274.07143</v>
      </c>
      <c r="AW59" s="38">
        <f t="shared" si="185"/>
        <v>88060763566.785721</v>
      </c>
      <c r="AX59" s="38">
        <f t="shared" si="36"/>
        <v>1.357780768995843</v>
      </c>
      <c r="AY59" s="38">
        <f t="shared" si="37"/>
        <v>57.587235711236602</v>
      </c>
      <c r="AZ59" s="38">
        <f t="shared" si="52"/>
        <v>69870.850000000006</v>
      </c>
      <c r="BA59" s="38">
        <f t="array" ref="BA59">SUM(ABS((B40:B59-AVERAGE(B40:B59))))/COUNT(B40:B59)</f>
        <v>4439.2799999999988</v>
      </c>
      <c r="BB59" s="38">
        <f t="shared" si="64"/>
        <v>0.34765397391760505</v>
      </c>
      <c r="BC59" s="38">
        <f t="shared" si="123"/>
        <v>-1647703725</v>
      </c>
      <c r="BD59" s="38">
        <f t="shared" si="38"/>
        <v>-22820714.786898315</v>
      </c>
      <c r="BE59" s="9">
        <f t="shared" si="26"/>
        <v>76259</v>
      </c>
      <c r="BF59" s="9">
        <f t="shared" si="27"/>
        <v>69018</v>
      </c>
      <c r="BG59" s="32">
        <f t="shared" si="28"/>
        <v>0.12097776550200248</v>
      </c>
      <c r="BH59" s="34">
        <f t="shared" si="134"/>
        <v>72523.114931966338</v>
      </c>
      <c r="BI59" s="33">
        <f t="shared" si="65"/>
        <v>69717.006553402505</v>
      </c>
      <c r="BJ59" s="27">
        <f t="shared" si="89"/>
        <v>4.0249983716876644E-2</v>
      </c>
      <c r="BK59" s="35">
        <f t="shared" si="135"/>
        <v>2080343.6965691261</v>
      </c>
      <c r="BL59" s="36">
        <f t="shared" si="66"/>
        <v>3145425.1767739607</v>
      </c>
      <c r="BM59" s="27">
        <f t="shared" si="73"/>
        <v>-0.33861288072260332</v>
      </c>
      <c r="BN59" s="38">
        <f t="shared" si="136"/>
        <v>151816223053.28748</v>
      </c>
      <c r="BO59" s="38">
        <f t="shared" si="54"/>
        <v>256148387510.60001</v>
      </c>
      <c r="BP59" s="27">
        <f t="shared" si="68"/>
        <v>-0.40731142394169872</v>
      </c>
      <c r="BQ59" s="38">
        <f t="shared" si="124"/>
        <v>-2225</v>
      </c>
      <c r="BR59" s="38">
        <f t="shared" si="10"/>
        <v>0</v>
      </c>
      <c r="BS59" s="38">
        <f t="shared" si="11"/>
        <v>2225</v>
      </c>
      <c r="BT59" s="38">
        <f t="shared" si="22"/>
        <v>-33.333333333333329</v>
      </c>
      <c r="BU59" s="38">
        <f t="shared" si="149"/>
        <v>525</v>
      </c>
      <c r="BV59" s="38">
        <f t="shared" si="150"/>
        <v>27645</v>
      </c>
      <c r="BW59" s="38">
        <f t="shared" si="151"/>
        <v>737422</v>
      </c>
      <c r="BX59" s="38">
        <f t="shared" si="152"/>
        <v>38686734</v>
      </c>
      <c r="BY59" s="38">
        <f t="shared" si="23"/>
        <v>-338.43636363636364</v>
      </c>
      <c r="BZ59" s="38">
        <f t="shared" si="24"/>
        <v>91510.109090909085</v>
      </c>
      <c r="CA59" s="38">
        <f t="shared" si="153"/>
        <v>72219.236363636359</v>
      </c>
      <c r="CB59" s="35">
        <f t="shared" si="55"/>
        <v>950</v>
      </c>
      <c r="CC59" s="35">
        <f t="shared" si="56"/>
        <v>45790</v>
      </c>
      <c r="CD59" s="35">
        <f t="shared" si="57"/>
        <v>1397417</v>
      </c>
      <c r="CE59" s="35">
        <f t="shared" si="58"/>
        <v>66889376</v>
      </c>
      <c r="CF59" s="38">
        <f t="shared" si="69"/>
        <v>770.02781954887223</v>
      </c>
      <c r="CG59" s="38">
        <f t="shared" si="70"/>
        <v>33294.528571428571</v>
      </c>
      <c r="CH59" s="38">
        <f t="shared" si="59"/>
        <v>77186.114285714284</v>
      </c>
      <c r="CI59" s="36">
        <f t="shared" si="103"/>
        <v>1275</v>
      </c>
      <c r="CJ59" s="36">
        <f t="shared" si="104"/>
        <v>56435</v>
      </c>
      <c r="CK59" s="36">
        <f t="shared" si="105"/>
        <v>1971379</v>
      </c>
      <c r="CL59" s="36">
        <f t="shared" si="106"/>
        <v>85547095</v>
      </c>
      <c r="CM59" s="38">
        <f t="shared" si="111"/>
        <v>784.64404894327026</v>
      </c>
      <c r="CN59" s="38">
        <f t="shared" si="112"/>
        <v>32365.261253244345</v>
      </c>
      <c r="CO59" s="38">
        <f t="shared" si="107"/>
        <v>77089.972043010755</v>
      </c>
    </row>
    <row r="60" spans="1:93" x14ac:dyDescent="0.25">
      <c r="A60" s="8">
        <v>58</v>
      </c>
      <c r="B60" s="9">
        <f>DATA!H59</f>
        <v>66400</v>
      </c>
      <c r="C60" s="10">
        <f>DATA!C22+DATA!D22</f>
        <v>1793026</v>
      </c>
      <c r="D60" s="10">
        <f t="shared" si="0"/>
        <v>119056926400</v>
      </c>
      <c r="E60" s="10">
        <f t="shared" si="146"/>
        <v>72792.100000000006</v>
      </c>
      <c r="F60" s="10">
        <f t="shared" si="45"/>
        <v>70297.05</v>
      </c>
      <c r="G60" s="10">
        <f t="shared" si="99"/>
        <v>66023.066666666666</v>
      </c>
      <c r="H60" s="38">
        <f t="shared" si="60"/>
        <v>69353.410993671176</v>
      </c>
      <c r="I60" s="28">
        <f t="shared" si="25"/>
        <v>71095.695186890778</v>
      </c>
      <c r="J60" s="27">
        <f t="shared" si="82"/>
        <v>67774.230526174884</v>
      </c>
      <c r="K60" s="27">
        <f t="shared" si="83"/>
        <v>3321.4646607158938</v>
      </c>
      <c r="L60" s="27">
        <f t="shared" si="125"/>
        <v>4768.1861242936939</v>
      </c>
      <c r="M60" s="9">
        <f t="shared" si="46"/>
        <v>76259</v>
      </c>
      <c r="N60" s="9">
        <f t="shared" si="47"/>
        <v>58033</v>
      </c>
      <c r="O60" s="38">
        <f t="shared" si="61"/>
        <v>70297.05</v>
      </c>
      <c r="P60" s="38">
        <f t="shared" si="48"/>
        <v>80433.697502502982</v>
      </c>
      <c r="Q60" s="38">
        <f t="shared" si="49"/>
        <v>60160.402497497016</v>
      </c>
      <c r="R60" s="38">
        <f t="shared" si="16"/>
        <v>71329.5</v>
      </c>
      <c r="S60" s="38">
        <f t="shared" si="84"/>
        <v>66115</v>
      </c>
      <c r="T60" s="38">
        <f t="shared" si="85"/>
        <v>68722.25</v>
      </c>
      <c r="U60" s="38">
        <f t="shared" si="175"/>
        <v>61726</v>
      </c>
      <c r="V60" s="38">
        <f t="shared" si="86"/>
        <v>55971</v>
      </c>
      <c r="W60" s="10">
        <f t="shared" si="117"/>
        <v>-4.9989984834177471E-2</v>
      </c>
      <c r="X60" s="27">
        <f t="shared" si="7"/>
        <v>0</v>
      </c>
      <c r="Y60" s="27">
        <f t="shared" si="8"/>
        <v>4.9989984834177471E-2</v>
      </c>
      <c r="Z60" s="10">
        <f t="shared" ref="Z60:AA60" si="186">AVERAGE(X47:X60)</f>
        <v>1.280676661719096E-2</v>
      </c>
      <c r="AA60" s="10">
        <f t="shared" si="186"/>
        <v>1.5063871597488289E-2</v>
      </c>
      <c r="AB60" s="38">
        <f t="shared" si="34"/>
        <v>45.950747587996517</v>
      </c>
      <c r="AC60" s="38">
        <f t="shared" si="97"/>
        <v>0</v>
      </c>
      <c r="AD60" s="38">
        <f t="shared" si="109"/>
        <v>0</v>
      </c>
      <c r="AE60" s="38">
        <f t="shared" si="29"/>
        <v>72787</v>
      </c>
      <c r="AF60" s="38">
        <f t="shared" si="30"/>
        <v>2987.1522069844896</v>
      </c>
      <c r="AG60" s="38">
        <f t="shared" si="31"/>
        <v>0</v>
      </c>
      <c r="AH60" s="38">
        <f t="shared" si="32"/>
        <v>2987.1522069844896</v>
      </c>
      <c r="AI60" s="38">
        <f t="shared" si="91"/>
        <v>3190.9429497533897</v>
      </c>
      <c r="AJ60" s="38">
        <f t="shared" si="92"/>
        <v>1745.0962819539479</v>
      </c>
      <c r="AK60" s="38">
        <f t="shared" si="101"/>
        <v>64.645818235315517</v>
      </c>
      <c r="AL60" s="38">
        <f t="shared" si="119"/>
        <v>-3494</v>
      </c>
      <c r="AM60" s="38">
        <f t="shared" si="93"/>
        <v>-145.07407292964919</v>
      </c>
      <c r="AN60" s="38">
        <f t="shared" si="141"/>
        <v>468.05012600129493</v>
      </c>
      <c r="AO60" s="38">
        <f t="shared" si="9"/>
        <v>3494</v>
      </c>
      <c r="AP60" s="38">
        <f t="shared" si="94"/>
        <v>1904.4557036618658</v>
      </c>
      <c r="AQ60" s="38">
        <f t="shared" si="142"/>
        <v>1600.7562723287492</v>
      </c>
      <c r="AR60" s="38">
        <f t="shared" si="138"/>
        <v>29.239312323317318</v>
      </c>
      <c r="AS60" s="38">
        <f t="shared" si="173"/>
        <v>42.338012331633657</v>
      </c>
      <c r="AT60" s="38">
        <f t="shared" si="120"/>
        <v>0</v>
      </c>
      <c r="AU60" s="38">
        <f t="shared" si="121"/>
        <v>119056926400</v>
      </c>
      <c r="AV60" s="38">
        <f t="shared" ref="AV60:AW60" si="187">AVERAGE(AT47:AT60)</f>
        <v>119567211274.07143</v>
      </c>
      <c r="AW60" s="38">
        <f t="shared" si="187"/>
        <v>75573498023.928574</v>
      </c>
      <c r="AX60" s="38">
        <f t="shared" si="36"/>
        <v>1.5821314931884358</v>
      </c>
      <c r="AY60" s="38">
        <f t="shared" si="37"/>
        <v>61.272305355557542</v>
      </c>
      <c r="AZ60" s="38">
        <f t="shared" si="52"/>
        <v>70297.05</v>
      </c>
      <c r="BA60" s="38">
        <f t="array" ref="BA60">SUM(ABS((B41:B60-AVERAGE(B41:B60))))/COUNT(B41:B60)</f>
        <v>3968.1449999999995</v>
      </c>
      <c r="BB60" s="38">
        <f t="shared" si="64"/>
        <v>-65.472237867651899</v>
      </c>
      <c r="BC60" s="38">
        <f t="shared" si="123"/>
        <v>-6264832844</v>
      </c>
      <c r="BD60" s="38">
        <f t="shared" si="38"/>
        <v>-914536733.24591279</v>
      </c>
      <c r="BE60" s="9">
        <f t="shared" si="26"/>
        <v>76259</v>
      </c>
      <c r="BF60" s="9">
        <f t="shared" si="27"/>
        <v>66400</v>
      </c>
      <c r="BG60" s="32">
        <f t="shared" si="28"/>
        <v>0</v>
      </c>
      <c r="BH60" s="34">
        <f t="shared" si="134"/>
        <v>70482.076621310887</v>
      </c>
      <c r="BI60" s="33">
        <f t="shared" si="65"/>
        <v>69401.101167364177</v>
      </c>
      <c r="BJ60" s="27">
        <f t="shared" si="89"/>
        <v>1.5575768046387113E-2</v>
      </c>
      <c r="BK60" s="35">
        <f t="shared" si="135"/>
        <v>1984571.131046084</v>
      </c>
      <c r="BL60" s="36">
        <f t="shared" si="66"/>
        <v>3016625.2551764408</v>
      </c>
      <c r="BM60" s="27">
        <f t="shared" si="73"/>
        <v>-0.34212208571793334</v>
      </c>
      <c r="BN60" s="38">
        <f t="shared" si="136"/>
        <v>140896457502.19165</v>
      </c>
      <c r="BO60" s="38">
        <f t="shared" si="54"/>
        <v>255393405430.60001</v>
      </c>
      <c r="BP60" s="27">
        <f t="shared" si="68"/>
        <v>-0.44831599208821971</v>
      </c>
      <c r="BQ60" s="38">
        <f t="shared" si="124"/>
        <v>-3494</v>
      </c>
      <c r="BR60" s="38">
        <f t="shared" si="10"/>
        <v>0</v>
      </c>
      <c r="BS60" s="38">
        <f t="shared" si="11"/>
        <v>3494</v>
      </c>
      <c r="BT60" s="38">
        <f t="shared" si="22"/>
        <v>-46.184663241740118</v>
      </c>
      <c r="BU60" s="38">
        <f t="shared" si="149"/>
        <v>535</v>
      </c>
      <c r="BV60" s="38">
        <f t="shared" si="150"/>
        <v>28705</v>
      </c>
      <c r="BW60" s="38">
        <f t="shared" si="151"/>
        <v>727921</v>
      </c>
      <c r="BX60" s="38">
        <f t="shared" si="152"/>
        <v>38894686</v>
      </c>
      <c r="BY60" s="38">
        <f t="shared" si="23"/>
        <v>-595</v>
      </c>
      <c r="BZ60" s="38">
        <f t="shared" si="24"/>
        <v>104624.6</v>
      </c>
      <c r="CA60" s="38">
        <f t="shared" si="153"/>
        <v>70114.600000000006</v>
      </c>
      <c r="CB60" s="35">
        <f t="shared" si="55"/>
        <v>970</v>
      </c>
      <c r="CC60" s="35">
        <f t="shared" si="56"/>
        <v>47710</v>
      </c>
      <c r="CD60" s="35">
        <f t="shared" si="57"/>
        <v>1405941</v>
      </c>
      <c r="CE60" s="35">
        <f t="shared" si="58"/>
        <v>68541288</v>
      </c>
      <c r="CF60" s="38">
        <f t="shared" si="69"/>
        <v>531.05187969924816</v>
      </c>
      <c r="CG60" s="38">
        <f t="shared" si="70"/>
        <v>44541.033834586466</v>
      </c>
      <c r="CH60" s="38">
        <f t="shared" si="59"/>
        <v>75342.042857142864</v>
      </c>
      <c r="CI60" s="36">
        <f t="shared" si="103"/>
        <v>1305</v>
      </c>
      <c r="CJ60" s="36">
        <f t="shared" si="104"/>
        <v>59015</v>
      </c>
      <c r="CK60" s="36">
        <f t="shared" si="105"/>
        <v>1980692</v>
      </c>
      <c r="CL60" s="36">
        <f t="shared" si="106"/>
        <v>87799859</v>
      </c>
      <c r="CM60" s="38">
        <f t="shared" si="111"/>
        <v>729.59154616240266</v>
      </c>
      <c r="CN60" s="38">
        <f t="shared" si="112"/>
        <v>34285.834408602153</v>
      </c>
      <c r="CO60" s="38">
        <f t="shared" si="107"/>
        <v>76602.144086021508</v>
      </c>
    </row>
    <row r="61" spans="1:93" x14ac:dyDescent="0.25">
      <c r="A61" s="8">
        <v>59</v>
      </c>
      <c r="B61" s="9">
        <f>DATA!H60</f>
        <v>63740</v>
      </c>
      <c r="C61" s="10">
        <f>DATA!C13+DATA!D13</f>
        <v>5638000</v>
      </c>
      <c r="D61" s="10">
        <f t="shared" si="0"/>
        <v>359366120000</v>
      </c>
      <c r="E61" s="10">
        <f t="shared" si="146"/>
        <v>71546.2</v>
      </c>
      <c r="F61" s="10">
        <f t="shared" si="45"/>
        <v>70582.399999999994</v>
      </c>
      <c r="G61" s="10">
        <f t="shared" si="99"/>
        <v>66210.066666666666</v>
      </c>
      <c r="H61" s="38">
        <f t="shared" si="60"/>
        <v>69359.971754495578</v>
      </c>
      <c r="I61" s="28">
        <f t="shared" si="25"/>
        <v>69964.049773522973</v>
      </c>
      <c r="J61" s="27">
        <f t="shared" si="82"/>
        <v>67475.398635347112</v>
      </c>
      <c r="K61" s="27">
        <f t="shared" si="83"/>
        <v>2488.651138175861</v>
      </c>
      <c r="L61" s="27">
        <f t="shared" si="125"/>
        <v>4421.1213335557559</v>
      </c>
      <c r="M61" s="9">
        <f t="shared" si="46"/>
        <v>76259</v>
      </c>
      <c r="N61" s="9">
        <f t="shared" si="47"/>
        <v>60422</v>
      </c>
      <c r="O61" s="38">
        <f t="shared" si="61"/>
        <v>70582.399999999994</v>
      </c>
      <c r="P61" s="38">
        <f t="shared" si="48"/>
        <v>79579.261706172867</v>
      </c>
      <c r="Q61" s="38">
        <f t="shared" si="49"/>
        <v>61585.538293827114</v>
      </c>
      <c r="R61" s="38">
        <f t="shared" si="16"/>
        <v>69999.5</v>
      </c>
      <c r="S61" s="38">
        <f t="shared" si="84"/>
        <v>66679</v>
      </c>
      <c r="T61" s="38">
        <f t="shared" si="85"/>
        <v>68339.25</v>
      </c>
      <c r="U61" s="38">
        <f t="shared" si="175"/>
        <v>61726</v>
      </c>
      <c r="V61" s="38">
        <f t="shared" si="86"/>
        <v>57916</v>
      </c>
      <c r="W61" s="10">
        <f t="shared" si="117"/>
        <v>-4.0060240963855423E-2</v>
      </c>
      <c r="X61" s="27">
        <f t="shared" si="7"/>
        <v>0</v>
      </c>
      <c r="Y61" s="27">
        <f t="shared" si="8"/>
        <v>4.0060240963855423E-2</v>
      </c>
      <c r="Z61" s="10">
        <f t="shared" ref="Z61:AA61" si="188">AVERAGE(X48:X61)</f>
        <v>1.2023327100377542E-2</v>
      </c>
      <c r="AA61" s="10">
        <f t="shared" si="188"/>
        <v>1.7925317380620819E-2</v>
      </c>
      <c r="AB61" s="38">
        <f t="shared" si="34"/>
        <v>40.146481781524471</v>
      </c>
      <c r="AC61" s="38">
        <f t="shared" si="97"/>
        <v>0</v>
      </c>
      <c r="AD61" s="38">
        <f t="shared" si="109"/>
        <v>0</v>
      </c>
      <c r="AE61" s="38">
        <f t="shared" si="29"/>
        <v>72355.928571428565</v>
      </c>
      <c r="AF61" s="38">
        <f t="shared" si="30"/>
        <v>3784.3256378074857</v>
      </c>
      <c r="AG61" s="38">
        <f t="shared" si="31"/>
        <v>0</v>
      </c>
      <c r="AH61" s="38">
        <f t="shared" si="32"/>
        <v>3784.3256378074857</v>
      </c>
      <c r="AI61" s="38">
        <f t="shared" si="91"/>
        <v>2816.5344401936791</v>
      </c>
      <c r="AJ61" s="38">
        <f t="shared" si="92"/>
        <v>2015.4052560830544</v>
      </c>
      <c r="AK61" s="38">
        <f t="shared" si="101"/>
        <v>58.289933592589513</v>
      </c>
      <c r="AL61" s="38">
        <f t="shared" si="119"/>
        <v>-2660</v>
      </c>
      <c r="AM61" s="38">
        <f t="shared" si="93"/>
        <v>-338.52991347352236</v>
      </c>
      <c r="AN61" s="38">
        <f t="shared" si="141"/>
        <v>352.824406076321</v>
      </c>
      <c r="AO61" s="38">
        <f t="shared" si="9"/>
        <v>2660</v>
      </c>
      <c r="AP61" s="38">
        <f t="shared" si="94"/>
        <v>1962.5744956878762</v>
      </c>
      <c r="AQ61" s="38">
        <f t="shared" si="142"/>
        <v>1652.4445899514817</v>
      </c>
      <c r="AR61" s="38">
        <f t="shared" si="138"/>
        <v>21.351663361170885</v>
      </c>
      <c r="AS61" s="38">
        <f t="shared" si="173"/>
        <v>39.339962478710405</v>
      </c>
      <c r="AT61" s="38">
        <f t="shared" si="120"/>
        <v>0</v>
      </c>
      <c r="AU61" s="38">
        <f t="shared" si="121"/>
        <v>359366120000</v>
      </c>
      <c r="AV61" s="38">
        <f t="shared" ref="AV61:AW61" si="189">AVERAGE(AT48:AT61)</f>
        <v>106957871988.35715</v>
      </c>
      <c r="AW61" s="38">
        <f t="shared" si="189"/>
        <v>101242506595.35715</v>
      </c>
      <c r="AX61" s="38">
        <f t="shared" si="36"/>
        <v>1.056452231233695</v>
      </c>
      <c r="AY61" s="38">
        <f t="shared" si="37"/>
        <v>51.372563640824971</v>
      </c>
      <c r="AZ61" s="38">
        <f t="shared" si="52"/>
        <v>70582.399999999994</v>
      </c>
      <c r="BA61" s="38">
        <f t="array" ref="BA61">SUM(ABS((B42:B61-AVERAGE(B42:B61))))/COUNT(B42:B61)</f>
        <v>3657.5</v>
      </c>
      <c r="BB61" s="38">
        <f t="shared" si="64"/>
        <v>-124.71907040328082</v>
      </c>
      <c r="BC61" s="38">
        <f t="shared" si="123"/>
        <v>-14997080000</v>
      </c>
      <c r="BD61" s="38">
        <f t="shared" si="38"/>
        <v>-2926328628.4964967</v>
      </c>
      <c r="BE61" s="9">
        <f t="shared" si="26"/>
        <v>76259</v>
      </c>
      <c r="BF61" s="9">
        <f t="shared" si="27"/>
        <v>63740</v>
      </c>
      <c r="BG61" s="32">
        <f t="shared" si="28"/>
        <v>0</v>
      </c>
      <c r="BH61" s="34">
        <f t="shared" si="134"/>
        <v>68234.717747540592</v>
      </c>
      <c r="BI61" s="33">
        <f t="shared" si="65"/>
        <v>68861.948675234249</v>
      </c>
      <c r="BJ61" s="27">
        <f t="shared" si="89"/>
        <v>-9.108527129428114E-3</v>
      </c>
      <c r="BK61" s="35">
        <f t="shared" si="135"/>
        <v>3202380.7540307227</v>
      </c>
      <c r="BL61" s="36">
        <f t="shared" si="66"/>
        <v>3266279.9927786845</v>
      </c>
      <c r="BM61" s="27">
        <f t="shared" si="73"/>
        <v>-1.9563307153469583E-2</v>
      </c>
      <c r="BN61" s="38">
        <f t="shared" si="136"/>
        <v>213719678334.79443</v>
      </c>
      <c r="BO61" s="38">
        <f t="shared" si="54"/>
        <v>265121025430.60001</v>
      </c>
      <c r="BP61" s="27">
        <f t="shared" si="68"/>
        <v>-0.19387880313272535</v>
      </c>
      <c r="BQ61" s="38">
        <f t="shared" si="124"/>
        <v>-2660</v>
      </c>
      <c r="BR61" s="38">
        <f t="shared" si="10"/>
        <v>0</v>
      </c>
      <c r="BS61" s="38">
        <f t="shared" si="11"/>
        <v>2660</v>
      </c>
      <c r="BT61" s="38">
        <f t="shared" si="22"/>
        <v>-47.901076838839202</v>
      </c>
      <c r="BU61" s="38">
        <f t="shared" si="149"/>
        <v>545</v>
      </c>
      <c r="BV61" s="38">
        <f t="shared" si="150"/>
        <v>29785</v>
      </c>
      <c r="BW61" s="38">
        <f t="shared" si="151"/>
        <v>715462</v>
      </c>
      <c r="BX61" s="38">
        <f t="shared" si="152"/>
        <v>38921595</v>
      </c>
      <c r="BY61" s="38">
        <f t="shared" si="23"/>
        <v>-861.62424242424242</v>
      </c>
      <c r="BZ61" s="38">
        <f t="shared" si="24"/>
        <v>118504.72121212121</v>
      </c>
      <c r="CA61" s="38">
        <f t="shared" si="153"/>
        <v>67668.8909090909</v>
      </c>
      <c r="CB61" s="35">
        <f t="shared" si="55"/>
        <v>990</v>
      </c>
      <c r="CC61" s="35">
        <f t="shared" si="56"/>
        <v>49670</v>
      </c>
      <c r="CD61" s="35">
        <f t="shared" si="57"/>
        <v>1411648</v>
      </c>
      <c r="CE61" s="35">
        <f t="shared" si="58"/>
        <v>70038661</v>
      </c>
      <c r="CF61" s="38">
        <f t="shared" si="69"/>
        <v>243.73684210526315</v>
      </c>
      <c r="CG61" s="38">
        <f t="shared" si="70"/>
        <v>58517.426315789475</v>
      </c>
      <c r="CH61" s="38">
        <f t="shared" si="59"/>
        <v>72897.899999999994</v>
      </c>
      <c r="CI61" s="36">
        <f t="shared" si="103"/>
        <v>1335</v>
      </c>
      <c r="CJ61" s="36">
        <f t="shared" si="104"/>
        <v>61655</v>
      </c>
      <c r="CK61" s="36">
        <f t="shared" si="105"/>
        <v>1986302</v>
      </c>
      <c r="CL61" s="36">
        <f t="shared" si="106"/>
        <v>89874749</v>
      </c>
      <c r="CM61" s="38">
        <f t="shared" si="111"/>
        <v>660.42714126807562</v>
      </c>
      <c r="CN61" s="38">
        <f t="shared" si="112"/>
        <v>36821.058880237302</v>
      </c>
      <c r="CO61" s="38">
        <f t="shared" si="107"/>
        <v>75786.260215053771</v>
      </c>
    </row>
    <row r="62" spans="1:93" x14ac:dyDescent="0.25">
      <c r="A62" s="8">
        <v>60</v>
      </c>
      <c r="B62" s="9">
        <f>DATA!H61</f>
        <v>60553</v>
      </c>
      <c r="C62" s="10">
        <f>DATA!C4+DATA!D4</f>
        <v>1567700</v>
      </c>
      <c r="D62" s="10">
        <f t="shared" si="0"/>
        <v>94928938100</v>
      </c>
      <c r="E62" s="10">
        <f t="shared" si="146"/>
        <v>70177.7</v>
      </c>
      <c r="F62" s="10">
        <f t="shared" si="45"/>
        <v>70588.95</v>
      </c>
      <c r="G62" s="10">
        <f t="shared" si="99"/>
        <v>66311.066666666666</v>
      </c>
      <c r="H62" s="38">
        <f t="shared" si="60"/>
        <v>69475.317987435366</v>
      </c>
      <c r="I62" s="28">
        <f t="shared" si="25"/>
        <v>68516.195962211743</v>
      </c>
      <c r="J62" s="27">
        <f t="shared" si="82"/>
        <v>66962.628366062141</v>
      </c>
      <c r="K62" s="27">
        <f t="shared" si="83"/>
        <v>1553.5675961496017</v>
      </c>
      <c r="L62" s="27">
        <f t="shared" si="125"/>
        <v>4010.2122721171972</v>
      </c>
      <c r="M62" s="9">
        <f t="shared" si="46"/>
        <v>76259</v>
      </c>
      <c r="N62" s="9">
        <f t="shared" si="47"/>
        <v>60553</v>
      </c>
      <c r="O62" s="38">
        <f t="shared" si="61"/>
        <v>70588.95</v>
      </c>
      <c r="P62" s="38">
        <f t="shared" si="48"/>
        <v>79556.356324573455</v>
      </c>
      <c r="Q62" s="38">
        <f t="shared" si="49"/>
        <v>61621.543675426539</v>
      </c>
      <c r="R62" s="38">
        <f t="shared" si="16"/>
        <v>68406</v>
      </c>
      <c r="S62" s="38">
        <f t="shared" si="84"/>
        <v>66679</v>
      </c>
      <c r="T62" s="38">
        <f t="shared" si="85"/>
        <v>67542.5</v>
      </c>
      <c r="U62" s="38">
        <f t="shared" si="175"/>
        <v>61886.5</v>
      </c>
      <c r="V62" s="38">
        <f t="shared" si="86"/>
        <v>57099</v>
      </c>
      <c r="W62" s="10">
        <f t="shared" si="117"/>
        <v>-0.05</v>
      </c>
      <c r="X62" s="27">
        <f t="shared" si="7"/>
        <v>0</v>
      </c>
      <c r="Y62" s="27">
        <f t="shared" si="8"/>
        <v>0.05</v>
      </c>
      <c r="Z62" s="10">
        <f t="shared" ref="Z62:AA62" si="190">AVERAGE(X49:X62)</f>
        <v>1.0642357657781442E-2</v>
      </c>
      <c r="AA62" s="10">
        <f t="shared" si="190"/>
        <v>2.1496745952049392E-2</v>
      </c>
      <c r="AB62" s="38">
        <f t="shared" si="34"/>
        <v>33.113424030053274</v>
      </c>
      <c r="AC62" s="38">
        <f t="shared" si="97"/>
        <v>0</v>
      </c>
      <c r="AD62" s="38">
        <f t="shared" si="109"/>
        <v>0</v>
      </c>
      <c r="AE62" s="38">
        <f t="shared" si="29"/>
        <v>71600.857142857145</v>
      </c>
      <c r="AF62" s="38">
        <f t="shared" si="30"/>
        <v>4930.1597861006003</v>
      </c>
      <c r="AG62" s="38">
        <f t="shared" si="31"/>
        <v>0</v>
      </c>
      <c r="AH62" s="38">
        <f t="shared" si="32"/>
        <v>4930.1597861006003</v>
      </c>
      <c r="AI62" s="38">
        <f t="shared" si="91"/>
        <v>2414.1989793124267</v>
      </c>
      <c r="AJ62" s="38">
        <f t="shared" si="92"/>
        <v>2367.5595265188117</v>
      </c>
      <c r="AK62" s="38">
        <f t="shared" si="101"/>
        <v>50.487680972771201</v>
      </c>
      <c r="AL62" s="38">
        <f t="shared" si="119"/>
        <v>-3187</v>
      </c>
      <c r="AM62" s="38">
        <f t="shared" si="93"/>
        <v>-557.6429970524822</v>
      </c>
      <c r="AN62" s="38">
        <f t="shared" si="141"/>
        <v>222.75763420077769</v>
      </c>
      <c r="AO62" s="38">
        <f t="shared" si="9"/>
        <v>3187</v>
      </c>
      <c r="AP62" s="38">
        <f t="shared" si="94"/>
        <v>2056.7610729426551</v>
      </c>
      <c r="AQ62" s="38">
        <f t="shared" si="142"/>
        <v>1710.2040875216494</v>
      </c>
      <c r="AR62" s="38">
        <f t="shared" si="138"/>
        <v>13.025207682878831</v>
      </c>
      <c r="AS62" s="38">
        <f t="shared" si="173"/>
        <v>35.580711793591611</v>
      </c>
      <c r="AT62" s="38">
        <f t="shared" si="120"/>
        <v>0</v>
      </c>
      <c r="AU62" s="38">
        <f t="shared" si="121"/>
        <v>94928938100</v>
      </c>
      <c r="AV62" s="38">
        <f t="shared" ref="AV62:AW62" si="191">AVERAGE(AT49:AT62)</f>
        <v>92042153131.214279</v>
      </c>
      <c r="AW62" s="38">
        <f t="shared" si="191"/>
        <v>108023145031.07143</v>
      </c>
      <c r="AX62" s="38">
        <f t="shared" si="36"/>
        <v>0.85205955728042881</v>
      </c>
      <c r="AY62" s="38">
        <f t="shared" si="37"/>
        <v>46.006056011049466</v>
      </c>
      <c r="AZ62" s="38">
        <f t="shared" si="52"/>
        <v>70588.95</v>
      </c>
      <c r="BA62" s="38">
        <f t="array" ref="BA62">SUM(ABS((B43:B62-AVERAGE(B43:B62))))/COUNT(B43:B62)</f>
        <v>3650.95</v>
      </c>
      <c r="BB62" s="38">
        <f t="shared" si="64"/>
        <v>-183.25732571887679</v>
      </c>
      <c r="BC62" s="38">
        <f t="shared" si="123"/>
        <v>-4996259900</v>
      </c>
      <c r="BD62" s="38">
        <f t="shared" si="38"/>
        <v>-3222033095.8541398</v>
      </c>
      <c r="BE62" s="9">
        <f t="shared" si="26"/>
        <v>76259</v>
      </c>
      <c r="BF62" s="9">
        <f t="shared" si="27"/>
        <v>60553</v>
      </c>
      <c r="BG62" s="32">
        <f t="shared" si="28"/>
        <v>0</v>
      </c>
      <c r="BH62" s="34">
        <f t="shared" si="134"/>
        <v>65674.145165027061</v>
      </c>
      <c r="BI62" s="33">
        <f t="shared" si="65"/>
        <v>68070.620229973851</v>
      </c>
      <c r="BJ62" s="27">
        <f t="shared" si="89"/>
        <v>-3.520571807411766E-2</v>
      </c>
      <c r="BK62" s="35">
        <f t="shared" si="135"/>
        <v>2657487.1693538153</v>
      </c>
      <c r="BL62" s="36">
        <f t="shared" si="66"/>
        <v>3104510.4696569052</v>
      </c>
      <c r="BM62" s="27">
        <f t="shared" si="73"/>
        <v>-0.14399155830596785</v>
      </c>
      <c r="BN62" s="38">
        <f t="shared" si="136"/>
        <v>174122764923.19629</v>
      </c>
      <c r="BO62" s="38">
        <f t="shared" si="54"/>
        <v>262257261013.60001</v>
      </c>
      <c r="BP62" s="27">
        <f t="shared" si="68"/>
        <v>-0.33606122381425041</v>
      </c>
      <c r="BQ62" s="38">
        <f t="shared" si="124"/>
        <v>-3187</v>
      </c>
      <c r="BR62" s="38">
        <f t="shared" si="10"/>
        <v>0</v>
      </c>
      <c r="BS62" s="38">
        <f t="shared" si="11"/>
        <v>3187</v>
      </c>
      <c r="BT62" s="38">
        <f t="shared" si="22"/>
        <v>-46.682232080317533</v>
      </c>
      <c r="BU62" s="38">
        <f t="shared" si="149"/>
        <v>555</v>
      </c>
      <c r="BV62" s="38">
        <f t="shared" si="150"/>
        <v>30885</v>
      </c>
      <c r="BW62" s="38">
        <f t="shared" si="151"/>
        <v>701777</v>
      </c>
      <c r="BX62" s="38">
        <f t="shared" si="152"/>
        <v>38842875</v>
      </c>
      <c r="BY62" s="38">
        <f t="shared" si="23"/>
        <v>-1281.8</v>
      </c>
      <c r="BZ62" s="38">
        <f t="shared" si="24"/>
        <v>141317.6</v>
      </c>
      <c r="CA62" s="38">
        <f t="shared" si="153"/>
        <v>64409.600000000006</v>
      </c>
      <c r="CB62" s="35">
        <f t="shared" si="55"/>
        <v>1010</v>
      </c>
      <c r="CC62" s="35">
        <f t="shared" si="56"/>
        <v>51670</v>
      </c>
      <c r="CD62" s="35">
        <f t="shared" si="57"/>
        <v>1411779</v>
      </c>
      <c r="CE62" s="35">
        <f t="shared" si="58"/>
        <v>71254961</v>
      </c>
      <c r="CF62" s="38">
        <f t="shared" si="69"/>
        <v>-59.967669172932332</v>
      </c>
      <c r="CG62" s="38">
        <f t="shared" si="70"/>
        <v>73617.317293233078</v>
      </c>
      <c r="CH62" s="38">
        <f t="shared" si="59"/>
        <v>70019.257142857139</v>
      </c>
      <c r="CI62" s="36">
        <f t="shared" si="103"/>
        <v>1365</v>
      </c>
      <c r="CJ62" s="36">
        <f t="shared" si="104"/>
        <v>64355</v>
      </c>
      <c r="CK62" s="36">
        <f t="shared" si="105"/>
        <v>1989332</v>
      </c>
      <c r="CL62" s="36">
        <f t="shared" si="106"/>
        <v>91782239</v>
      </c>
      <c r="CM62" s="38">
        <f t="shared" si="111"/>
        <v>564.0191323692992</v>
      </c>
      <c r="CN62" s="38">
        <f t="shared" si="112"/>
        <v>40648.196143863555</v>
      </c>
      <c r="CO62" s="38">
        <f t="shared" si="107"/>
        <v>74489.344086021505</v>
      </c>
    </row>
  </sheetData>
  <mergeCells count="21">
    <mergeCell ref="E1:H1"/>
    <mergeCell ref="BN1:BP1"/>
    <mergeCell ref="M1:N1"/>
    <mergeCell ref="I1:L1"/>
    <mergeCell ref="BH1:BJ1"/>
    <mergeCell ref="BK1:BM1"/>
    <mergeCell ref="BE1:BG1"/>
    <mergeCell ref="O1:Q1"/>
    <mergeCell ref="W1:AB1"/>
    <mergeCell ref="AT1:AY1"/>
    <mergeCell ref="AZ1:BB1"/>
    <mergeCell ref="AL1:AS1"/>
    <mergeCell ref="BC1:BD1"/>
    <mergeCell ref="AE1:AK1"/>
    <mergeCell ref="AC1:AD1"/>
    <mergeCell ref="R1:V1"/>
    <mergeCell ref="BU2:CA2"/>
    <mergeCell ref="CB2:CH2"/>
    <mergeCell ref="CI2:CO2"/>
    <mergeCell ref="BU1:CO1"/>
    <mergeCell ref="BQ1:BT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6"/>
  <dimension ref="A1:BT62"/>
  <sheetViews>
    <sheetView topLeftCell="N1" zoomScale="70" zoomScaleNormal="70" workbookViewId="0">
      <pane ySplit="1" topLeftCell="A2" activePane="bottomLeft" state="frozen"/>
      <selection pane="bottomLeft" activeCell="B2" sqref="B2:D61"/>
    </sheetView>
  </sheetViews>
  <sheetFormatPr defaultRowHeight="15" x14ac:dyDescent="0.25"/>
  <cols>
    <col min="2" max="2" width="13.7109375" style="5" customWidth="1"/>
    <col min="3" max="4" width="15.42578125" style="7" customWidth="1"/>
    <col min="5" max="7" width="9.140625" style="27"/>
    <col min="8" max="9" width="16.28515625" style="27" customWidth="1"/>
    <col min="10" max="10" width="10.28515625" style="40" bestFit="1" customWidth="1"/>
    <col min="11" max="11" width="13" style="50" bestFit="1" customWidth="1"/>
    <col min="12" max="12" width="11.5703125" style="49" bestFit="1" customWidth="1"/>
    <col min="13" max="13" width="13" style="50" bestFit="1" customWidth="1"/>
    <col min="14" max="14" width="11.5703125" style="49" bestFit="1" customWidth="1"/>
    <col min="15" max="17" width="13" style="49" bestFit="1" customWidth="1"/>
    <col min="18" max="18" width="9.28515625" style="49" bestFit="1" customWidth="1"/>
    <col min="19" max="19" width="13" style="49" bestFit="1" customWidth="1"/>
    <col min="20" max="20" width="11.7109375" style="49" bestFit="1" customWidth="1"/>
    <col min="21" max="21" width="13" style="49" bestFit="1" customWidth="1"/>
    <col min="22" max="22" width="11.7109375" style="49" bestFit="1" customWidth="1"/>
    <col min="23" max="23" width="9.28515625" style="49" bestFit="1" customWidth="1"/>
    <col min="24" max="24" width="11.5703125" style="49" bestFit="1" customWidth="1"/>
    <col min="25" max="26" width="9.28515625" style="49" bestFit="1" customWidth="1"/>
    <col min="27" max="27" width="11.7109375" style="49" bestFit="1" customWidth="1"/>
    <col min="28" max="28" width="13" style="49" bestFit="1" customWidth="1"/>
    <col min="29" max="29" width="10.28515625" style="49" bestFit="1" customWidth="1"/>
    <col min="30" max="30" width="11.5703125" style="49" bestFit="1" customWidth="1"/>
    <col min="31" max="41" width="11.5703125" style="49" customWidth="1"/>
    <col min="42" max="42" width="9.140625" style="49"/>
    <col min="43" max="43" width="11.7109375" style="50" bestFit="1" customWidth="1"/>
    <col min="44" max="44" width="10.28515625" style="50" bestFit="1" customWidth="1"/>
    <col min="45" max="45" width="11.7109375" style="50" bestFit="1" customWidth="1"/>
    <col min="46" max="46" width="11.5703125" style="50" bestFit="1" customWidth="1"/>
    <col min="47" max="49" width="11.7109375" style="50" bestFit="1" customWidth="1"/>
    <col min="50" max="50" width="9.28515625" style="50" bestFit="1" customWidth="1"/>
    <col min="51" max="51" width="11.7109375" style="50" bestFit="1" customWidth="1"/>
    <col min="52" max="52" width="13" style="50" bestFit="1" customWidth="1"/>
    <col min="53" max="53" width="11.7109375" style="50" bestFit="1" customWidth="1"/>
    <col min="54" max="54" width="13" style="50" bestFit="1" customWidth="1"/>
    <col min="55" max="55" width="9.28515625" style="50" bestFit="1" customWidth="1"/>
    <col min="56" max="56" width="10.28515625" style="50" bestFit="1" customWidth="1"/>
    <col min="57" max="57" width="9.28515625" style="50" bestFit="1" customWidth="1"/>
    <col min="58" max="58" width="10.140625" style="50" bestFit="1" customWidth="1"/>
    <col min="59" max="59" width="13" style="50" bestFit="1" customWidth="1"/>
    <col min="60" max="60" width="11.7109375" style="50" bestFit="1" customWidth="1"/>
    <col min="61" max="61" width="11.5703125" style="50" bestFit="1" customWidth="1"/>
    <col min="62" max="62" width="10.28515625" style="50" bestFit="1" customWidth="1"/>
    <col min="63" max="70" width="9.140625" style="70"/>
    <col min="71" max="72" width="9.140625" style="5"/>
  </cols>
  <sheetData>
    <row r="1" spans="1:72" s="41" customFormat="1" x14ac:dyDescent="0.25">
      <c r="B1" s="42" t="s">
        <v>315</v>
      </c>
      <c r="C1" s="43" t="s">
        <v>343</v>
      </c>
      <c r="D1" s="43" t="s">
        <v>344</v>
      </c>
      <c r="E1" s="67" t="s">
        <v>319</v>
      </c>
      <c r="F1" s="67" t="s">
        <v>320</v>
      </c>
      <c r="G1" s="67" t="s">
        <v>345</v>
      </c>
      <c r="H1" s="67" t="s">
        <v>343</v>
      </c>
      <c r="I1" s="67" t="s">
        <v>344</v>
      </c>
      <c r="J1" s="44">
        <f>(MAX(PRICE)-MIN(PRICE))/30</f>
        <v>1058.1666666666667</v>
      </c>
      <c r="K1" s="125" t="s">
        <v>2</v>
      </c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68"/>
      <c r="AP1" s="46"/>
      <c r="AQ1" s="125" t="s">
        <v>3</v>
      </c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5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</row>
    <row r="2" spans="1:72" s="8" customFormat="1" x14ac:dyDescent="0.25">
      <c r="A2" s="8">
        <v>1</v>
      </c>
      <c r="B2">
        <v>44514</v>
      </c>
      <c r="C2" s="7">
        <v>-2114000</v>
      </c>
      <c r="D2" s="7">
        <v>2112848</v>
      </c>
      <c r="E2" s="38">
        <f>B2</f>
        <v>44514</v>
      </c>
      <c r="F2" s="38">
        <f>E2+$J$1</f>
        <v>45572.166666666664</v>
      </c>
      <c r="G2" s="38">
        <f>(E2+F2)*0.5</f>
        <v>45043.083333333328</v>
      </c>
      <c r="H2" s="27">
        <f>K62</f>
        <v>-4048000</v>
      </c>
      <c r="I2" s="38">
        <f>AQ62</f>
        <v>4046466</v>
      </c>
      <c r="J2" s="39"/>
      <c r="K2" s="47">
        <f>IF(B2&gt;=$E$2,IF(B2&lt;=$F$2,C2,0))</f>
        <v>-2114000</v>
      </c>
      <c r="L2" s="48" t="b">
        <f>IF(B2&gt;=$E$3,IF(B2&lt;=$F$3,C2,0))</f>
        <v>0</v>
      </c>
      <c r="M2" s="47" t="b">
        <f>IF(B2&gt;=$E$4,IF(B2&lt;=$F$4,C2,0))</f>
        <v>0</v>
      </c>
      <c r="N2" s="48" t="b">
        <f>IF(B2&gt;=$E$5,IF(B2&lt;=$F$5,C2,0))</f>
        <v>0</v>
      </c>
      <c r="O2" s="48" t="b">
        <f>IF(B2&gt;$E$6,IF(B2&lt;=$F$6,C2,0))</f>
        <v>0</v>
      </c>
      <c r="P2" s="48" t="b">
        <f>IF(B2&gt;=$E$7,IF(B2&lt;=$F$7,C2,0))</f>
        <v>0</v>
      </c>
      <c r="Q2" s="48" t="b">
        <f>IF(B2&gt;=$E$8,IF(B2&lt;=$F$8,C2,0))</f>
        <v>0</v>
      </c>
      <c r="R2" s="48" t="b">
        <f>IF(B2&gt;=$E$9,IF(B2&lt;=$F$9,C2,0))</f>
        <v>0</v>
      </c>
      <c r="S2" s="48" t="b">
        <f>IF(B2&gt;=$E$10,IF(B2&lt;=$F$10,C2,0))</f>
        <v>0</v>
      </c>
      <c r="T2" s="48" t="b">
        <f>IF(B2&gt;=$E$11,IF(B2&lt;=$F$11,C2,0))</f>
        <v>0</v>
      </c>
      <c r="U2" s="48" t="b">
        <f>IF(B2&gt;=$E$12,IF(B2&lt;=$F$12,C2,0))</f>
        <v>0</v>
      </c>
      <c r="V2" s="48" t="b">
        <f>IF(B2&gt;=$E$13,IF(B2&lt;=$F$13,C2,0))</f>
        <v>0</v>
      </c>
      <c r="W2" s="48" t="b">
        <f>IF(B2&gt;=$E$14,IF(B2&lt;=$F$14,C2,0))</f>
        <v>0</v>
      </c>
      <c r="X2" s="48" t="b">
        <f>IF(B2&gt;=$E$15,IF(B2&lt;=$F$15,C2,0))</f>
        <v>0</v>
      </c>
      <c r="Y2" s="48" t="b">
        <f>IF(B2&gt;=$E$16,IF(B2&lt;=$F$16,C2,0))</f>
        <v>0</v>
      </c>
      <c r="Z2" s="48" t="b">
        <f>IF(B2&gt;=$E$17,IF(B2&lt;=$F$17,C2,0))</f>
        <v>0</v>
      </c>
      <c r="AA2" s="48" t="b">
        <f>IF(B2&gt;=$E$18,IF(B2&lt;=$F$18,C2,0))</f>
        <v>0</v>
      </c>
      <c r="AB2" s="48" t="b">
        <f>IF(B2&gt;=$E$19,IF(B2&lt;=$F$19,C2,0))</f>
        <v>0</v>
      </c>
      <c r="AC2" s="48" t="b">
        <f>IF(B2&gt;=$E$20,IF(B2&lt;=$F$20,C2,0))</f>
        <v>0</v>
      </c>
      <c r="AD2" s="48" t="b">
        <f>IF(B2&gt;=$E$21,IF(B2&lt;=$F$21,C2,0))</f>
        <v>0</v>
      </c>
      <c r="AE2" s="48" t="b">
        <f>IF(B2&gt;=$E$22,IF(B2&lt;=$F$22,C2,0))</f>
        <v>0</v>
      </c>
      <c r="AF2" s="48" t="b">
        <f>IF(B2&gt;=$E$23,IF(B2&lt;=$F$23,C2,0))</f>
        <v>0</v>
      </c>
      <c r="AG2" s="48" t="b">
        <f>IF(B2&gt;=$E$24,IF(B2&lt;=$F$24,C2,0))</f>
        <v>0</v>
      </c>
      <c r="AH2" s="48" t="b">
        <f>IF(B2&gt;=$E$25,IF(B2&lt;=$F$25,C2,0))</f>
        <v>0</v>
      </c>
      <c r="AI2" s="48" t="b">
        <f>IF(B2&gt;=$E$26,IF(B2&lt;=$F$26,C2,0))</f>
        <v>0</v>
      </c>
      <c r="AJ2" s="48" t="b">
        <f>IF(B2&gt;=$E$27,IF(B2&lt;=$F$27,C2,0))</f>
        <v>0</v>
      </c>
      <c r="AK2" s="48" t="b">
        <f>IF(B2&gt;=$E$28,IF(B2&lt;=$F$28,C2,0))</f>
        <v>0</v>
      </c>
      <c r="AL2" s="48" t="b">
        <f>IF(B2&gt;=$E$29,IF(B2&lt;=$F$29,C2,0))</f>
        <v>0</v>
      </c>
      <c r="AM2" s="48" t="b">
        <f>IF(B2&gt;=$E$30,IF(B2&lt;=$F$30,C2,0))</f>
        <v>0</v>
      </c>
      <c r="AN2" s="48" t="b">
        <f>IF(B2&gt;=$E$31,IF(B2&lt;=$F$31,C2,0))</f>
        <v>0</v>
      </c>
      <c r="AO2" s="48"/>
      <c r="AP2" s="48"/>
      <c r="AQ2" s="47">
        <f>IF(B2&gt;=$E$2,IF(B2&lt;=$F$2,D2,0))</f>
        <v>2112848</v>
      </c>
      <c r="AR2" s="47" t="b">
        <f>IF(B2&gt;=$E$3,IF(B2&lt;=$F$3,D2,0))</f>
        <v>0</v>
      </c>
      <c r="AS2" s="47" t="b">
        <f>IF(B2&gt;=$E$4,IF(B2&lt;=$F$4,D2,0))</f>
        <v>0</v>
      </c>
      <c r="AT2" s="47" t="b">
        <f>IF(B2&gt;=$E$5,IF(B2&lt;=$F$5,D2,0))</f>
        <v>0</v>
      </c>
      <c r="AU2" s="47" t="b">
        <f>IF(B2&gt;=$E$6,IF(B2&lt;=$F$6,D2,0))</f>
        <v>0</v>
      </c>
      <c r="AV2" s="47" t="b">
        <f>IF(B2&gt;=$E$7,IF(B2&lt;=$F$7,D2,0))</f>
        <v>0</v>
      </c>
      <c r="AW2" s="47" t="b">
        <f>IF(B2&gt;=$E$8,IF(B2&lt;=$F$8,D2,0))</f>
        <v>0</v>
      </c>
      <c r="AX2" s="47" t="b">
        <f>IF(B2&gt;=$E$9,IF(B2&lt;=$F$9,D2,0))</f>
        <v>0</v>
      </c>
      <c r="AY2" s="47" t="b">
        <f>IF(B2&gt;=$E$10,IF(B2&lt;=$F$10,D2,0))</f>
        <v>0</v>
      </c>
      <c r="AZ2" s="47" t="b">
        <f>IF(B2&gt;=$E$11,IF(B2&lt;=$F$11,D2,0))</f>
        <v>0</v>
      </c>
      <c r="BA2" s="47" t="b">
        <f>IF(B2&gt;=$E$12,IF(B2&lt;=$F$12,D2,0))</f>
        <v>0</v>
      </c>
      <c r="BB2" s="47" t="b">
        <f>IF(B2&gt;=$E$13,IF(B2&lt;=$F$13,D2,0))</f>
        <v>0</v>
      </c>
      <c r="BC2" s="47" t="b">
        <f>IF(B2&gt;=$E$14,IF(B2&lt;=$F$14,D2,0))</f>
        <v>0</v>
      </c>
      <c r="BD2" s="47" t="b">
        <f>IF(B2&gt;=$E$15,IF(B2&lt;=$F$15,D2,0))</f>
        <v>0</v>
      </c>
      <c r="BE2" s="47" t="b">
        <f>IF(B2&gt;=$E$16,IF(B2&lt;=$F$16,D2,0))</f>
        <v>0</v>
      </c>
      <c r="BF2" s="47" t="b">
        <f>IF(B2&gt;=$E$17,IF(B2&lt;=$F$17,D2,0))</f>
        <v>0</v>
      </c>
      <c r="BG2" s="47" t="b">
        <f>IF(B2&gt;=$E$18,IF(B2&lt;=$F$18,D2,0))</f>
        <v>0</v>
      </c>
      <c r="BH2" s="47" t="b">
        <f>IF(B2&gt;=$E$19,IF(B2&lt;=$F$19,D2,0))</f>
        <v>0</v>
      </c>
      <c r="BI2" s="47" t="b">
        <f>IF(B2&gt;=$E$20,IF(B2&lt;=$F$20,D2,0))</f>
        <v>0</v>
      </c>
      <c r="BJ2" s="47" t="b">
        <f>IF(B2&gt;=$E$21,IF(B2&lt;=$F$21,D2,0))</f>
        <v>0</v>
      </c>
      <c r="BK2" s="69" t="b">
        <f>IF(B2&gt;=$E$22,IF(B2&lt;=$F$22,D2,0))</f>
        <v>0</v>
      </c>
      <c r="BL2" s="69" t="b">
        <f>IF(B2&gt;=$E$23,IF(B2&lt;=$F$23,D2,0))</f>
        <v>0</v>
      </c>
      <c r="BM2" s="69" t="b">
        <f>IF(B2&gt;=$E$24,IF(B2&lt;=$F$24,D2,0))</f>
        <v>0</v>
      </c>
      <c r="BN2" s="69" t="b">
        <f>IF(B2&gt;=$E$25,IF(B2&lt;=$F$25,D2,0))</f>
        <v>0</v>
      </c>
      <c r="BO2" s="69" t="b">
        <f>IF(B2&gt;=$E$26,IF(B2&lt;=$F$26,D2,0))</f>
        <v>0</v>
      </c>
      <c r="BP2" s="69" t="b">
        <f>IF(B2&gt;=$E$27,IF(B2&lt;=$F$27,D2,0))</f>
        <v>0</v>
      </c>
      <c r="BQ2" s="69" t="b">
        <f>IF(B2&gt;=$E$28,IF(B2&lt;=$F$28,D2,0))</f>
        <v>0</v>
      </c>
      <c r="BR2" s="69" t="b">
        <f>IF(B2&gt;=$E$29,IF(B2&lt;=$F$29,D2,0))</f>
        <v>0</v>
      </c>
      <c r="BS2" s="37" t="b">
        <f>IF(B2&gt;=$E$30,IF(B2&lt;=$F$30,D2,0))</f>
        <v>0</v>
      </c>
      <c r="BT2" s="37" t="b">
        <f>IF(B2&gt;=$E$31,IF(B2&lt;=$F$31,D2,0))</f>
        <v>0</v>
      </c>
    </row>
    <row r="3" spans="1:72" s="8" customFormat="1" x14ac:dyDescent="0.25">
      <c r="A3" s="8">
        <v>2</v>
      </c>
      <c r="B3">
        <v>44993</v>
      </c>
      <c r="C3" s="7">
        <v>-1334000</v>
      </c>
      <c r="D3" s="7">
        <v>1333502</v>
      </c>
      <c r="E3" s="38">
        <f>F2</f>
        <v>45572.166666666664</v>
      </c>
      <c r="F3" s="38">
        <f>E3+$J$1</f>
        <v>46630.333333333328</v>
      </c>
      <c r="G3" s="38">
        <f t="shared" ref="G3:G21" si="0">(E3+F3)*0.5</f>
        <v>46101.25</v>
      </c>
      <c r="H3" s="27">
        <f>L62</f>
        <v>-782000</v>
      </c>
      <c r="I3" s="38">
        <f>AR62</f>
        <v>782738</v>
      </c>
      <c r="J3" s="39"/>
      <c r="K3" s="47">
        <f>IF(B3&gt;$E$2,IF(B3&lt;=$F$2,C3,0))</f>
        <v>-1334000</v>
      </c>
      <c r="L3" s="47" t="b">
        <f>IF(B3&gt;$E$3,IF(B3&lt;=$F$3,C3,0))</f>
        <v>0</v>
      </c>
      <c r="M3" s="47" t="b">
        <f>IF(B3&gt;$E$4,IF(B3&lt;=$F$4,C3,0))</f>
        <v>0</v>
      </c>
      <c r="N3" s="48" t="b">
        <f>IF(B3&gt;$E$5,IF(B3&lt;=$F$5,C3,0))</f>
        <v>0</v>
      </c>
      <c r="O3" s="48" t="b">
        <f>IF(B3&gt;=$E$6,IF(B3&lt;=$F$6,C3,0))</f>
        <v>0</v>
      </c>
      <c r="P3" s="48" t="b">
        <f>IF(B3&gt;$E$7,IF(B3&lt;=$F$7,C3,0))</f>
        <v>0</v>
      </c>
      <c r="Q3" s="48" t="b">
        <f>IF(B3&gt;$E$8,IF(B3&lt;=$F$8,C3,0))</f>
        <v>0</v>
      </c>
      <c r="R3" s="48" t="b">
        <f>IF(B3&gt;$E$9,IF(B3&lt;=$F$9,C3,0))</f>
        <v>0</v>
      </c>
      <c r="S3" s="48" t="b">
        <f>IF(B3&gt;$E$10,IF(B3&lt;=$F$10,C3,0))</f>
        <v>0</v>
      </c>
      <c r="T3" s="48" t="b">
        <f>IF(B3&gt;$E$11,IF(B3&lt;=$F$11,C3,0))</f>
        <v>0</v>
      </c>
      <c r="U3" s="48" t="b">
        <f>IF(B3&gt;$E$12,IF(B3&lt;=$F$12,C3,0))</f>
        <v>0</v>
      </c>
      <c r="V3" s="48" t="b">
        <f>IF(B3&gt;$E$13,IF(B3&lt;=$F$13,C3,0))</f>
        <v>0</v>
      </c>
      <c r="W3" s="48" t="b">
        <f>IF(B3&gt;$E$14,IF(B3&lt;=$F$14,C3,0))</f>
        <v>0</v>
      </c>
      <c r="X3" s="48" t="b">
        <f>IF(B3&gt;$E$15,IF(B3&lt;=$F$15,C3,0))</f>
        <v>0</v>
      </c>
      <c r="Y3" s="48" t="b">
        <f>IF(B3&gt;$E$16,IF(B3&lt;=$F$16,C3,0))</f>
        <v>0</v>
      </c>
      <c r="Z3" s="48" t="b">
        <f>IF(B3&gt;$E$17,IF(B3&lt;=$F$17,C3,0))</f>
        <v>0</v>
      </c>
      <c r="AA3" s="48" t="b">
        <f>IF(B3&gt;$E$18,IF(B3&lt;=$F$18,C3,0))</f>
        <v>0</v>
      </c>
      <c r="AB3" s="48" t="b">
        <f>IF(B3&gt;$E$19,IF(B3&lt;=$F$19,C3,0))</f>
        <v>0</v>
      </c>
      <c r="AC3" s="48" t="b">
        <f>IF(B3&gt;$E$20,IF(B3&lt;=$F$20,C3,0))</f>
        <v>0</v>
      </c>
      <c r="AD3" s="48" t="b">
        <f>IF(B3&gt;$E$21,IF(B3&lt;=$F$21,C3,0))</f>
        <v>0</v>
      </c>
      <c r="AE3" s="48" t="b">
        <f>IF(B3&gt;$E$22,IF(B3&lt;=$F$22,C3,0))</f>
        <v>0</v>
      </c>
      <c r="AF3" s="48" t="b">
        <f>IF(B3&gt;$E$23,IF(B3&lt;=$F$23,C3,0))</f>
        <v>0</v>
      </c>
      <c r="AG3" s="48" t="b">
        <f>IF(B3&gt;$E$24,IF(B3&lt;=$F$24,C3,0))</f>
        <v>0</v>
      </c>
      <c r="AH3" s="48" t="b">
        <f>IF(B3&gt;$E$25,IF(B3&lt;=$F$25,C3,0))</f>
        <v>0</v>
      </c>
      <c r="AI3" s="48" t="b">
        <f>IF(B3&gt;$E$26,IF(B3&lt;=$F$26,C3,0))</f>
        <v>0</v>
      </c>
      <c r="AJ3" s="48" t="b">
        <f>IF(B3&gt;$E$27,IF(B3&lt;=$F$27,C3,0))</f>
        <v>0</v>
      </c>
      <c r="AK3" s="48" t="b">
        <f>IF(B3&gt;$E$28,IF(B3&lt;=$F$28,C3,0))</f>
        <v>0</v>
      </c>
      <c r="AL3" s="48" t="b">
        <f>IF(B3&gt;$E$29,IF(B3&lt;=$F$29,C3,0))</f>
        <v>0</v>
      </c>
      <c r="AM3" s="48" t="b">
        <f>IF(B3&gt;$E$30,IF(B3&lt;=$F$30,C3,0))</f>
        <v>0</v>
      </c>
      <c r="AN3" s="48" t="b">
        <f>IF(B3&gt;$E$31,IF(B3&lt;=$F$31,C3,0))</f>
        <v>0</v>
      </c>
      <c r="AO3" s="48"/>
      <c r="AP3" s="48"/>
      <c r="AQ3" s="47">
        <f>IF(B3&gt;$E$2,IF(B3&lt;=$F$2,D3,0))</f>
        <v>1333502</v>
      </c>
      <c r="AR3" s="47" t="b">
        <f>IF(B3&gt;$E$3,IF(B3&lt;=$F$3,D3,0))</f>
        <v>0</v>
      </c>
      <c r="AS3" s="47" t="b">
        <f>IF(B3&gt;$E$4,IF(B3&lt;=$F$4,D3,0))</f>
        <v>0</v>
      </c>
      <c r="AT3" s="47" t="b">
        <f>IF(B3&gt;$E$5,IF(B3&lt;=$F$5,D3,0))</f>
        <v>0</v>
      </c>
      <c r="AU3" s="47" t="b">
        <f>IF(B3&gt;$E$6,IF(B3&lt;=$F$6,D3,0))</f>
        <v>0</v>
      </c>
      <c r="AV3" s="47" t="b">
        <f>IF(B3&gt;$E$7,IF(B3&lt;=$F$7,D3,0))</f>
        <v>0</v>
      </c>
      <c r="AW3" s="47" t="b">
        <f>IF(B3&gt;$E$8,IF(B3&lt;=$F$8,D3,0))</f>
        <v>0</v>
      </c>
      <c r="AX3" s="47" t="b">
        <f>IF(B3&gt;$E$9,IF(B3&lt;=$F$9,D3,0))</f>
        <v>0</v>
      </c>
      <c r="AY3" s="47" t="b">
        <f>IF(B3&gt;$E$10,IF(B3&lt;=$F$10,D3,0))</f>
        <v>0</v>
      </c>
      <c r="AZ3" s="47" t="b">
        <f>IF(B3&gt;$E$11,IF(B3&lt;=$F$11,D3,0))</f>
        <v>0</v>
      </c>
      <c r="BA3" s="47" t="b">
        <f>IF(B3&gt;$E$12,IF(B3&lt;=$F$12,D3,0))</f>
        <v>0</v>
      </c>
      <c r="BB3" s="47" t="b">
        <f>IF(B3&gt;$E$13,IF(B3&lt;=$F$13,D3,0))</f>
        <v>0</v>
      </c>
      <c r="BC3" s="47" t="b">
        <f>IF(B3&gt;$E$14,IF(B3&lt;=$F$14,D3,0))</f>
        <v>0</v>
      </c>
      <c r="BD3" s="47" t="b">
        <f>IF(B3&gt;$E$15,IF(B3&lt;=$F$15,D3,0))</f>
        <v>0</v>
      </c>
      <c r="BE3" s="47" t="b">
        <f>IF(B3&gt;$E$16,IF(B3&lt;=$F$16,D3,0))</f>
        <v>0</v>
      </c>
      <c r="BF3" s="47" t="b">
        <f>IF(B3&gt;$E$17,IF(B3&lt;=$F$17,D3,0))</f>
        <v>0</v>
      </c>
      <c r="BG3" s="47" t="b">
        <f>IF(B3&gt;$E$18,IF(B3&lt;=$F$18,D3,0))</f>
        <v>0</v>
      </c>
      <c r="BH3" s="47" t="b">
        <f>IF(B3&gt;$E$19,IF(B3&lt;=$F$19,D3,0))</f>
        <v>0</v>
      </c>
      <c r="BI3" s="47" t="b">
        <f>IF(B3&gt;$E$20,IF(B3&lt;=$F$20,D3,0))</f>
        <v>0</v>
      </c>
      <c r="BJ3" s="47" t="b">
        <f>IF(B3&gt;$E$21,IF(B3&lt;=$F$21,D3,0))</f>
        <v>0</v>
      </c>
      <c r="BK3" s="69" t="b">
        <f>IF(B3&gt;$E$22,IF(B3&lt;=$F$22,D3,0))</f>
        <v>0</v>
      </c>
      <c r="BL3" s="69" t="b">
        <f>IF(B3&gt;$E$23,IF(B3&lt;=$F$23,D3,0))</f>
        <v>0</v>
      </c>
      <c r="BM3" s="69" t="b">
        <f>IF(B3&gt;$E$24,IF(B3&lt;=$F$24,D3,0))</f>
        <v>0</v>
      </c>
      <c r="BN3" s="69" t="b">
        <f>IF(B3&gt;$E$25,IF(B3&lt;=$F$25,D3,0))</f>
        <v>0</v>
      </c>
      <c r="BO3" s="69" t="b">
        <f>IF(B3&gt;$E$26,IF(B3&lt;=$F$26,D3,0))</f>
        <v>0</v>
      </c>
      <c r="BP3" s="69" t="b">
        <f>IF(B3&gt;$E$27,IF(B3&lt;=$F$27,D3,0))</f>
        <v>0</v>
      </c>
      <c r="BQ3" s="69" t="b">
        <f>IF(B3&gt;$E$28,IF(B3&lt;=$F$28,D3,0))</f>
        <v>0</v>
      </c>
      <c r="BR3" s="69" t="b">
        <f>IF(B3&gt;$E$29,IF(B3&lt;=$F$29,D3,0))</f>
        <v>0</v>
      </c>
      <c r="BS3" s="37" t="b">
        <f>IF(B3&gt;$E$30,IF(B3&lt;=$F$30,D3,0))</f>
        <v>0</v>
      </c>
      <c r="BT3" s="37" t="b">
        <f>IF(B3&gt;$E$31,IF(B3&lt;=$F$31,D3,0))</f>
        <v>0</v>
      </c>
    </row>
    <row r="4" spans="1:72" s="8" customFormat="1" x14ac:dyDescent="0.25">
      <c r="A4" s="8">
        <v>3</v>
      </c>
      <c r="B4">
        <v>45474</v>
      </c>
      <c r="C4" s="7">
        <v>-600000</v>
      </c>
      <c r="D4" s="7">
        <v>600116</v>
      </c>
      <c r="E4" s="38">
        <f t="shared" ref="E4:E21" si="1">F3</f>
        <v>46630.333333333328</v>
      </c>
      <c r="F4" s="38">
        <f t="shared" ref="F4:F21" si="2">E4+$J$1</f>
        <v>47688.499999999993</v>
      </c>
      <c r="G4" s="38">
        <f t="shared" si="0"/>
        <v>47159.416666666657</v>
      </c>
      <c r="H4" s="27">
        <f>M62</f>
        <v>-3522000</v>
      </c>
      <c r="I4" s="38">
        <f>AS62</f>
        <v>3521180</v>
      </c>
      <c r="J4" s="39"/>
      <c r="K4" s="47">
        <f t="shared" ref="K4:K61" si="3">IF(B4&gt;$E$2,IF(B4&lt;=$F$2,C4,0))</f>
        <v>-600000</v>
      </c>
      <c r="L4" s="47" t="b">
        <f t="shared" ref="L4:L61" si="4">IF(B4&gt;$E$3,IF(B4&lt;=$F$3,C4,0))</f>
        <v>0</v>
      </c>
      <c r="M4" s="47" t="b">
        <f t="shared" ref="M4:M61" si="5">IF(B4&gt;$E$4,IF(B4&lt;=$F$4,C4,0))</f>
        <v>0</v>
      </c>
      <c r="N4" s="48" t="b">
        <f t="shared" ref="N4:N61" si="6">IF(B4&gt;$E$5,IF(B4&lt;=$F$5,C4,0))</f>
        <v>0</v>
      </c>
      <c r="O4" s="48" t="b">
        <f t="shared" ref="O4:O61" si="7">IF(B4&gt;=$E$6,IF(B4&lt;=$F$6,C4,0))</f>
        <v>0</v>
      </c>
      <c r="P4" s="48" t="b">
        <f t="shared" ref="P4:P61" si="8">IF(B4&gt;$E$7,IF(B4&lt;=$F$7,C4,0))</f>
        <v>0</v>
      </c>
      <c r="Q4" s="48" t="b">
        <f t="shared" ref="Q4:Q61" si="9">IF(B4&gt;$E$8,IF(B4&lt;=$F$8,C4,0))</f>
        <v>0</v>
      </c>
      <c r="R4" s="48" t="b">
        <f t="shared" ref="R4:R61" si="10">IF(B4&gt;$E$9,IF(B4&lt;=$F$9,C4,0))</f>
        <v>0</v>
      </c>
      <c r="S4" s="48" t="b">
        <f t="shared" ref="S4:S61" si="11">IF(B4&gt;$E$10,IF(B4&lt;=$F$10,C4,0))</f>
        <v>0</v>
      </c>
      <c r="T4" s="48" t="b">
        <f t="shared" ref="T4:T61" si="12">IF(B4&gt;$E$11,IF(B4&lt;=$F$11,C4,0))</f>
        <v>0</v>
      </c>
      <c r="U4" s="48" t="b">
        <f t="shared" ref="U4:U61" si="13">IF(B4&gt;$E$12,IF(B4&lt;=$F$12,C4,0))</f>
        <v>0</v>
      </c>
      <c r="V4" s="48" t="b">
        <f t="shared" ref="V4:V61" si="14">IF(B4&gt;$E$13,IF(B4&lt;=$F$13,C4,0))</f>
        <v>0</v>
      </c>
      <c r="W4" s="48" t="b">
        <f t="shared" ref="W4:W61" si="15">IF(B4&gt;$E$14,IF(B4&lt;=$F$14,C4,0))</f>
        <v>0</v>
      </c>
      <c r="X4" s="48" t="b">
        <f t="shared" ref="X4:X61" si="16">IF(B4&gt;$E$15,IF(B4&lt;=$F$15,C4,0))</f>
        <v>0</v>
      </c>
      <c r="Y4" s="48" t="b">
        <f t="shared" ref="Y4:Y61" si="17">IF(B4&gt;$E$16,IF(B4&lt;=$F$16,C4,0))</f>
        <v>0</v>
      </c>
      <c r="Z4" s="48" t="b">
        <f t="shared" ref="Z4:Z61" si="18">IF(B4&gt;$E$17,IF(B4&lt;=$F$17,C4,0))</f>
        <v>0</v>
      </c>
      <c r="AA4" s="48" t="b">
        <f t="shared" ref="AA4:AA61" si="19">IF(B4&gt;$E$18,IF(B4&lt;=$F$18,C4,0))</f>
        <v>0</v>
      </c>
      <c r="AB4" s="48" t="b">
        <f t="shared" ref="AB4:AB61" si="20">IF(B4&gt;$E$19,IF(B4&lt;=$F$19,C4,0))</f>
        <v>0</v>
      </c>
      <c r="AC4" s="48" t="b">
        <f t="shared" ref="AC4:AC61" si="21">IF(B4&gt;$E$20,IF(B4&lt;=$F$20,C4,0))</f>
        <v>0</v>
      </c>
      <c r="AD4" s="48" t="b">
        <f t="shared" ref="AD4:AD61" si="22">IF(B4&gt;$E$21,IF(B4&lt;=$F$21,C4,0))</f>
        <v>0</v>
      </c>
      <c r="AE4" s="48" t="b">
        <f t="shared" ref="AE4:AE61" si="23">IF(B4&gt;$E$22,IF(B4&lt;=$F$22,C4,0))</f>
        <v>0</v>
      </c>
      <c r="AF4" s="48" t="b">
        <f t="shared" ref="AF4:AF61" si="24">IF(B4&gt;$E$23,IF(B4&lt;=$F$23,C4,0))</f>
        <v>0</v>
      </c>
      <c r="AG4" s="48" t="b">
        <f t="shared" ref="AG4:AG61" si="25">IF(B4&gt;$E$24,IF(B4&lt;=$F$24,C4,0))</f>
        <v>0</v>
      </c>
      <c r="AH4" s="48" t="b">
        <f t="shared" ref="AH4:AH61" si="26">IF(B4&gt;$E$25,IF(B4&lt;=$F$25,C4,0))</f>
        <v>0</v>
      </c>
      <c r="AI4" s="48" t="b">
        <f t="shared" ref="AI4:AI61" si="27">IF(B4&gt;$E$26,IF(B4&lt;=$F$26,C4,0))</f>
        <v>0</v>
      </c>
      <c r="AJ4" s="48" t="b">
        <f t="shared" ref="AJ4:AJ61" si="28">IF(B4&gt;$E$27,IF(B4&lt;=$F$27,C4,0))</f>
        <v>0</v>
      </c>
      <c r="AK4" s="48" t="b">
        <f t="shared" ref="AK4:AK61" si="29">IF(B4&gt;$E$28,IF(B4&lt;=$F$28,C4,0))</f>
        <v>0</v>
      </c>
      <c r="AL4" s="48" t="b">
        <f t="shared" ref="AL4:AL61" si="30">IF(B4&gt;$E$29,IF(B4&lt;=$F$29,C4,0))</f>
        <v>0</v>
      </c>
      <c r="AM4" s="48" t="b">
        <f t="shared" ref="AM4:AM61" si="31">IF(B4&gt;$E$30,IF(B4&lt;=$F$30,C4,0))</f>
        <v>0</v>
      </c>
      <c r="AN4" s="48" t="b">
        <f t="shared" ref="AN4:AN61" si="32">IF(B4&gt;$E$31,IF(B4&lt;=$F$31,C4,0))</f>
        <v>0</v>
      </c>
      <c r="AO4" s="48"/>
      <c r="AP4" s="48"/>
      <c r="AQ4" s="47">
        <f t="shared" ref="AQ4:AQ61" si="33">IF(B4&gt;$E$2,IF(B4&lt;=$F$2,D4,0))</f>
        <v>600116</v>
      </c>
      <c r="AR4" s="47" t="b">
        <f t="shared" ref="AR4:AR61" si="34">IF(B4&gt;$E$3,IF(B4&lt;=$F$3,D4,0))</f>
        <v>0</v>
      </c>
      <c r="AS4" s="47" t="b">
        <f t="shared" ref="AS4:AS61" si="35">IF(B4&gt;$E$4,IF(B4&lt;=$F$4,D4,0))</f>
        <v>0</v>
      </c>
      <c r="AT4" s="47" t="b">
        <f t="shared" ref="AT4:AT61" si="36">IF(B4&gt;$E$5,IF(B4&lt;=$F$5,D4,0))</f>
        <v>0</v>
      </c>
      <c r="AU4" s="47" t="b">
        <f t="shared" ref="AU4:AU61" si="37">IF(B4&gt;$E$6,IF(B4&lt;=$F$6,D4,0))</f>
        <v>0</v>
      </c>
      <c r="AV4" s="47" t="b">
        <f t="shared" ref="AV4:AV61" si="38">IF(B4&gt;$E$7,IF(B4&lt;=$F$7,D4,0))</f>
        <v>0</v>
      </c>
      <c r="AW4" s="47" t="b">
        <f t="shared" ref="AW4:AW61" si="39">IF(B4&gt;$E$8,IF(B4&lt;=$F$8,D4,0))</f>
        <v>0</v>
      </c>
      <c r="AX4" s="47" t="b">
        <f t="shared" ref="AX4:AX61" si="40">IF(B4&gt;$E$9,IF(B4&lt;=$F$9,D4,0))</f>
        <v>0</v>
      </c>
      <c r="AY4" s="47" t="b">
        <f t="shared" ref="AY4:AY61" si="41">IF(B4&gt;$E$10,IF(B4&lt;=$F$10,D4,0))</f>
        <v>0</v>
      </c>
      <c r="AZ4" s="47" t="b">
        <f t="shared" ref="AZ4:AZ61" si="42">IF(B4&gt;$E$11,IF(B4&lt;=$F$11,D4,0))</f>
        <v>0</v>
      </c>
      <c r="BA4" s="47" t="b">
        <f t="shared" ref="BA4:BA61" si="43">IF(B4&gt;$E$12,IF(B4&lt;=$F$12,D4,0))</f>
        <v>0</v>
      </c>
      <c r="BB4" s="47" t="b">
        <f t="shared" ref="BB4:BB61" si="44">IF(B4&gt;$E$13,IF(B4&lt;=$F$13,D4,0))</f>
        <v>0</v>
      </c>
      <c r="BC4" s="47" t="b">
        <f t="shared" ref="BC4:BC61" si="45">IF(B4&gt;$E$14,IF(B4&lt;=$F$14,D4,0))</f>
        <v>0</v>
      </c>
      <c r="BD4" s="47" t="b">
        <f t="shared" ref="BD4:BD61" si="46">IF(B4&gt;$E$15,IF(B4&lt;=$F$15,D4,0))</f>
        <v>0</v>
      </c>
      <c r="BE4" s="47" t="b">
        <f t="shared" ref="BE4:BE61" si="47">IF(B4&gt;$E$16,IF(B4&lt;=$F$16,D4,0))</f>
        <v>0</v>
      </c>
      <c r="BF4" s="47" t="b">
        <f t="shared" ref="BF4:BF61" si="48">IF(B4&gt;$E$17,IF(B4&lt;=$F$17,D4,0))</f>
        <v>0</v>
      </c>
      <c r="BG4" s="47" t="b">
        <f t="shared" ref="BG4:BG61" si="49">IF(B4&gt;$E$18,IF(B4&lt;=$F$18,D4,0))</f>
        <v>0</v>
      </c>
      <c r="BH4" s="47" t="b">
        <f t="shared" ref="BH4:BH61" si="50">IF(B4&gt;$E$19,IF(B4&lt;=$F$19,D4,0))</f>
        <v>0</v>
      </c>
      <c r="BI4" s="47" t="b">
        <f t="shared" ref="BI4:BI61" si="51">IF(B4&gt;$E$20,IF(B4&lt;=$F$20,D4,0))</f>
        <v>0</v>
      </c>
      <c r="BJ4" s="47" t="b">
        <f t="shared" ref="BJ4:BJ61" si="52">IF(B4&gt;$E$21,IF(B4&lt;=$F$21,D4,0))</f>
        <v>0</v>
      </c>
      <c r="BK4" s="69" t="b">
        <f t="shared" ref="BK4:BK61" si="53">IF(B4&gt;$E$22,IF(B4&lt;=$F$22,D4,0))</f>
        <v>0</v>
      </c>
      <c r="BL4" s="69" t="b">
        <f t="shared" ref="BL4:BL61" si="54">IF(B4&gt;$E$23,IF(B4&lt;=$F$23,D4,0))</f>
        <v>0</v>
      </c>
      <c r="BM4" s="69" t="b">
        <f t="shared" ref="BM4:BM61" si="55">IF(B4&gt;$E$24,IF(B4&lt;=$F$24,D4,0))</f>
        <v>0</v>
      </c>
      <c r="BN4" s="69" t="b">
        <f t="shared" ref="BN4:BN61" si="56">IF(B4&gt;$E$25,IF(B4&lt;=$F$25,D4,0))</f>
        <v>0</v>
      </c>
      <c r="BO4" s="69" t="b">
        <f t="shared" ref="BO4:BO61" si="57">IF(B4&gt;$E$26,IF(B4&lt;=$F$26,D4,0))</f>
        <v>0</v>
      </c>
      <c r="BP4" s="69" t="b">
        <f t="shared" ref="BP4:BP61" si="58">IF(B4&gt;$E$27,IF(B4&lt;=$F$27,D4,0))</f>
        <v>0</v>
      </c>
      <c r="BQ4" s="69" t="b">
        <f t="shared" ref="BQ4:BQ61" si="59">IF(B4&gt;$E$28,IF(B4&lt;=$F$28,D4,0))</f>
        <v>0</v>
      </c>
      <c r="BR4" s="69" t="b">
        <f t="shared" ref="BR4:BR61" si="60">IF(B4&gt;$E$29,IF(B4&lt;=$F$29,D4,0))</f>
        <v>0</v>
      </c>
      <c r="BS4" s="37" t="b">
        <f t="shared" ref="BS4:BS61" si="61">IF(B4&gt;$E$30,IF(B4&lt;=$F$30,D4,0))</f>
        <v>0</v>
      </c>
      <c r="BT4" s="37" t="b">
        <f t="shared" ref="BT4:BT61" si="62">IF(B4&gt;$E$31,IF(B4&lt;=$F$31,D4,0))</f>
        <v>0</v>
      </c>
    </row>
    <row r="5" spans="1:72" s="8" customFormat="1" x14ac:dyDescent="0.25">
      <c r="A5" s="8">
        <v>4</v>
      </c>
      <c r="B5">
        <v>46186</v>
      </c>
      <c r="C5" s="7">
        <v>-782000</v>
      </c>
      <c r="D5" s="7">
        <v>782738</v>
      </c>
      <c r="E5" s="38">
        <f t="shared" si="1"/>
        <v>47688.499999999993</v>
      </c>
      <c r="F5" s="38">
        <f t="shared" si="2"/>
        <v>48746.666666666657</v>
      </c>
      <c r="G5" s="38">
        <f t="shared" si="0"/>
        <v>48217.583333333328</v>
      </c>
      <c r="H5" s="27">
        <f>N62</f>
        <v>-5863067</v>
      </c>
      <c r="I5" s="38">
        <f>AT62</f>
        <v>5863816</v>
      </c>
      <c r="J5" s="39"/>
      <c r="K5" s="47">
        <f t="shared" si="3"/>
        <v>0</v>
      </c>
      <c r="L5" s="47">
        <f t="shared" si="4"/>
        <v>-782000</v>
      </c>
      <c r="M5" s="47" t="b">
        <f t="shared" si="5"/>
        <v>0</v>
      </c>
      <c r="N5" s="48" t="b">
        <f t="shared" si="6"/>
        <v>0</v>
      </c>
      <c r="O5" s="48" t="b">
        <f t="shared" si="7"/>
        <v>0</v>
      </c>
      <c r="P5" s="48" t="b">
        <f t="shared" si="8"/>
        <v>0</v>
      </c>
      <c r="Q5" s="48" t="b">
        <f t="shared" si="9"/>
        <v>0</v>
      </c>
      <c r="R5" s="48" t="b">
        <f t="shared" si="10"/>
        <v>0</v>
      </c>
      <c r="S5" s="48" t="b">
        <f t="shared" si="11"/>
        <v>0</v>
      </c>
      <c r="T5" s="48" t="b">
        <f t="shared" si="12"/>
        <v>0</v>
      </c>
      <c r="U5" s="48" t="b">
        <f t="shared" si="13"/>
        <v>0</v>
      </c>
      <c r="V5" s="48" t="b">
        <f t="shared" si="14"/>
        <v>0</v>
      </c>
      <c r="W5" s="48" t="b">
        <f t="shared" si="15"/>
        <v>0</v>
      </c>
      <c r="X5" s="48" t="b">
        <f t="shared" si="16"/>
        <v>0</v>
      </c>
      <c r="Y5" s="48" t="b">
        <f t="shared" si="17"/>
        <v>0</v>
      </c>
      <c r="Z5" s="48" t="b">
        <f t="shared" si="18"/>
        <v>0</v>
      </c>
      <c r="AA5" s="48" t="b">
        <f t="shared" si="19"/>
        <v>0</v>
      </c>
      <c r="AB5" s="48" t="b">
        <f t="shared" si="20"/>
        <v>0</v>
      </c>
      <c r="AC5" s="48" t="b">
        <f t="shared" si="21"/>
        <v>0</v>
      </c>
      <c r="AD5" s="48" t="b">
        <f t="shared" si="22"/>
        <v>0</v>
      </c>
      <c r="AE5" s="48" t="b">
        <f t="shared" si="23"/>
        <v>0</v>
      </c>
      <c r="AF5" s="48" t="b">
        <f t="shared" si="24"/>
        <v>0</v>
      </c>
      <c r="AG5" s="48" t="b">
        <f t="shared" si="25"/>
        <v>0</v>
      </c>
      <c r="AH5" s="48" t="b">
        <f t="shared" si="26"/>
        <v>0</v>
      </c>
      <c r="AI5" s="48" t="b">
        <f t="shared" si="27"/>
        <v>0</v>
      </c>
      <c r="AJ5" s="48" t="b">
        <f t="shared" si="28"/>
        <v>0</v>
      </c>
      <c r="AK5" s="48" t="b">
        <f t="shared" si="29"/>
        <v>0</v>
      </c>
      <c r="AL5" s="48" t="b">
        <f t="shared" si="30"/>
        <v>0</v>
      </c>
      <c r="AM5" s="48" t="b">
        <f t="shared" si="31"/>
        <v>0</v>
      </c>
      <c r="AN5" s="48" t="b">
        <f t="shared" si="32"/>
        <v>0</v>
      </c>
      <c r="AO5" s="48"/>
      <c r="AP5" s="48"/>
      <c r="AQ5" s="47">
        <f t="shared" si="33"/>
        <v>0</v>
      </c>
      <c r="AR5" s="47">
        <f t="shared" si="34"/>
        <v>782738</v>
      </c>
      <c r="AS5" s="47" t="b">
        <f t="shared" si="35"/>
        <v>0</v>
      </c>
      <c r="AT5" s="47" t="b">
        <f t="shared" si="36"/>
        <v>0</v>
      </c>
      <c r="AU5" s="47" t="b">
        <f t="shared" si="37"/>
        <v>0</v>
      </c>
      <c r="AV5" s="47" t="b">
        <f t="shared" si="38"/>
        <v>0</v>
      </c>
      <c r="AW5" s="47" t="b">
        <f t="shared" si="39"/>
        <v>0</v>
      </c>
      <c r="AX5" s="47" t="b">
        <f t="shared" si="40"/>
        <v>0</v>
      </c>
      <c r="AY5" s="47" t="b">
        <f t="shared" si="41"/>
        <v>0</v>
      </c>
      <c r="AZ5" s="47" t="b">
        <f t="shared" si="42"/>
        <v>0</v>
      </c>
      <c r="BA5" s="47" t="b">
        <f t="shared" si="43"/>
        <v>0</v>
      </c>
      <c r="BB5" s="47" t="b">
        <f t="shared" si="44"/>
        <v>0</v>
      </c>
      <c r="BC5" s="47" t="b">
        <f t="shared" si="45"/>
        <v>0</v>
      </c>
      <c r="BD5" s="47" t="b">
        <f t="shared" si="46"/>
        <v>0</v>
      </c>
      <c r="BE5" s="47" t="b">
        <f t="shared" si="47"/>
        <v>0</v>
      </c>
      <c r="BF5" s="47" t="b">
        <f t="shared" si="48"/>
        <v>0</v>
      </c>
      <c r="BG5" s="47" t="b">
        <f t="shared" si="49"/>
        <v>0</v>
      </c>
      <c r="BH5" s="47" t="b">
        <f t="shared" si="50"/>
        <v>0</v>
      </c>
      <c r="BI5" s="47" t="b">
        <f t="shared" si="51"/>
        <v>0</v>
      </c>
      <c r="BJ5" s="47" t="b">
        <f t="shared" si="52"/>
        <v>0</v>
      </c>
      <c r="BK5" s="69" t="b">
        <f t="shared" si="53"/>
        <v>0</v>
      </c>
      <c r="BL5" s="69" t="b">
        <f t="shared" si="54"/>
        <v>0</v>
      </c>
      <c r="BM5" s="69" t="b">
        <f t="shared" si="55"/>
        <v>0</v>
      </c>
      <c r="BN5" s="69" t="b">
        <f t="shared" si="56"/>
        <v>0</v>
      </c>
      <c r="BO5" s="69" t="b">
        <f t="shared" si="57"/>
        <v>0</v>
      </c>
      <c r="BP5" s="69" t="b">
        <f t="shared" si="58"/>
        <v>0</v>
      </c>
      <c r="BQ5" s="69" t="b">
        <f t="shared" si="59"/>
        <v>0</v>
      </c>
      <c r="BR5" s="69" t="b">
        <f t="shared" si="60"/>
        <v>0</v>
      </c>
      <c r="BS5" s="37" t="b">
        <f t="shared" si="61"/>
        <v>0</v>
      </c>
      <c r="BT5" s="37" t="b">
        <f t="shared" si="62"/>
        <v>0</v>
      </c>
    </row>
    <row r="6" spans="1:72" s="8" customFormat="1" x14ac:dyDescent="0.25">
      <c r="A6" s="8">
        <v>5</v>
      </c>
      <c r="B6">
        <v>47193</v>
      </c>
      <c r="C6" s="7">
        <v>-278000</v>
      </c>
      <c r="D6" s="7">
        <v>278008</v>
      </c>
      <c r="E6" s="38">
        <f t="shared" si="1"/>
        <v>48746.666666666657</v>
      </c>
      <c r="F6" s="38">
        <f t="shared" si="2"/>
        <v>49804.833333333321</v>
      </c>
      <c r="G6" s="38">
        <f t="shared" si="0"/>
        <v>49275.749999999985</v>
      </c>
      <c r="H6" s="27">
        <f>O62</f>
        <v>-1190000</v>
      </c>
      <c r="I6" s="38">
        <f>AU62</f>
        <v>1190000</v>
      </c>
      <c r="J6" s="39"/>
      <c r="K6" s="47">
        <f t="shared" si="3"/>
        <v>0</v>
      </c>
      <c r="L6" s="47">
        <f t="shared" si="4"/>
        <v>0</v>
      </c>
      <c r="M6" s="47">
        <f t="shared" si="5"/>
        <v>-278000</v>
      </c>
      <c r="N6" s="48" t="b">
        <f t="shared" si="6"/>
        <v>0</v>
      </c>
      <c r="O6" s="48" t="b">
        <f t="shared" si="7"/>
        <v>0</v>
      </c>
      <c r="P6" s="48" t="b">
        <f t="shared" si="8"/>
        <v>0</v>
      </c>
      <c r="Q6" s="48" t="b">
        <f t="shared" si="9"/>
        <v>0</v>
      </c>
      <c r="R6" s="48" t="b">
        <f t="shared" si="10"/>
        <v>0</v>
      </c>
      <c r="S6" s="48" t="b">
        <f t="shared" si="11"/>
        <v>0</v>
      </c>
      <c r="T6" s="48" t="b">
        <f t="shared" si="12"/>
        <v>0</v>
      </c>
      <c r="U6" s="48" t="b">
        <f t="shared" si="13"/>
        <v>0</v>
      </c>
      <c r="V6" s="48" t="b">
        <f t="shared" si="14"/>
        <v>0</v>
      </c>
      <c r="W6" s="48" t="b">
        <f t="shared" si="15"/>
        <v>0</v>
      </c>
      <c r="X6" s="48" t="b">
        <f t="shared" si="16"/>
        <v>0</v>
      </c>
      <c r="Y6" s="48" t="b">
        <f t="shared" si="17"/>
        <v>0</v>
      </c>
      <c r="Z6" s="48" t="b">
        <f t="shared" si="18"/>
        <v>0</v>
      </c>
      <c r="AA6" s="48" t="b">
        <f t="shared" si="19"/>
        <v>0</v>
      </c>
      <c r="AB6" s="48" t="b">
        <f t="shared" si="20"/>
        <v>0</v>
      </c>
      <c r="AC6" s="48" t="b">
        <f t="shared" si="21"/>
        <v>0</v>
      </c>
      <c r="AD6" s="48" t="b">
        <f t="shared" si="22"/>
        <v>0</v>
      </c>
      <c r="AE6" s="48" t="b">
        <f t="shared" si="23"/>
        <v>0</v>
      </c>
      <c r="AF6" s="48" t="b">
        <f t="shared" si="24"/>
        <v>0</v>
      </c>
      <c r="AG6" s="48" t="b">
        <f t="shared" si="25"/>
        <v>0</v>
      </c>
      <c r="AH6" s="48" t="b">
        <f t="shared" si="26"/>
        <v>0</v>
      </c>
      <c r="AI6" s="48" t="b">
        <f t="shared" si="27"/>
        <v>0</v>
      </c>
      <c r="AJ6" s="48" t="b">
        <f t="shared" si="28"/>
        <v>0</v>
      </c>
      <c r="AK6" s="48" t="b">
        <f t="shared" si="29"/>
        <v>0</v>
      </c>
      <c r="AL6" s="48" t="b">
        <f t="shared" si="30"/>
        <v>0</v>
      </c>
      <c r="AM6" s="48" t="b">
        <f t="shared" si="31"/>
        <v>0</v>
      </c>
      <c r="AN6" s="48" t="b">
        <f t="shared" si="32"/>
        <v>0</v>
      </c>
      <c r="AO6" s="48"/>
      <c r="AP6" s="48"/>
      <c r="AQ6" s="47">
        <f t="shared" si="33"/>
        <v>0</v>
      </c>
      <c r="AR6" s="47">
        <f t="shared" si="34"/>
        <v>0</v>
      </c>
      <c r="AS6" s="47">
        <f t="shared" si="35"/>
        <v>278008</v>
      </c>
      <c r="AT6" s="47" t="b">
        <f t="shared" si="36"/>
        <v>0</v>
      </c>
      <c r="AU6" s="47" t="b">
        <f t="shared" si="37"/>
        <v>0</v>
      </c>
      <c r="AV6" s="47" t="b">
        <f t="shared" si="38"/>
        <v>0</v>
      </c>
      <c r="AW6" s="47" t="b">
        <f t="shared" si="39"/>
        <v>0</v>
      </c>
      <c r="AX6" s="47" t="b">
        <f t="shared" si="40"/>
        <v>0</v>
      </c>
      <c r="AY6" s="47" t="b">
        <f t="shared" si="41"/>
        <v>0</v>
      </c>
      <c r="AZ6" s="47" t="b">
        <f t="shared" si="42"/>
        <v>0</v>
      </c>
      <c r="BA6" s="47" t="b">
        <f t="shared" si="43"/>
        <v>0</v>
      </c>
      <c r="BB6" s="47" t="b">
        <f t="shared" si="44"/>
        <v>0</v>
      </c>
      <c r="BC6" s="47" t="b">
        <f t="shared" si="45"/>
        <v>0</v>
      </c>
      <c r="BD6" s="47" t="b">
        <f t="shared" si="46"/>
        <v>0</v>
      </c>
      <c r="BE6" s="47" t="b">
        <f t="shared" si="47"/>
        <v>0</v>
      </c>
      <c r="BF6" s="47" t="b">
        <f t="shared" si="48"/>
        <v>0</v>
      </c>
      <c r="BG6" s="47" t="b">
        <f t="shared" si="49"/>
        <v>0</v>
      </c>
      <c r="BH6" s="47" t="b">
        <f t="shared" si="50"/>
        <v>0</v>
      </c>
      <c r="BI6" s="47" t="b">
        <f t="shared" si="51"/>
        <v>0</v>
      </c>
      <c r="BJ6" s="47" t="b">
        <f t="shared" si="52"/>
        <v>0</v>
      </c>
      <c r="BK6" s="69" t="b">
        <f t="shared" si="53"/>
        <v>0</v>
      </c>
      <c r="BL6" s="69" t="b">
        <f t="shared" si="54"/>
        <v>0</v>
      </c>
      <c r="BM6" s="69" t="b">
        <f t="shared" si="55"/>
        <v>0</v>
      </c>
      <c r="BN6" s="69" t="b">
        <f t="shared" si="56"/>
        <v>0</v>
      </c>
      <c r="BO6" s="69" t="b">
        <f t="shared" si="57"/>
        <v>0</v>
      </c>
      <c r="BP6" s="69" t="b">
        <f t="shared" si="58"/>
        <v>0</v>
      </c>
      <c r="BQ6" s="69" t="b">
        <f t="shared" si="59"/>
        <v>0</v>
      </c>
      <c r="BR6" s="69" t="b">
        <f t="shared" si="60"/>
        <v>0</v>
      </c>
      <c r="BS6" s="37" t="b">
        <f t="shared" si="61"/>
        <v>0</v>
      </c>
      <c r="BT6" s="37" t="b">
        <f t="shared" si="62"/>
        <v>0</v>
      </c>
    </row>
    <row r="7" spans="1:72" s="8" customFormat="1" x14ac:dyDescent="0.25">
      <c r="A7" s="8">
        <v>6</v>
      </c>
      <c r="B7">
        <v>47514</v>
      </c>
      <c r="C7" s="7">
        <v>-2475000</v>
      </c>
      <c r="D7" s="7">
        <v>2474000</v>
      </c>
      <c r="E7" s="38">
        <f t="shared" si="1"/>
        <v>49804.833333333321</v>
      </c>
      <c r="F7" s="38">
        <f t="shared" si="2"/>
        <v>50862.999999999985</v>
      </c>
      <c r="G7" s="38">
        <f t="shared" si="0"/>
        <v>50333.916666666657</v>
      </c>
      <c r="H7" s="27">
        <f>P62</f>
        <v>-16288000</v>
      </c>
      <c r="I7" s="38">
        <f>AV62</f>
        <v>16288800</v>
      </c>
      <c r="J7" s="39"/>
      <c r="K7" s="47">
        <f t="shared" si="3"/>
        <v>0</v>
      </c>
      <c r="L7" s="47">
        <f t="shared" si="4"/>
        <v>0</v>
      </c>
      <c r="M7" s="47">
        <f t="shared" si="5"/>
        <v>-2475000</v>
      </c>
      <c r="N7" s="48" t="b">
        <f t="shared" si="6"/>
        <v>0</v>
      </c>
      <c r="O7" s="48" t="b">
        <f t="shared" si="7"/>
        <v>0</v>
      </c>
      <c r="P7" s="48" t="b">
        <f t="shared" si="8"/>
        <v>0</v>
      </c>
      <c r="Q7" s="48" t="b">
        <f t="shared" si="9"/>
        <v>0</v>
      </c>
      <c r="R7" s="48" t="b">
        <f t="shared" si="10"/>
        <v>0</v>
      </c>
      <c r="S7" s="48" t="b">
        <f t="shared" si="11"/>
        <v>0</v>
      </c>
      <c r="T7" s="48" t="b">
        <f t="shared" si="12"/>
        <v>0</v>
      </c>
      <c r="U7" s="48" t="b">
        <f t="shared" si="13"/>
        <v>0</v>
      </c>
      <c r="V7" s="48" t="b">
        <f t="shared" si="14"/>
        <v>0</v>
      </c>
      <c r="W7" s="48" t="b">
        <f t="shared" si="15"/>
        <v>0</v>
      </c>
      <c r="X7" s="48" t="b">
        <f t="shared" si="16"/>
        <v>0</v>
      </c>
      <c r="Y7" s="48" t="b">
        <f t="shared" si="17"/>
        <v>0</v>
      </c>
      <c r="Z7" s="48" t="b">
        <f t="shared" si="18"/>
        <v>0</v>
      </c>
      <c r="AA7" s="48" t="b">
        <f t="shared" si="19"/>
        <v>0</v>
      </c>
      <c r="AB7" s="48" t="b">
        <f t="shared" si="20"/>
        <v>0</v>
      </c>
      <c r="AC7" s="48" t="b">
        <f t="shared" si="21"/>
        <v>0</v>
      </c>
      <c r="AD7" s="48" t="b">
        <f t="shared" si="22"/>
        <v>0</v>
      </c>
      <c r="AE7" s="48" t="b">
        <f t="shared" si="23"/>
        <v>0</v>
      </c>
      <c r="AF7" s="48" t="b">
        <f t="shared" si="24"/>
        <v>0</v>
      </c>
      <c r="AG7" s="48" t="b">
        <f t="shared" si="25"/>
        <v>0</v>
      </c>
      <c r="AH7" s="48" t="b">
        <f t="shared" si="26"/>
        <v>0</v>
      </c>
      <c r="AI7" s="48" t="b">
        <f t="shared" si="27"/>
        <v>0</v>
      </c>
      <c r="AJ7" s="48" t="b">
        <f t="shared" si="28"/>
        <v>0</v>
      </c>
      <c r="AK7" s="48" t="b">
        <f t="shared" si="29"/>
        <v>0</v>
      </c>
      <c r="AL7" s="48" t="b">
        <f t="shared" si="30"/>
        <v>0</v>
      </c>
      <c r="AM7" s="48" t="b">
        <f t="shared" si="31"/>
        <v>0</v>
      </c>
      <c r="AN7" s="48" t="b">
        <f t="shared" si="32"/>
        <v>0</v>
      </c>
      <c r="AO7" s="48"/>
      <c r="AP7" s="48"/>
      <c r="AQ7" s="47">
        <f t="shared" si="33"/>
        <v>0</v>
      </c>
      <c r="AR7" s="47">
        <f t="shared" si="34"/>
        <v>0</v>
      </c>
      <c r="AS7" s="47">
        <f t="shared" si="35"/>
        <v>2474000</v>
      </c>
      <c r="AT7" s="47" t="b">
        <f t="shared" si="36"/>
        <v>0</v>
      </c>
      <c r="AU7" s="47" t="b">
        <f t="shared" si="37"/>
        <v>0</v>
      </c>
      <c r="AV7" s="47" t="b">
        <f t="shared" si="38"/>
        <v>0</v>
      </c>
      <c r="AW7" s="47" t="b">
        <f t="shared" si="39"/>
        <v>0</v>
      </c>
      <c r="AX7" s="47" t="b">
        <f t="shared" si="40"/>
        <v>0</v>
      </c>
      <c r="AY7" s="47" t="b">
        <f t="shared" si="41"/>
        <v>0</v>
      </c>
      <c r="AZ7" s="47" t="b">
        <f t="shared" si="42"/>
        <v>0</v>
      </c>
      <c r="BA7" s="47" t="b">
        <f t="shared" si="43"/>
        <v>0</v>
      </c>
      <c r="BB7" s="47" t="b">
        <f t="shared" si="44"/>
        <v>0</v>
      </c>
      <c r="BC7" s="47" t="b">
        <f t="shared" si="45"/>
        <v>0</v>
      </c>
      <c r="BD7" s="47" t="b">
        <f t="shared" si="46"/>
        <v>0</v>
      </c>
      <c r="BE7" s="47" t="b">
        <f t="shared" si="47"/>
        <v>0</v>
      </c>
      <c r="BF7" s="47" t="b">
        <f t="shared" si="48"/>
        <v>0</v>
      </c>
      <c r="BG7" s="47" t="b">
        <f t="shared" si="49"/>
        <v>0</v>
      </c>
      <c r="BH7" s="47" t="b">
        <f t="shared" si="50"/>
        <v>0</v>
      </c>
      <c r="BI7" s="47" t="b">
        <f t="shared" si="51"/>
        <v>0</v>
      </c>
      <c r="BJ7" s="47" t="b">
        <f t="shared" si="52"/>
        <v>0</v>
      </c>
      <c r="BK7" s="69" t="b">
        <f t="shared" si="53"/>
        <v>0</v>
      </c>
      <c r="BL7" s="69" t="b">
        <f t="shared" si="54"/>
        <v>0</v>
      </c>
      <c r="BM7" s="69" t="b">
        <f t="shared" si="55"/>
        <v>0</v>
      </c>
      <c r="BN7" s="69" t="b">
        <f t="shared" si="56"/>
        <v>0</v>
      </c>
      <c r="BO7" s="69" t="b">
        <f t="shared" si="57"/>
        <v>0</v>
      </c>
      <c r="BP7" s="69" t="b">
        <f t="shared" si="58"/>
        <v>0</v>
      </c>
      <c r="BQ7" s="69" t="b">
        <f t="shared" si="59"/>
        <v>0</v>
      </c>
      <c r="BR7" s="69" t="b">
        <f t="shared" si="60"/>
        <v>0</v>
      </c>
      <c r="BS7" s="37" t="b">
        <f t="shared" si="61"/>
        <v>0</v>
      </c>
      <c r="BT7" s="37" t="b">
        <f t="shared" si="62"/>
        <v>0</v>
      </c>
    </row>
    <row r="8" spans="1:72" s="8" customFormat="1" x14ac:dyDescent="0.25">
      <c r="A8" s="8">
        <v>7</v>
      </c>
      <c r="B8">
        <v>47628</v>
      </c>
      <c r="C8" s="7">
        <v>-769000</v>
      </c>
      <c r="D8" s="7">
        <v>769172</v>
      </c>
      <c r="E8" s="38">
        <f t="shared" si="1"/>
        <v>50862.999999999985</v>
      </c>
      <c r="F8" s="38">
        <f t="shared" si="2"/>
        <v>51921.16666666665</v>
      </c>
      <c r="G8" s="38">
        <f t="shared" si="0"/>
        <v>51392.083333333314</v>
      </c>
      <c r="H8" s="27">
        <f>Q62</f>
        <v>-671197</v>
      </c>
      <c r="I8" s="38">
        <f>AW62</f>
        <v>670763</v>
      </c>
      <c r="J8" s="39"/>
      <c r="K8" s="47">
        <f t="shared" si="3"/>
        <v>0</v>
      </c>
      <c r="L8" s="47">
        <f t="shared" si="4"/>
        <v>0</v>
      </c>
      <c r="M8" s="47">
        <f t="shared" si="5"/>
        <v>-769000</v>
      </c>
      <c r="N8" s="48" t="b">
        <f t="shared" si="6"/>
        <v>0</v>
      </c>
      <c r="O8" s="48" t="b">
        <f t="shared" si="7"/>
        <v>0</v>
      </c>
      <c r="P8" s="48" t="b">
        <f t="shared" si="8"/>
        <v>0</v>
      </c>
      <c r="Q8" s="48" t="b">
        <f t="shared" si="9"/>
        <v>0</v>
      </c>
      <c r="R8" s="48" t="b">
        <f t="shared" si="10"/>
        <v>0</v>
      </c>
      <c r="S8" s="48" t="b">
        <f t="shared" si="11"/>
        <v>0</v>
      </c>
      <c r="T8" s="48" t="b">
        <f t="shared" si="12"/>
        <v>0</v>
      </c>
      <c r="U8" s="48" t="b">
        <f t="shared" si="13"/>
        <v>0</v>
      </c>
      <c r="V8" s="48" t="b">
        <f t="shared" si="14"/>
        <v>0</v>
      </c>
      <c r="W8" s="48" t="b">
        <f t="shared" si="15"/>
        <v>0</v>
      </c>
      <c r="X8" s="48" t="b">
        <f t="shared" si="16"/>
        <v>0</v>
      </c>
      <c r="Y8" s="48" t="b">
        <f t="shared" si="17"/>
        <v>0</v>
      </c>
      <c r="Z8" s="48" t="b">
        <f t="shared" si="18"/>
        <v>0</v>
      </c>
      <c r="AA8" s="48" t="b">
        <f t="shared" si="19"/>
        <v>0</v>
      </c>
      <c r="AB8" s="48" t="b">
        <f t="shared" si="20"/>
        <v>0</v>
      </c>
      <c r="AC8" s="48" t="b">
        <f t="shared" si="21"/>
        <v>0</v>
      </c>
      <c r="AD8" s="48" t="b">
        <f t="shared" si="22"/>
        <v>0</v>
      </c>
      <c r="AE8" s="48" t="b">
        <f t="shared" si="23"/>
        <v>0</v>
      </c>
      <c r="AF8" s="48" t="b">
        <f t="shared" si="24"/>
        <v>0</v>
      </c>
      <c r="AG8" s="48" t="b">
        <f t="shared" si="25"/>
        <v>0</v>
      </c>
      <c r="AH8" s="48" t="b">
        <f t="shared" si="26"/>
        <v>0</v>
      </c>
      <c r="AI8" s="48" t="b">
        <f t="shared" si="27"/>
        <v>0</v>
      </c>
      <c r="AJ8" s="48" t="b">
        <f t="shared" si="28"/>
        <v>0</v>
      </c>
      <c r="AK8" s="48" t="b">
        <f t="shared" si="29"/>
        <v>0</v>
      </c>
      <c r="AL8" s="48" t="b">
        <f t="shared" si="30"/>
        <v>0</v>
      </c>
      <c r="AM8" s="48" t="b">
        <f t="shared" si="31"/>
        <v>0</v>
      </c>
      <c r="AN8" s="48" t="b">
        <f t="shared" si="32"/>
        <v>0</v>
      </c>
      <c r="AO8" s="48"/>
      <c r="AP8" s="48"/>
      <c r="AQ8" s="47">
        <f t="shared" si="33"/>
        <v>0</v>
      </c>
      <c r="AR8" s="47">
        <f t="shared" si="34"/>
        <v>0</v>
      </c>
      <c r="AS8" s="47">
        <f t="shared" si="35"/>
        <v>769172</v>
      </c>
      <c r="AT8" s="47" t="b">
        <f t="shared" si="36"/>
        <v>0</v>
      </c>
      <c r="AU8" s="47" t="b">
        <f t="shared" si="37"/>
        <v>0</v>
      </c>
      <c r="AV8" s="47" t="b">
        <f t="shared" si="38"/>
        <v>0</v>
      </c>
      <c r="AW8" s="47" t="b">
        <f t="shared" si="39"/>
        <v>0</v>
      </c>
      <c r="AX8" s="47" t="b">
        <f t="shared" si="40"/>
        <v>0</v>
      </c>
      <c r="AY8" s="47" t="b">
        <f t="shared" si="41"/>
        <v>0</v>
      </c>
      <c r="AZ8" s="47" t="b">
        <f t="shared" si="42"/>
        <v>0</v>
      </c>
      <c r="BA8" s="47" t="b">
        <f t="shared" si="43"/>
        <v>0</v>
      </c>
      <c r="BB8" s="47" t="b">
        <f t="shared" si="44"/>
        <v>0</v>
      </c>
      <c r="BC8" s="47" t="b">
        <f t="shared" si="45"/>
        <v>0</v>
      </c>
      <c r="BD8" s="47" t="b">
        <f t="shared" si="46"/>
        <v>0</v>
      </c>
      <c r="BE8" s="47" t="b">
        <f t="shared" si="47"/>
        <v>0</v>
      </c>
      <c r="BF8" s="47" t="b">
        <f t="shared" si="48"/>
        <v>0</v>
      </c>
      <c r="BG8" s="47" t="b">
        <f t="shared" si="49"/>
        <v>0</v>
      </c>
      <c r="BH8" s="47" t="b">
        <f t="shared" si="50"/>
        <v>0</v>
      </c>
      <c r="BI8" s="47" t="b">
        <f t="shared" si="51"/>
        <v>0</v>
      </c>
      <c r="BJ8" s="47" t="b">
        <f t="shared" si="52"/>
        <v>0</v>
      </c>
      <c r="BK8" s="69" t="b">
        <f t="shared" si="53"/>
        <v>0</v>
      </c>
      <c r="BL8" s="69" t="b">
        <f t="shared" si="54"/>
        <v>0</v>
      </c>
      <c r="BM8" s="69" t="b">
        <f t="shared" si="55"/>
        <v>0</v>
      </c>
      <c r="BN8" s="69" t="b">
        <f t="shared" si="56"/>
        <v>0</v>
      </c>
      <c r="BO8" s="69" t="b">
        <f t="shared" si="57"/>
        <v>0</v>
      </c>
      <c r="BP8" s="69" t="b">
        <f t="shared" si="58"/>
        <v>0</v>
      </c>
      <c r="BQ8" s="69" t="b">
        <f t="shared" si="59"/>
        <v>0</v>
      </c>
      <c r="BR8" s="69" t="b">
        <f t="shared" si="60"/>
        <v>0</v>
      </c>
      <c r="BS8" s="37" t="b">
        <f t="shared" si="61"/>
        <v>0</v>
      </c>
      <c r="BT8" s="37" t="b">
        <f t="shared" si="62"/>
        <v>0</v>
      </c>
    </row>
    <row r="9" spans="1:72" s="8" customFormat="1" x14ac:dyDescent="0.25">
      <c r="A9" s="8">
        <v>8</v>
      </c>
      <c r="B9">
        <v>47709</v>
      </c>
      <c r="C9" s="7">
        <v>134000</v>
      </c>
      <c r="D9" s="7">
        <v>-134189</v>
      </c>
      <c r="E9" s="38">
        <f t="shared" si="1"/>
        <v>51921.16666666665</v>
      </c>
      <c r="F9" s="38">
        <f t="shared" si="2"/>
        <v>52979.333333333314</v>
      </c>
      <c r="G9" s="38">
        <f t="shared" si="0"/>
        <v>52450.249999999985</v>
      </c>
      <c r="H9" s="27">
        <f>R62</f>
        <v>0</v>
      </c>
      <c r="I9" s="38">
        <f>AX62</f>
        <v>0</v>
      </c>
      <c r="J9" s="39"/>
      <c r="K9" s="47">
        <f t="shared" si="3"/>
        <v>0</v>
      </c>
      <c r="L9" s="47">
        <f t="shared" si="4"/>
        <v>0</v>
      </c>
      <c r="M9" s="47">
        <f t="shared" si="5"/>
        <v>0</v>
      </c>
      <c r="N9" s="48">
        <f t="shared" si="6"/>
        <v>134000</v>
      </c>
      <c r="O9" s="48" t="b">
        <f t="shared" si="7"/>
        <v>0</v>
      </c>
      <c r="P9" s="48" t="b">
        <f t="shared" si="8"/>
        <v>0</v>
      </c>
      <c r="Q9" s="48" t="b">
        <f t="shared" si="9"/>
        <v>0</v>
      </c>
      <c r="R9" s="48" t="b">
        <f t="shared" si="10"/>
        <v>0</v>
      </c>
      <c r="S9" s="48" t="b">
        <f t="shared" si="11"/>
        <v>0</v>
      </c>
      <c r="T9" s="48" t="b">
        <f t="shared" si="12"/>
        <v>0</v>
      </c>
      <c r="U9" s="48" t="b">
        <f t="shared" si="13"/>
        <v>0</v>
      </c>
      <c r="V9" s="48" t="b">
        <f t="shared" si="14"/>
        <v>0</v>
      </c>
      <c r="W9" s="48" t="b">
        <f t="shared" si="15"/>
        <v>0</v>
      </c>
      <c r="X9" s="48" t="b">
        <f t="shared" si="16"/>
        <v>0</v>
      </c>
      <c r="Y9" s="48" t="b">
        <f t="shared" si="17"/>
        <v>0</v>
      </c>
      <c r="Z9" s="48" t="b">
        <f t="shared" si="18"/>
        <v>0</v>
      </c>
      <c r="AA9" s="48" t="b">
        <f t="shared" si="19"/>
        <v>0</v>
      </c>
      <c r="AB9" s="48" t="b">
        <f t="shared" si="20"/>
        <v>0</v>
      </c>
      <c r="AC9" s="48" t="b">
        <f t="shared" si="21"/>
        <v>0</v>
      </c>
      <c r="AD9" s="48" t="b">
        <f t="shared" si="22"/>
        <v>0</v>
      </c>
      <c r="AE9" s="48" t="b">
        <f t="shared" si="23"/>
        <v>0</v>
      </c>
      <c r="AF9" s="48" t="b">
        <f t="shared" si="24"/>
        <v>0</v>
      </c>
      <c r="AG9" s="48" t="b">
        <f t="shared" si="25"/>
        <v>0</v>
      </c>
      <c r="AH9" s="48" t="b">
        <f t="shared" si="26"/>
        <v>0</v>
      </c>
      <c r="AI9" s="48" t="b">
        <f t="shared" si="27"/>
        <v>0</v>
      </c>
      <c r="AJ9" s="48" t="b">
        <f t="shared" si="28"/>
        <v>0</v>
      </c>
      <c r="AK9" s="48" t="b">
        <f t="shared" si="29"/>
        <v>0</v>
      </c>
      <c r="AL9" s="48" t="b">
        <f t="shared" si="30"/>
        <v>0</v>
      </c>
      <c r="AM9" s="48" t="b">
        <f t="shared" si="31"/>
        <v>0</v>
      </c>
      <c r="AN9" s="48" t="b">
        <f t="shared" si="32"/>
        <v>0</v>
      </c>
      <c r="AO9" s="48"/>
      <c r="AP9" s="48"/>
      <c r="AQ9" s="47">
        <f t="shared" si="33"/>
        <v>0</v>
      </c>
      <c r="AR9" s="47">
        <f t="shared" si="34"/>
        <v>0</v>
      </c>
      <c r="AS9" s="47">
        <f t="shared" si="35"/>
        <v>0</v>
      </c>
      <c r="AT9" s="47">
        <f t="shared" si="36"/>
        <v>-134189</v>
      </c>
      <c r="AU9" s="47" t="b">
        <f t="shared" si="37"/>
        <v>0</v>
      </c>
      <c r="AV9" s="47" t="b">
        <f t="shared" si="38"/>
        <v>0</v>
      </c>
      <c r="AW9" s="47" t="b">
        <f t="shared" si="39"/>
        <v>0</v>
      </c>
      <c r="AX9" s="47" t="b">
        <f t="shared" si="40"/>
        <v>0</v>
      </c>
      <c r="AY9" s="47" t="b">
        <f t="shared" si="41"/>
        <v>0</v>
      </c>
      <c r="AZ9" s="47" t="b">
        <f t="shared" si="42"/>
        <v>0</v>
      </c>
      <c r="BA9" s="47" t="b">
        <f t="shared" si="43"/>
        <v>0</v>
      </c>
      <c r="BB9" s="47" t="b">
        <f t="shared" si="44"/>
        <v>0</v>
      </c>
      <c r="BC9" s="47" t="b">
        <f t="shared" si="45"/>
        <v>0</v>
      </c>
      <c r="BD9" s="47" t="b">
        <f t="shared" si="46"/>
        <v>0</v>
      </c>
      <c r="BE9" s="47" t="b">
        <f t="shared" si="47"/>
        <v>0</v>
      </c>
      <c r="BF9" s="47" t="b">
        <f t="shared" si="48"/>
        <v>0</v>
      </c>
      <c r="BG9" s="47" t="b">
        <f t="shared" si="49"/>
        <v>0</v>
      </c>
      <c r="BH9" s="47" t="b">
        <f t="shared" si="50"/>
        <v>0</v>
      </c>
      <c r="BI9" s="47" t="b">
        <f t="shared" si="51"/>
        <v>0</v>
      </c>
      <c r="BJ9" s="47" t="b">
        <f t="shared" si="52"/>
        <v>0</v>
      </c>
      <c r="BK9" s="69" t="b">
        <f t="shared" si="53"/>
        <v>0</v>
      </c>
      <c r="BL9" s="69" t="b">
        <f t="shared" si="54"/>
        <v>0</v>
      </c>
      <c r="BM9" s="69" t="b">
        <f t="shared" si="55"/>
        <v>0</v>
      </c>
      <c r="BN9" s="69" t="b">
        <f t="shared" si="56"/>
        <v>0</v>
      </c>
      <c r="BO9" s="69" t="b">
        <f t="shared" si="57"/>
        <v>0</v>
      </c>
      <c r="BP9" s="69" t="b">
        <f t="shared" si="58"/>
        <v>0</v>
      </c>
      <c r="BQ9" s="69" t="b">
        <f t="shared" si="59"/>
        <v>0</v>
      </c>
      <c r="BR9" s="69" t="b">
        <f t="shared" si="60"/>
        <v>0</v>
      </c>
      <c r="BS9" s="37" t="b">
        <f t="shared" si="61"/>
        <v>0</v>
      </c>
      <c r="BT9" s="37" t="b">
        <f t="shared" si="62"/>
        <v>0</v>
      </c>
    </row>
    <row r="10" spans="1:72" s="8" customFormat="1" x14ac:dyDescent="0.25">
      <c r="A10" s="8">
        <v>9</v>
      </c>
      <c r="B10">
        <v>48024</v>
      </c>
      <c r="C10" s="7">
        <v>-1221000</v>
      </c>
      <c r="D10" s="7">
        <v>1220923</v>
      </c>
      <c r="E10" s="38">
        <f t="shared" si="1"/>
        <v>52979.333333333314</v>
      </c>
      <c r="F10" s="38">
        <f t="shared" si="2"/>
        <v>54037.499999999978</v>
      </c>
      <c r="G10" s="38">
        <f t="shared" si="0"/>
        <v>53508.416666666642</v>
      </c>
      <c r="H10" s="27">
        <f>S62</f>
        <v>1229341</v>
      </c>
      <c r="I10" s="38">
        <f>AY62</f>
        <v>-1229000</v>
      </c>
      <c r="J10" s="39"/>
      <c r="K10" s="47">
        <f t="shared" si="3"/>
        <v>0</v>
      </c>
      <c r="L10" s="47">
        <f t="shared" si="4"/>
        <v>0</v>
      </c>
      <c r="M10" s="47">
        <f t="shared" si="5"/>
        <v>0</v>
      </c>
      <c r="N10" s="48">
        <f t="shared" si="6"/>
        <v>-1221000</v>
      </c>
      <c r="O10" s="48" t="b">
        <f t="shared" si="7"/>
        <v>0</v>
      </c>
      <c r="P10" s="48" t="b">
        <f t="shared" si="8"/>
        <v>0</v>
      </c>
      <c r="Q10" s="48" t="b">
        <f t="shared" si="9"/>
        <v>0</v>
      </c>
      <c r="R10" s="48" t="b">
        <f t="shared" si="10"/>
        <v>0</v>
      </c>
      <c r="S10" s="48" t="b">
        <f t="shared" si="11"/>
        <v>0</v>
      </c>
      <c r="T10" s="48" t="b">
        <f t="shared" si="12"/>
        <v>0</v>
      </c>
      <c r="U10" s="48" t="b">
        <f t="shared" si="13"/>
        <v>0</v>
      </c>
      <c r="V10" s="48" t="b">
        <f t="shared" si="14"/>
        <v>0</v>
      </c>
      <c r="W10" s="48" t="b">
        <f t="shared" si="15"/>
        <v>0</v>
      </c>
      <c r="X10" s="48" t="b">
        <f t="shared" si="16"/>
        <v>0</v>
      </c>
      <c r="Y10" s="48" t="b">
        <f t="shared" si="17"/>
        <v>0</v>
      </c>
      <c r="Z10" s="48" t="b">
        <f t="shared" si="18"/>
        <v>0</v>
      </c>
      <c r="AA10" s="48" t="b">
        <f t="shared" si="19"/>
        <v>0</v>
      </c>
      <c r="AB10" s="48" t="b">
        <f t="shared" si="20"/>
        <v>0</v>
      </c>
      <c r="AC10" s="48" t="b">
        <f t="shared" si="21"/>
        <v>0</v>
      </c>
      <c r="AD10" s="48" t="b">
        <f t="shared" si="22"/>
        <v>0</v>
      </c>
      <c r="AE10" s="48" t="b">
        <f t="shared" si="23"/>
        <v>0</v>
      </c>
      <c r="AF10" s="48" t="b">
        <f t="shared" si="24"/>
        <v>0</v>
      </c>
      <c r="AG10" s="48" t="b">
        <f t="shared" si="25"/>
        <v>0</v>
      </c>
      <c r="AH10" s="48" t="b">
        <f t="shared" si="26"/>
        <v>0</v>
      </c>
      <c r="AI10" s="48" t="b">
        <f t="shared" si="27"/>
        <v>0</v>
      </c>
      <c r="AJ10" s="48" t="b">
        <f t="shared" si="28"/>
        <v>0</v>
      </c>
      <c r="AK10" s="48" t="b">
        <f t="shared" si="29"/>
        <v>0</v>
      </c>
      <c r="AL10" s="48" t="b">
        <f t="shared" si="30"/>
        <v>0</v>
      </c>
      <c r="AM10" s="48" t="b">
        <f t="shared" si="31"/>
        <v>0</v>
      </c>
      <c r="AN10" s="48" t="b">
        <f t="shared" si="32"/>
        <v>0</v>
      </c>
      <c r="AO10" s="48"/>
      <c r="AP10" s="48"/>
      <c r="AQ10" s="47">
        <f t="shared" si="33"/>
        <v>0</v>
      </c>
      <c r="AR10" s="47">
        <f t="shared" si="34"/>
        <v>0</v>
      </c>
      <c r="AS10" s="47">
        <f t="shared" si="35"/>
        <v>0</v>
      </c>
      <c r="AT10" s="47">
        <f t="shared" si="36"/>
        <v>1220923</v>
      </c>
      <c r="AU10" s="47" t="b">
        <f t="shared" si="37"/>
        <v>0</v>
      </c>
      <c r="AV10" s="47" t="b">
        <f t="shared" si="38"/>
        <v>0</v>
      </c>
      <c r="AW10" s="47" t="b">
        <f t="shared" si="39"/>
        <v>0</v>
      </c>
      <c r="AX10" s="47" t="b">
        <f t="shared" si="40"/>
        <v>0</v>
      </c>
      <c r="AY10" s="47" t="b">
        <f t="shared" si="41"/>
        <v>0</v>
      </c>
      <c r="AZ10" s="47" t="b">
        <f t="shared" si="42"/>
        <v>0</v>
      </c>
      <c r="BA10" s="47" t="b">
        <f t="shared" si="43"/>
        <v>0</v>
      </c>
      <c r="BB10" s="47" t="b">
        <f t="shared" si="44"/>
        <v>0</v>
      </c>
      <c r="BC10" s="47" t="b">
        <f t="shared" si="45"/>
        <v>0</v>
      </c>
      <c r="BD10" s="47" t="b">
        <f t="shared" si="46"/>
        <v>0</v>
      </c>
      <c r="BE10" s="47" t="b">
        <f t="shared" si="47"/>
        <v>0</v>
      </c>
      <c r="BF10" s="47" t="b">
        <f t="shared" si="48"/>
        <v>0</v>
      </c>
      <c r="BG10" s="47" t="b">
        <f t="shared" si="49"/>
        <v>0</v>
      </c>
      <c r="BH10" s="47" t="b">
        <f t="shared" si="50"/>
        <v>0</v>
      </c>
      <c r="BI10" s="47" t="b">
        <f t="shared" si="51"/>
        <v>0</v>
      </c>
      <c r="BJ10" s="47" t="b">
        <f t="shared" si="52"/>
        <v>0</v>
      </c>
      <c r="BK10" s="69" t="b">
        <f t="shared" si="53"/>
        <v>0</v>
      </c>
      <c r="BL10" s="69" t="b">
        <f t="shared" si="54"/>
        <v>0</v>
      </c>
      <c r="BM10" s="69" t="b">
        <f t="shared" si="55"/>
        <v>0</v>
      </c>
      <c r="BN10" s="69" t="b">
        <f t="shared" si="56"/>
        <v>0</v>
      </c>
      <c r="BO10" s="69" t="b">
        <f t="shared" si="57"/>
        <v>0</v>
      </c>
      <c r="BP10" s="69" t="b">
        <f t="shared" si="58"/>
        <v>0</v>
      </c>
      <c r="BQ10" s="69" t="b">
        <f t="shared" si="59"/>
        <v>0</v>
      </c>
      <c r="BR10" s="69" t="b">
        <f t="shared" si="60"/>
        <v>0</v>
      </c>
      <c r="BS10" s="37" t="b">
        <f t="shared" si="61"/>
        <v>0</v>
      </c>
      <c r="BT10" s="37" t="b">
        <f t="shared" si="62"/>
        <v>0</v>
      </c>
    </row>
    <row r="11" spans="1:72" s="8" customFormat="1" x14ac:dyDescent="0.25">
      <c r="A11" s="8">
        <v>10</v>
      </c>
      <c r="B11">
        <v>48090</v>
      </c>
      <c r="C11" s="7">
        <v>-154000</v>
      </c>
      <c r="D11" s="7">
        <v>154501</v>
      </c>
      <c r="E11" s="38">
        <f t="shared" si="1"/>
        <v>54037.499999999978</v>
      </c>
      <c r="F11" s="38">
        <f t="shared" si="2"/>
        <v>55095.666666666642</v>
      </c>
      <c r="G11" s="38">
        <f t="shared" si="0"/>
        <v>54566.583333333314</v>
      </c>
      <c r="H11" s="27">
        <f>T62</f>
        <v>0</v>
      </c>
      <c r="I11" s="38">
        <f>AZ62</f>
        <v>0</v>
      </c>
      <c r="J11" s="39"/>
      <c r="K11" s="47">
        <f t="shared" si="3"/>
        <v>0</v>
      </c>
      <c r="L11" s="47">
        <f t="shared" si="4"/>
        <v>0</v>
      </c>
      <c r="M11" s="47">
        <f t="shared" si="5"/>
        <v>0</v>
      </c>
      <c r="N11" s="48">
        <f t="shared" si="6"/>
        <v>-154000</v>
      </c>
      <c r="O11" s="48" t="b">
        <f t="shared" si="7"/>
        <v>0</v>
      </c>
      <c r="P11" s="48" t="b">
        <f t="shared" si="8"/>
        <v>0</v>
      </c>
      <c r="Q11" s="48" t="b">
        <f t="shared" si="9"/>
        <v>0</v>
      </c>
      <c r="R11" s="48" t="b">
        <f t="shared" si="10"/>
        <v>0</v>
      </c>
      <c r="S11" s="48" t="b">
        <f t="shared" si="11"/>
        <v>0</v>
      </c>
      <c r="T11" s="48" t="b">
        <f t="shared" si="12"/>
        <v>0</v>
      </c>
      <c r="U11" s="48" t="b">
        <f t="shared" si="13"/>
        <v>0</v>
      </c>
      <c r="V11" s="48" t="b">
        <f t="shared" si="14"/>
        <v>0</v>
      </c>
      <c r="W11" s="48" t="b">
        <f t="shared" si="15"/>
        <v>0</v>
      </c>
      <c r="X11" s="48" t="b">
        <f t="shared" si="16"/>
        <v>0</v>
      </c>
      <c r="Y11" s="48" t="b">
        <f t="shared" si="17"/>
        <v>0</v>
      </c>
      <c r="Z11" s="48" t="b">
        <f t="shared" si="18"/>
        <v>0</v>
      </c>
      <c r="AA11" s="48" t="b">
        <f t="shared" si="19"/>
        <v>0</v>
      </c>
      <c r="AB11" s="48" t="b">
        <f t="shared" si="20"/>
        <v>0</v>
      </c>
      <c r="AC11" s="48" t="b">
        <f t="shared" si="21"/>
        <v>0</v>
      </c>
      <c r="AD11" s="48" t="b">
        <f t="shared" si="22"/>
        <v>0</v>
      </c>
      <c r="AE11" s="48" t="b">
        <f t="shared" si="23"/>
        <v>0</v>
      </c>
      <c r="AF11" s="48" t="b">
        <f t="shared" si="24"/>
        <v>0</v>
      </c>
      <c r="AG11" s="48" t="b">
        <f t="shared" si="25"/>
        <v>0</v>
      </c>
      <c r="AH11" s="48" t="b">
        <f t="shared" si="26"/>
        <v>0</v>
      </c>
      <c r="AI11" s="48" t="b">
        <f t="shared" si="27"/>
        <v>0</v>
      </c>
      <c r="AJ11" s="48" t="b">
        <f t="shared" si="28"/>
        <v>0</v>
      </c>
      <c r="AK11" s="48" t="b">
        <f t="shared" si="29"/>
        <v>0</v>
      </c>
      <c r="AL11" s="48" t="b">
        <f t="shared" si="30"/>
        <v>0</v>
      </c>
      <c r="AM11" s="48" t="b">
        <f t="shared" si="31"/>
        <v>0</v>
      </c>
      <c r="AN11" s="48" t="b">
        <f t="shared" si="32"/>
        <v>0</v>
      </c>
      <c r="AO11" s="48"/>
      <c r="AP11" s="48"/>
      <c r="AQ11" s="47">
        <f t="shared" si="33"/>
        <v>0</v>
      </c>
      <c r="AR11" s="47">
        <f t="shared" si="34"/>
        <v>0</v>
      </c>
      <c r="AS11" s="47">
        <f t="shared" si="35"/>
        <v>0</v>
      </c>
      <c r="AT11" s="47">
        <f t="shared" si="36"/>
        <v>154501</v>
      </c>
      <c r="AU11" s="47" t="b">
        <f t="shared" si="37"/>
        <v>0</v>
      </c>
      <c r="AV11" s="47" t="b">
        <f t="shared" si="38"/>
        <v>0</v>
      </c>
      <c r="AW11" s="47" t="b">
        <f t="shared" si="39"/>
        <v>0</v>
      </c>
      <c r="AX11" s="47" t="b">
        <f t="shared" si="40"/>
        <v>0</v>
      </c>
      <c r="AY11" s="47" t="b">
        <f t="shared" si="41"/>
        <v>0</v>
      </c>
      <c r="AZ11" s="47" t="b">
        <f t="shared" si="42"/>
        <v>0</v>
      </c>
      <c r="BA11" s="47" t="b">
        <f t="shared" si="43"/>
        <v>0</v>
      </c>
      <c r="BB11" s="47" t="b">
        <f t="shared" si="44"/>
        <v>0</v>
      </c>
      <c r="BC11" s="47" t="b">
        <f t="shared" si="45"/>
        <v>0</v>
      </c>
      <c r="BD11" s="47" t="b">
        <f t="shared" si="46"/>
        <v>0</v>
      </c>
      <c r="BE11" s="47" t="b">
        <f t="shared" si="47"/>
        <v>0</v>
      </c>
      <c r="BF11" s="47" t="b">
        <f t="shared" si="48"/>
        <v>0</v>
      </c>
      <c r="BG11" s="47" t="b">
        <f t="shared" si="49"/>
        <v>0</v>
      </c>
      <c r="BH11" s="47" t="b">
        <f t="shared" si="50"/>
        <v>0</v>
      </c>
      <c r="BI11" s="47" t="b">
        <f t="shared" si="51"/>
        <v>0</v>
      </c>
      <c r="BJ11" s="47" t="b">
        <f t="shared" si="52"/>
        <v>0</v>
      </c>
      <c r="BK11" s="69" t="b">
        <f t="shared" si="53"/>
        <v>0</v>
      </c>
      <c r="BL11" s="69" t="b">
        <f t="shared" si="54"/>
        <v>0</v>
      </c>
      <c r="BM11" s="69" t="b">
        <f t="shared" si="55"/>
        <v>0</v>
      </c>
      <c r="BN11" s="69" t="b">
        <f t="shared" si="56"/>
        <v>0</v>
      </c>
      <c r="BO11" s="69" t="b">
        <f t="shared" si="57"/>
        <v>0</v>
      </c>
      <c r="BP11" s="69" t="b">
        <f t="shared" si="58"/>
        <v>0</v>
      </c>
      <c r="BQ11" s="69" t="b">
        <f t="shared" si="59"/>
        <v>0</v>
      </c>
      <c r="BR11" s="69" t="b">
        <f t="shared" si="60"/>
        <v>0</v>
      </c>
      <c r="BS11" s="37" t="b">
        <f t="shared" si="61"/>
        <v>0</v>
      </c>
      <c r="BT11" s="37" t="b">
        <f t="shared" si="62"/>
        <v>0</v>
      </c>
    </row>
    <row r="12" spans="1:72" s="8" customFormat="1" x14ac:dyDescent="0.25">
      <c r="A12" s="8">
        <v>11</v>
      </c>
      <c r="B12">
        <v>48133</v>
      </c>
      <c r="C12" s="7">
        <v>265000</v>
      </c>
      <c r="D12" s="7">
        <v>-264654</v>
      </c>
      <c r="E12" s="38">
        <f t="shared" si="1"/>
        <v>55095.666666666642</v>
      </c>
      <c r="F12" s="38">
        <f t="shared" si="2"/>
        <v>56153.833333333307</v>
      </c>
      <c r="G12" s="38">
        <f t="shared" si="0"/>
        <v>55624.749999999971</v>
      </c>
      <c r="H12" s="27">
        <f>U62</f>
        <v>4290000</v>
      </c>
      <c r="I12" s="38">
        <f>BA62</f>
        <v>-4290047</v>
      </c>
      <c r="J12" s="39"/>
      <c r="K12" s="47">
        <f t="shared" si="3"/>
        <v>0</v>
      </c>
      <c r="L12" s="47">
        <f t="shared" si="4"/>
        <v>0</v>
      </c>
      <c r="M12" s="47">
        <f t="shared" si="5"/>
        <v>0</v>
      </c>
      <c r="N12" s="48">
        <f t="shared" si="6"/>
        <v>265000</v>
      </c>
      <c r="O12" s="48" t="b">
        <f t="shared" si="7"/>
        <v>0</v>
      </c>
      <c r="P12" s="48" t="b">
        <f t="shared" si="8"/>
        <v>0</v>
      </c>
      <c r="Q12" s="48" t="b">
        <f t="shared" si="9"/>
        <v>0</v>
      </c>
      <c r="R12" s="48" t="b">
        <f t="shared" si="10"/>
        <v>0</v>
      </c>
      <c r="S12" s="48" t="b">
        <f t="shared" si="11"/>
        <v>0</v>
      </c>
      <c r="T12" s="48" t="b">
        <f t="shared" si="12"/>
        <v>0</v>
      </c>
      <c r="U12" s="48" t="b">
        <f t="shared" si="13"/>
        <v>0</v>
      </c>
      <c r="V12" s="48" t="b">
        <f t="shared" si="14"/>
        <v>0</v>
      </c>
      <c r="W12" s="48" t="b">
        <f t="shared" si="15"/>
        <v>0</v>
      </c>
      <c r="X12" s="48" t="b">
        <f t="shared" si="16"/>
        <v>0</v>
      </c>
      <c r="Y12" s="48" t="b">
        <f t="shared" si="17"/>
        <v>0</v>
      </c>
      <c r="Z12" s="48" t="b">
        <f t="shared" si="18"/>
        <v>0</v>
      </c>
      <c r="AA12" s="48" t="b">
        <f t="shared" si="19"/>
        <v>0</v>
      </c>
      <c r="AB12" s="48" t="b">
        <f t="shared" si="20"/>
        <v>0</v>
      </c>
      <c r="AC12" s="48" t="b">
        <f t="shared" si="21"/>
        <v>0</v>
      </c>
      <c r="AD12" s="48" t="b">
        <f t="shared" si="22"/>
        <v>0</v>
      </c>
      <c r="AE12" s="48" t="b">
        <f t="shared" si="23"/>
        <v>0</v>
      </c>
      <c r="AF12" s="48" t="b">
        <f t="shared" si="24"/>
        <v>0</v>
      </c>
      <c r="AG12" s="48" t="b">
        <f t="shared" si="25"/>
        <v>0</v>
      </c>
      <c r="AH12" s="48" t="b">
        <f t="shared" si="26"/>
        <v>0</v>
      </c>
      <c r="AI12" s="48" t="b">
        <f t="shared" si="27"/>
        <v>0</v>
      </c>
      <c r="AJ12" s="48" t="b">
        <f t="shared" si="28"/>
        <v>0</v>
      </c>
      <c r="AK12" s="48" t="b">
        <f t="shared" si="29"/>
        <v>0</v>
      </c>
      <c r="AL12" s="48" t="b">
        <f t="shared" si="30"/>
        <v>0</v>
      </c>
      <c r="AM12" s="48" t="b">
        <f t="shared" si="31"/>
        <v>0</v>
      </c>
      <c r="AN12" s="48" t="b">
        <f t="shared" si="32"/>
        <v>0</v>
      </c>
      <c r="AO12" s="48"/>
      <c r="AP12" s="48"/>
      <c r="AQ12" s="47">
        <f t="shared" si="33"/>
        <v>0</v>
      </c>
      <c r="AR12" s="47">
        <f t="shared" si="34"/>
        <v>0</v>
      </c>
      <c r="AS12" s="47">
        <f t="shared" si="35"/>
        <v>0</v>
      </c>
      <c r="AT12" s="47">
        <f t="shared" si="36"/>
        <v>-264654</v>
      </c>
      <c r="AU12" s="47" t="b">
        <f t="shared" si="37"/>
        <v>0</v>
      </c>
      <c r="AV12" s="47" t="b">
        <f t="shared" si="38"/>
        <v>0</v>
      </c>
      <c r="AW12" s="47" t="b">
        <f t="shared" si="39"/>
        <v>0</v>
      </c>
      <c r="AX12" s="47" t="b">
        <f t="shared" si="40"/>
        <v>0</v>
      </c>
      <c r="AY12" s="47" t="b">
        <f t="shared" si="41"/>
        <v>0</v>
      </c>
      <c r="AZ12" s="47" t="b">
        <f t="shared" si="42"/>
        <v>0</v>
      </c>
      <c r="BA12" s="47" t="b">
        <f t="shared" si="43"/>
        <v>0</v>
      </c>
      <c r="BB12" s="47" t="b">
        <f t="shared" si="44"/>
        <v>0</v>
      </c>
      <c r="BC12" s="47" t="b">
        <f t="shared" si="45"/>
        <v>0</v>
      </c>
      <c r="BD12" s="47" t="b">
        <f t="shared" si="46"/>
        <v>0</v>
      </c>
      <c r="BE12" s="47" t="b">
        <f t="shared" si="47"/>
        <v>0</v>
      </c>
      <c r="BF12" s="47" t="b">
        <f t="shared" si="48"/>
        <v>0</v>
      </c>
      <c r="BG12" s="47" t="b">
        <f t="shared" si="49"/>
        <v>0</v>
      </c>
      <c r="BH12" s="47" t="b">
        <f t="shared" si="50"/>
        <v>0</v>
      </c>
      <c r="BI12" s="47" t="b">
        <f t="shared" si="51"/>
        <v>0</v>
      </c>
      <c r="BJ12" s="47" t="b">
        <f t="shared" si="52"/>
        <v>0</v>
      </c>
      <c r="BK12" s="69" t="b">
        <f t="shared" si="53"/>
        <v>0</v>
      </c>
      <c r="BL12" s="69" t="b">
        <f t="shared" si="54"/>
        <v>0</v>
      </c>
      <c r="BM12" s="69" t="b">
        <f t="shared" si="55"/>
        <v>0</v>
      </c>
      <c r="BN12" s="69" t="b">
        <f t="shared" si="56"/>
        <v>0</v>
      </c>
      <c r="BO12" s="69" t="b">
        <f t="shared" si="57"/>
        <v>0</v>
      </c>
      <c r="BP12" s="69" t="b">
        <f t="shared" si="58"/>
        <v>0</v>
      </c>
      <c r="BQ12" s="69" t="b">
        <f t="shared" si="59"/>
        <v>0</v>
      </c>
      <c r="BR12" s="69" t="b">
        <f t="shared" si="60"/>
        <v>0</v>
      </c>
      <c r="BS12" s="37" t="b">
        <f t="shared" si="61"/>
        <v>0</v>
      </c>
      <c r="BT12" s="37" t="b">
        <f t="shared" si="62"/>
        <v>0</v>
      </c>
    </row>
    <row r="13" spans="1:72" s="8" customFormat="1" x14ac:dyDescent="0.25">
      <c r="A13" s="8">
        <v>12</v>
      </c>
      <c r="B13">
        <v>48388</v>
      </c>
      <c r="C13" s="7">
        <v>-5064000</v>
      </c>
      <c r="D13" s="7">
        <v>5064168</v>
      </c>
      <c r="E13" s="38">
        <f t="shared" si="1"/>
        <v>56153.833333333307</v>
      </c>
      <c r="F13" s="38">
        <f t="shared" si="2"/>
        <v>57211.999999999971</v>
      </c>
      <c r="G13" s="38">
        <f t="shared" si="0"/>
        <v>56682.916666666642</v>
      </c>
      <c r="H13" s="27">
        <f>V62</f>
        <v>-467000</v>
      </c>
      <c r="I13" s="38">
        <f>BB62</f>
        <v>466749</v>
      </c>
      <c r="J13" s="39"/>
      <c r="K13" s="47">
        <f t="shared" si="3"/>
        <v>0</v>
      </c>
      <c r="L13" s="47">
        <f t="shared" si="4"/>
        <v>0</v>
      </c>
      <c r="M13" s="47">
        <f t="shared" si="5"/>
        <v>0</v>
      </c>
      <c r="N13" s="48">
        <f t="shared" si="6"/>
        <v>-5064000</v>
      </c>
      <c r="O13" s="48" t="b">
        <f t="shared" si="7"/>
        <v>0</v>
      </c>
      <c r="P13" s="48" t="b">
        <f t="shared" si="8"/>
        <v>0</v>
      </c>
      <c r="Q13" s="48" t="b">
        <f t="shared" si="9"/>
        <v>0</v>
      </c>
      <c r="R13" s="48" t="b">
        <f t="shared" si="10"/>
        <v>0</v>
      </c>
      <c r="S13" s="48" t="b">
        <f t="shared" si="11"/>
        <v>0</v>
      </c>
      <c r="T13" s="48" t="b">
        <f t="shared" si="12"/>
        <v>0</v>
      </c>
      <c r="U13" s="48" t="b">
        <f t="shared" si="13"/>
        <v>0</v>
      </c>
      <c r="V13" s="48" t="b">
        <f t="shared" si="14"/>
        <v>0</v>
      </c>
      <c r="W13" s="48" t="b">
        <f t="shared" si="15"/>
        <v>0</v>
      </c>
      <c r="X13" s="48" t="b">
        <f t="shared" si="16"/>
        <v>0</v>
      </c>
      <c r="Y13" s="48" t="b">
        <f t="shared" si="17"/>
        <v>0</v>
      </c>
      <c r="Z13" s="48" t="b">
        <f t="shared" si="18"/>
        <v>0</v>
      </c>
      <c r="AA13" s="48" t="b">
        <f t="shared" si="19"/>
        <v>0</v>
      </c>
      <c r="AB13" s="48" t="b">
        <f t="shared" si="20"/>
        <v>0</v>
      </c>
      <c r="AC13" s="48" t="b">
        <f t="shared" si="21"/>
        <v>0</v>
      </c>
      <c r="AD13" s="48" t="b">
        <f t="shared" si="22"/>
        <v>0</v>
      </c>
      <c r="AE13" s="48" t="b">
        <f t="shared" si="23"/>
        <v>0</v>
      </c>
      <c r="AF13" s="48" t="b">
        <f t="shared" si="24"/>
        <v>0</v>
      </c>
      <c r="AG13" s="48" t="b">
        <f t="shared" si="25"/>
        <v>0</v>
      </c>
      <c r="AH13" s="48" t="b">
        <f t="shared" si="26"/>
        <v>0</v>
      </c>
      <c r="AI13" s="48" t="b">
        <f t="shared" si="27"/>
        <v>0</v>
      </c>
      <c r="AJ13" s="48" t="b">
        <f t="shared" si="28"/>
        <v>0</v>
      </c>
      <c r="AK13" s="48" t="b">
        <f t="shared" si="29"/>
        <v>0</v>
      </c>
      <c r="AL13" s="48" t="b">
        <f t="shared" si="30"/>
        <v>0</v>
      </c>
      <c r="AM13" s="48" t="b">
        <f t="shared" si="31"/>
        <v>0</v>
      </c>
      <c r="AN13" s="48" t="b">
        <f t="shared" si="32"/>
        <v>0</v>
      </c>
      <c r="AO13" s="48"/>
      <c r="AP13" s="48"/>
      <c r="AQ13" s="47">
        <f t="shared" si="33"/>
        <v>0</v>
      </c>
      <c r="AR13" s="47">
        <f t="shared" si="34"/>
        <v>0</v>
      </c>
      <c r="AS13" s="47">
        <f t="shared" si="35"/>
        <v>0</v>
      </c>
      <c r="AT13" s="47">
        <f t="shared" si="36"/>
        <v>5064168</v>
      </c>
      <c r="AU13" s="47" t="b">
        <f t="shared" si="37"/>
        <v>0</v>
      </c>
      <c r="AV13" s="47" t="b">
        <f t="shared" si="38"/>
        <v>0</v>
      </c>
      <c r="AW13" s="47" t="b">
        <f t="shared" si="39"/>
        <v>0</v>
      </c>
      <c r="AX13" s="47" t="b">
        <f t="shared" si="40"/>
        <v>0</v>
      </c>
      <c r="AY13" s="47" t="b">
        <f t="shared" si="41"/>
        <v>0</v>
      </c>
      <c r="AZ13" s="47" t="b">
        <f t="shared" si="42"/>
        <v>0</v>
      </c>
      <c r="BA13" s="47" t="b">
        <f t="shared" si="43"/>
        <v>0</v>
      </c>
      <c r="BB13" s="47" t="b">
        <f t="shared" si="44"/>
        <v>0</v>
      </c>
      <c r="BC13" s="47" t="b">
        <f t="shared" si="45"/>
        <v>0</v>
      </c>
      <c r="BD13" s="47" t="b">
        <f t="shared" si="46"/>
        <v>0</v>
      </c>
      <c r="BE13" s="47" t="b">
        <f t="shared" si="47"/>
        <v>0</v>
      </c>
      <c r="BF13" s="47" t="b">
        <f t="shared" si="48"/>
        <v>0</v>
      </c>
      <c r="BG13" s="47" t="b">
        <f t="shared" si="49"/>
        <v>0</v>
      </c>
      <c r="BH13" s="47" t="b">
        <f t="shared" si="50"/>
        <v>0</v>
      </c>
      <c r="BI13" s="47" t="b">
        <f t="shared" si="51"/>
        <v>0</v>
      </c>
      <c r="BJ13" s="47" t="b">
        <f t="shared" si="52"/>
        <v>0</v>
      </c>
      <c r="BK13" s="69" t="b">
        <f t="shared" si="53"/>
        <v>0</v>
      </c>
      <c r="BL13" s="69" t="b">
        <f t="shared" si="54"/>
        <v>0</v>
      </c>
      <c r="BM13" s="69" t="b">
        <f t="shared" si="55"/>
        <v>0</v>
      </c>
      <c r="BN13" s="69" t="b">
        <f t="shared" si="56"/>
        <v>0</v>
      </c>
      <c r="BO13" s="69" t="b">
        <f t="shared" si="57"/>
        <v>0</v>
      </c>
      <c r="BP13" s="69" t="b">
        <f t="shared" si="58"/>
        <v>0</v>
      </c>
      <c r="BQ13" s="69" t="b">
        <f t="shared" si="59"/>
        <v>0</v>
      </c>
      <c r="BR13" s="69" t="b">
        <f t="shared" si="60"/>
        <v>0</v>
      </c>
      <c r="BS13" s="37" t="b">
        <f t="shared" si="61"/>
        <v>0</v>
      </c>
      <c r="BT13" s="37" t="b">
        <f t="shared" si="62"/>
        <v>0</v>
      </c>
    </row>
    <row r="14" spans="1:72" s="8" customFormat="1" x14ac:dyDescent="0.25">
      <c r="A14" s="8">
        <v>13</v>
      </c>
      <c r="B14">
        <v>48464</v>
      </c>
      <c r="C14" s="7">
        <v>176933</v>
      </c>
      <c r="D14" s="7">
        <v>-176933</v>
      </c>
      <c r="E14" s="38">
        <f t="shared" si="1"/>
        <v>57211.999999999971</v>
      </c>
      <c r="F14" s="38">
        <f t="shared" si="2"/>
        <v>58270.166666666635</v>
      </c>
      <c r="G14" s="38">
        <f t="shared" si="0"/>
        <v>57741.083333333299</v>
      </c>
      <c r="H14" s="27">
        <f>W62</f>
        <v>650123</v>
      </c>
      <c r="I14" s="38">
        <f>BC62</f>
        <v>-649305</v>
      </c>
      <c r="J14" s="39"/>
      <c r="K14" s="47">
        <f t="shared" si="3"/>
        <v>0</v>
      </c>
      <c r="L14" s="47">
        <f t="shared" si="4"/>
        <v>0</v>
      </c>
      <c r="M14" s="47">
        <f t="shared" si="5"/>
        <v>0</v>
      </c>
      <c r="N14" s="48">
        <f t="shared" si="6"/>
        <v>176933</v>
      </c>
      <c r="O14" s="48" t="b">
        <f t="shared" si="7"/>
        <v>0</v>
      </c>
      <c r="P14" s="48" t="b">
        <f t="shared" si="8"/>
        <v>0</v>
      </c>
      <c r="Q14" s="48" t="b">
        <f t="shared" si="9"/>
        <v>0</v>
      </c>
      <c r="R14" s="48" t="b">
        <f t="shared" si="10"/>
        <v>0</v>
      </c>
      <c r="S14" s="48" t="b">
        <f t="shared" si="11"/>
        <v>0</v>
      </c>
      <c r="T14" s="48" t="b">
        <f t="shared" si="12"/>
        <v>0</v>
      </c>
      <c r="U14" s="48" t="b">
        <f t="shared" si="13"/>
        <v>0</v>
      </c>
      <c r="V14" s="48" t="b">
        <f t="shared" si="14"/>
        <v>0</v>
      </c>
      <c r="W14" s="48" t="b">
        <f t="shared" si="15"/>
        <v>0</v>
      </c>
      <c r="X14" s="48" t="b">
        <f t="shared" si="16"/>
        <v>0</v>
      </c>
      <c r="Y14" s="48" t="b">
        <f t="shared" si="17"/>
        <v>0</v>
      </c>
      <c r="Z14" s="48" t="b">
        <f t="shared" si="18"/>
        <v>0</v>
      </c>
      <c r="AA14" s="48" t="b">
        <f t="shared" si="19"/>
        <v>0</v>
      </c>
      <c r="AB14" s="48" t="b">
        <f t="shared" si="20"/>
        <v>0</v>
      </c>
      <c r="AC14" s="48" t="b">
        <f t="shared" si="21"/>
        <v>0</v>
      </c>
      <c r="AD14" s="48" t="b">
        <f t="shared" si="22"/>
        <v>0</v>
      </c>
      <c r="AE14" s="48" t="b">
        <f t="shared" si="23"/>
        <v>0</v>
      </c>
      <c r="AF14" s="48" t="b">
        <f t="shared" si="24"/>
        <v>0</v>
      </c>
      <c r="AG14" s="48" t="b">
        <f t="shared" si="25"/>
        <v>0</v>
      </c>
      <c r="AH14" s="48" t="b">
        <f t="shared" si="26"/>
        <v>0</v>
      </c>
      <c r="AI14" s="48" t="b">
        <f t="shared" si="27"/>
        <v>0</v>
      </c>
      <c r="AJ14" s="48" t="b">
        <f t="shared" si="28"/>
        <v>0</v>
      </c>
      <c r="AK14" s="48" t="b">
        <f t="shared" si="29"/>
        <v>0</v>
      </c>
      <c r="AL14" s="48" t="b">
        <f t="shared" si="30"/>
        <v>0</v>
      </c>
      <c r="AM14" s="48" t="b">
        <f t="shared" si="31"/>
        <v>0</v>
      </c>
      <c r="AN14" s="48" t="b">
        <f t="shared" si="32"/>
        <v>0</v>
      </c>
      <c r="AO14" s="48"/>
      <c r="AP14" s="48"/>
      <c r="AQ14" s="47">
        <f t="shared" si="33"/>
        <v>0</v>
      </c>
      <c r="AR14" s="47">
        <f t="shared" si="34"/>
        <v>0</v>
      </c>
      <c r="AS14" s="47">
        <f t="shared" si="35"/>
        <v>0</v>
      </c>
      <c r="AT14" s="47">
        <f t="shared" si="36"/>
        <v>-176933</v>
      </c>
      <c r="AU14" s="47" t="b">
        <f t="shared" si="37"/>
        <v>0</v>
      </c>
      <c r="AV14" s="47" t="b">
        <f t="shared" si="38"/>
        <v>0</v>
      </c>
      <c r="AW14" s="47" t="b">
        <f t="shared" si="39"/>
        <v>0</v>
      </c>
      <c r="AX14" s="47" t="b">
        <f t="shared" si="40"/>
        <v>0</v>
      </c>
      <c r="AY14" s="47" t="b">
        <f t="shared" si="41"/>
        <v>0</v>
      </c>
      <c r="AZ14" s="47" t="b">
        <f t="shared" si="42"/>
        <v>0</v>
      </c>
      <c r="BA14" s="47" t="b">
        <f t="shared" si="43"/>
        <v>0</v>
      </c>
      <c r="BB14" s="47" t="b">
        <f t="shared" si="44"/>
        <v>0</v>
      </c>
      <c r="BC14" s="47" t="b">
        <f t="shared" si="45"/>
        <v>0</v>
      </c>
      <c r="BD14" s="47" t="b">
        <f t="shared" si="46"/>
        <v>0</v>
      </c>
      <c r="BE14" s="47" t="b">
        <f t="shared" si="47"/>
        <v>0</v>
      </c>
      <c r="BF14" s="47" t="b">
        <f t="shared" si="48"/>
        <v>0</v>
      </c>
      <c r="BG14" s="47" t="b">
        <f t="shared" si="49"/>
        <v>0</v>
      </c>
      <c r="BH14" s="47" t="b">
        <f t="shared" si="50"/>
        <v>0</v>
      </c>
      <c r="BI14" s="47" t="b">
        <f t="shared" si="51"/>
        <v>0</v>
      </c>
      <c r="BJ14" s="47" t="b">
        <f t="shared" si="52"/>
        <v>0</v>
      </c>
      <c r="BK14" s="69" t="b">
        <f t="shared" si="53"/>
        <v>0</v>
      </c>
      <c r="BL14" s="69" t="b">
        <f t="shared" si="54"/>
        <v>0</v>
      </c>
      <c r="BM14" s="69" t="b">
        <f t="shared" si="55"/>
        <v>0</v>
      </c>
      <c r="BN14" s="69" t="b">
        <f t="shared" si="56"/>
        <v>0</v>
      </c>
      <c r="BO14" s="69" t="b">
        <f t="shared" si="57"/>
        <v>0</v>
      </c>
      <c r="BP14" s="69" t="b">
        <f t="shared" si="58"/>
        <v>0</v>
      </c>
      <c r="BQ14" s="69" t="b">
        <f t="shared" si="59"/>
        <v>0</v>
      </c>
      <c r="BR14" s="69" t="b">
        <f t="shared" si="60"/>
        <v>0</v>
      </c>
      <c r="BS14" s="37" t="b">
        <f t="shared" si="61"/>
        <v>0</v>
      </c>
      <c r="BT14" s="37" t="b">
        <f t="shared" si="62"/>
        <v>0</v>
      </c>
    </row>
    <row r="15" spans="1:72" s="8" customFormat="1" x14ac:dyDescent="0.25">
      <c r="A15" s="8">
        <v>14</v>
      </c>
      <c r="B15">
        <v>49789</v>
      </c>
      <c r="C15" s="7">
        <v>-1190000</v>
      </c>
      <c r="D15" s="7">
        <v>1190000</v>
      </c>
      <c r="E15" s="38">
        <f t="shared" si="1"/>
        <v>58270.166666666635</v>
      </c>
      <c r="F15" s="38">
        <f t="shared" si="2"/>
        <v>59328.333333333299</v>
      </c>
      <c r="G15" s="38">
        <f t="shared" si="0"/>
        <v>58799.249999999971</v>
      </c>
      <c r="H15" s="27">
        <f>X62</f>
        <v>-2645000</v>
      </c>
      <c r="I15" s="38">
        <f>BD62</f>
        <v>2644695</v>
      </c>
      <c r="J15" s="39"/>
      <c r="K15" s="47">
        <f t="shared" si="3"/>
        <v>0</v>
      </c>
      <c r="L15" s="47">
        <f t="shared" si="4"/>
        <v>0</v>
      </c>
      <c r="M15" s="47">
        <f t="shared" si="5"/>
        <v>0</v>
      </c>
      <c r="N15" s="48">
        <f t="shared" si="6"/>
        <v>0</v>
      </c>
      <c r="O15" s="48">
        <f t="shared" si="7"/>
        <v>-1190000</v>
      </c>
      <c r="P15" s="48" t="b">
        <f t="shared" si="8"/>
        <v>0</v>
      </c>
      <c r="Q15" s="48" t="b">
        <f t="shared" si="9"/>
        <v>0</v>
      </c>
      <c r="R15" s="48" t="b">
        <f t="shared" si="10"/>
        <v>0</v>
      </c>
      <c r="S15" s="48" t="b">
        <f t="shared" si="11"/>
        <v>0</v>
      </c>
      <c r="T15" s="48" t="b">
        <f t="shared" si="12"/>
        <v>0</v>
      </c>
      <c r="U15" s="48" t="b">
        <f t="shared" si="13"/>
        <v>0</v>
      </c>
      <c r="V15" s="48" t="b">
        <f t="shared" si="14"/>
        <v>0</v>
      </c>
      <c r="W15" s="48" t="b">
        <f t="shared" si="15"/>
        <v>0</v>
      </c>
      <c r="X15" s="48" t="b">
        <f t="shared" si="16"/>
        <v>0</v>
      </c>
      <c r="Y15" s="48" t="b">
        <f t="shared" si="17"/>
        <v>0</v>
      </c>
      <c r="Z15" s="48" t="b">
        <f t="shared" si="18"/>
        <v>0</v>
      </c>
      <c r="AA15" s="48" t="b">
        <f t="shared" si="19"/>
        <v>0</v>
      </c>
      <c r="AB15" s="48" t="b">
        <f t="shared" si="20"/>
        <v>0</v>
      </c>
      <c r="AC15" s="48" t="b">
        <f t="shared" si="21"/>
        <v>0</v>
      </c>
      <c r="AD15" s="48" t="b">
        <f t="shared" si="22"/>
        <v>0</v>
      </c>
      <c r="AE15" s="48" t="b">
        <f t="shared" si="23"/>
        <v>0</v>
      </c>
      <c r="AF15" s="48" t="b">
        <f t="shared" si="24"/>
        <v>0</v>
      </c>
      <c r="AG15" s="48" t="b">
        <f t="shared" si="25"/>
        <v>0</v>
      </c>
      <c r="AH15" s="48" t="b">
        <f t="shared" si="26"/>
        <v>0</v>
      </c>
      <c r="AI15" s="48" t="b">
        <f t="shared" si="27"/>
        <v>0</v>
      </c>
      <c r="AJ15" s="48" t="b">
        <f t="shared" si="28"/>
        <v>0</v>
      </c>
      <c r="AK15" s="48" t="b">
        <f t="shared" si="29"/>
        <v>0</v>
      </c>
      <c r="AL15" s="48" t="b">
        <f t="shared" si="30"/>
        <v>0</v>
      </c>
      <c r="AM15" s="48" t="b">
        <f t="shared" si="31"/>
        <v>0</v>
      </c>
      <c r="AN15" s="48" t="b">
        <f t="shared" si="32"/>
        <v>0</v>
      </c>
      <c r="AO15" s="48"/>
      <c r="AP15" s="48"/>
      <c r="AQ15" s="47">
        <f t="shared" si="33"/>
        <v>0</v>
      </c>
      <c r="AR15" s="47">
        <f t="shared" si="34"/>
        <v>0</v>
      </c>
      <c r="AS15" s="47">
        <f t="shared" si="35"/>
        <v>0</v>
      </c>
      <c r="AT15" s="47">
        <f t="shared" si="36"/>
        <v>0</v>
      </c>
      <c r="AU15" s="47">
        <f t="shared" si="37"/>
        <v>1190000</v>
      </c>
      <c r="AV15" s="47" t="b">
        <f t="shared" si="38"/>
        <v>0</v>
      </c>
      <c r="AW15" s="47" t="b">
        <f t="shared" si="39"/>
        <v>0</v>
      </c>
      <c r="AX15" s="47" t="b">
        <f t="shared" si="40"/>
        <v>0</v>
      </c>
      <c r="AY15" s="47" t="b">
        <f t="shared" si="41"/>
        <v>0</v>
      </c>
      <c r="AZ15" s="47" t="b">
        <f t="shared" si="42"/>
        <v>0</v>
      </c>
      <c r="BA15" s="47" t="b">
        <f t="shared" si="43"/>
        <v>0</v>
      </c>
      <c r="BB15" s="47" t="b">
        <f t="shared" si="44"/>
        <v>0</v>
      </c>
      <c r="BC15" s="47" t="b">
        <f t="shared" si="45"/>
        <v>0</v>
      </c>
      <c r="BD15" s="47" t="b">
        <f t="shared" si="46"/>
        <v>0</v>
      </c>
      <c r="BE15" s="47" t="b">
        <f t="shared" si="47"/>
        <v>0</v>
      </c>
      <c r="BF15" s="47" t="b">
        <f t="shared" si="48"/>
        <v>0</v>
      </c>
      <c r="BG15" s="47" t="b">
        <f t="shared" si="49"/>
        <v>0</v>
      </c>
      <c r="BH15" s="47" t="b">
        <f t="shared" si="50"/>
        <v>0</v>
      </c>
      <c r="BI15" s="47" t="b">
        <f t="shared" si="51"/>
        <v>0</v>
      </c>
      <c r="BJ15" s="47" t="b">
        <f t="shared" si="52"/>
        <v>0</v>
      </c>
      <c r="BK15" s="69" t="b">
        <f t="shared" si="53"/>
        <v>0</v>
      </c>
      <c r="BL15" s="69" t="b">
        <f t="shared" si="54"/>
        <v>0</v>
      </c>
      <c r="BM15" s="69" t="b">
        <f t="shared" si="55"/>
        <v>0</v>
      </c>
      <c r="BN15" s="69" t="b">
        <f t="shared" si="56"/>
        <v>0</v>
      </c>
      <c r="BO15" s="69" t="b">
        <f t="shared" si="57"/>
        <v>0</v>
      </c>
      <c r="BP15" s="69" t="b">
        <f t="shared" si="58"/>
        <v>0</v>
      </c>
      <c r="BQ15" s="69" t="b">
        <f t="shared" si="59"/>
        <v>0</v>
      </c>
      <c r="BR15" s="69" t="b">
        <f t="shared" si="60"/>
        <v>0</v>
      </c>
      <c r="BS15" s="37" t="b">
        <f t="shared" si="61"/>
        <v>0</v>
      </c>
      <c r="BT15" s="37" t="b">
        <f t="shared" si="62"/>
        <v>0</v>
      </c>
    </row>
    <row r="16" spans="1:72" s="8" customFormat="1" x14ac:dyDescent="0.25">
      <c r="A16" s="8">
        <v>15</v>
      </c>
      <c r="B16">
        <v>50347</v>
      </c>
      <c r="C16" s="7">
        <v>-583000</v>
      </c>
      <c r="D16" s="7">
        <v>582800</v>
      </c>
      <c r="E16" s="38">
        <f t="shared" si="1"/>
        <v>59328.333333333299</v>
      </c>
      <c r="F16" s="38">
        <f t="shared" si="2"/>
        <v>60386.499999999964</v>
      </c>
      <c r="G16" s="38">
        <f t="shared" si="0"/>
        <v>59857.416666666628</v>
      </c>
      <c r="H16" s="27">
        <f>Y62</f>
        <v>-1736000</v>
      </c>
      <c r="I16" s="38">
        <f>BE62</f>
        <v>1737000</v>
      </c>
      <c r="J16" s="39"/>
      <c r="K16" s="47">
        <f t="shared" si="3"/>
        <v>0</v>
      </c>
      <c r="L16" s="47">
        <f t="shared" si="4"/>
        <v>0</v>
      </c>
      <c r="M16" s="47">
        <f t="shared" si="5"/>
        <v>0</v>
      </c>
      <c r="N16" s="48">
        <f t="shared" si="6"/>
        <v>0</v>
      </c>
      <c r="O16" s="48">
        <f t="shared" si="7"/>
        <v>0</v>
      </c>
      <c r="P16" s="48">
        <f t="shared" si="8"/>
        <v>-583000</v>
      </c>
      <c r="Q16" s="48" t="b">
        <f t="shared" si="9"/>
        <v>0</v>
      </c>
      <c r="R16" s="48" t="b">
        <f t="shared" si="10"/>
        <v>0</v>
      </c>
      <c r="S16" s="48" t="b">
        <f t="shared" si="11"/>
        <v>0</v>
      </c>
      <c r="T16" s="48" t="b">
        <f t="shared" si="12"/>
        <v>0</v>
      </c>
      <c r="U16" s="48" t="b">
        <f t="shared" si="13"/>
        <v>0</v>
      </c>
      <c r="V16" s="48" t="b">
        <f t="shared" si="14"/>
        <v>0</v>
      </c>
      <c r="W16" s="48" t="b">
        <f t="shared" si="15"/>
        <v>0</v>
      </c>
      <c r="X16" s="48" t="b">
        <f t="shared" si="16"/>
        <v>0</v>
      </c>
      <c r="Y16" s="48" t="b">
        <f t="shared" si="17"/>
        <v>0</v>
      </c>
      <c r="Z16" s="48" t="b">
        <f t="shared" si="18"/>
        <v>0</v>
      </c>
      <c r="AA16" s="48" t="b">
        <f t="shared" si="19"/>
        <v>0</v>
      </c>
      <c r="AB16" s="48" t="b">
        <f t="shared" si="20"/>
        <v>0</v>
      </c>
      <c r="AC16" s="48" t="b">
        <f t="shared" si="21"/>
        <v>0</v>
      </c>
      <c r="AD16" s="48" t="b">
        <f t="shared" si="22"/>
        <v>0</v>
      </c>
      <c r="AE16" s="48" t="b">
        <f t="shared" si="23"/>
        <v>0</v>
      </c>
      <c r="AF16" s="48" t="b">
        <f t="shared" si="24"/>
        <v>0</v>
      </c>
      <c r="AG16" s="48" t="b">
        <f t="shared" si="25"/>
        <v>0</v>
      </c>
      <c r="AH16" s="48" t="b">
        <f t="shared" si="26"/>
        <v>0</v>
      </c>
      <c r="AI16" s="48" t="b">
        <f t="shared" si="27"/>
        <v>0</v>
      </c>
      <c r="AJ16" s="48" t="b">
        <f t="shared" si="28"/>
        <v>0</v>
      </c>
      <c r="AK16" s="48" t="b">
        <f t="shared" si="29"/>
        <v>0</v>
      </c>
      <c r="AL16" s="48" t="b">
        <f t="shared" si="30"/>
        <v>0</v>
      </c>
      <c r="AM16" s="48" t="b">
        <f t="shared" si="31"/>
        <v>0</v>
      </c>
      <c r="AN16" s="48" t="b">
        <f t="shared" si="32"/>
        <v>0</v>
      </c>
      <c r="AO16" s="48"/>
      <c r="AP16" s="48"/>
      <c r="AQ16" s="47">
        <f t="shared" si="33"/>
        <v>0</v>
      </c>
      <c r="AR16" s="47">
        <f t="shared" si="34"/>
        <v>0</v>
      </c>
      <c r="AS16" s="47">
        <f t="shared" si="35"/>
        <v>0</v>
      </c>
      <c r="AT16" s="47">
        <f t="shared" si="36"/>
        <v>0</v>
      </c>
      <c r="AU16" s="47">
        <f t="shared" si="37"/>
        <v>0</v>
      </c>
      <c r="AV16" s="47">
        <f t="shared" si="38"/>
        <v>582800</v>
      </c>
      <c r="AW16" s="47" t="b">
        <f t="shared" si="39"/>
        <v>0</v>
      </c>
      <c r="AX16" s="47" t="b">
        <f t="shared" si="40"/>
        <v>0</v>
      </c>
      <c r="AY16" s="47" t="b">
        <f t="shared" si="41"/>
        <v>0</v>
      </c>
      <c r="AZ16" s="47" t="b">
        <f t="shared" si="42"/>
        <v>0</v>
      </c>
      <c r="BA16" s="47" t="b">
        <f t="shared" si="43"/>
        <v>0</v>
      </c>
      <c r="BB16" s="47" t="b">
        <f t="shared" si="44"/>
        <v>0</v>
      </c>
      <c r="BC16" s="47" t="b">
        <f t="shared" si="45"/>
        <v>0</v>
      </c>
      <c r="BD16" s="47" t="b">
        <f t="shared" si="46"/>
        <v>0</v>
      </c>
      <c r="BE16" s="47" t="b">
        <f t="shared" si="47"/>
        <v>0</v>
      </c>
      <c r="BF16" s="47" t="b">
        <f t="shared" si="48"/>
        <v>0</v>
      </c>
      <c r="BG16" s="47" t="b">
        <f t="shared" si="49"/>
        <v>0</v>
      </c>
      <c r="BH16" s="47" t="b">
        <f t="shared" si="50"/>
        <v>0</v>
      </c>
      <c r="BI16" s="47" t="b">
        <f t="shared" si="51"/>
        <v>0</v>
      </c>
      <c r="BJ16" s="47" t="b">
        <f t="shared" si="52"/>
        <v>0</v>
      </c>
      <c r="BK16" s="69" t="b">
        <f t="shared" si="53"/>
        <v>0</v>
      </c>
      <c r="BL16" s="69" t="b">
        <f t="shared" si="54"/>
        <v>0</v>
      </c>
      <c r="BM16" s="69" t="b">
        <f t="shared" si="55"/>
        <v>0</v>
      </c>
      <c r="BN16" s="69" t="b">
        <f t="shared" si="56"/>
        <v>0</v>
      </c>
      <c r="BO16" s="69" t="b">
        <f t="shared" si="57"/>
        <v>0</v>
      </c>
      <c r="BP16" s="69" t="b">
        <f t="shared" si="58"/>
        <v>0</v>
      </c>
      <c r="BQ16" s="69" t="b">
        <f t="shared" si="59"/>
        <v>0</v>
      </c>
      <c r="BR16" s="69" t="b">
        <f t="shared" si="60"/>
        <v>0</v>
      </c>
      <c r="BS16" s="37" t="b">
        <f t="shared" si="61"/>
        <v>0</v>
      </c>
      <c r="BT16" s="37" t="b">
        <f t="shared" si="62"/>
        <v>0</v>
      </c>
    </row>
    <row r="17" spans="1:72" s="8" customFormat="1" x14ac:dyDescent="0.25">
      <c r="A17" s="8">
        <v>16</v>
      </c>
      <c r="B17">
        <v>50352</v>
      </c>
      <c r="C17" s="7">
        <v>-6591000</v>
      </c>
      <c r="D17" s="7">
        <v>6591000</v>
      </c>
      <c r="E17" s="38">
        <f t="shared" si="1"/>
        <v>60386.499999999964</v>
      </c>
      <c r="F17" s="38">
        <f t="shared" si="2"/>
        <v>61444.666666666628</v>
      </c>
      <c r="G17" s="38">
        <f t="shared" si="0"/>
        <v>60915.583333333299</v>
      </c>
      <c r="H17" s="27">
        <f>Z62</f>
        <v>-409484</v>
      </c>
      <c r="I17" s="38">
        <f>BF62</f>
        <v>409779</v>
      </c>
      <c r="J17" s="39"/>
      <c r="K17" s="47">
        <f t="shared" si="3"/>
        <v>0</v>
      </c>
      <c r="L17" s="47">
        <f t="shared" si="4"/>
        <v>0</v>
      </c>
      <c r="M17" s="47">
        <f t="shared" si="5"/>
        <v>0</v>
      </c>
      <c r="N17" s="48">
        <f t="shared" si="6"/>
        <v>0</v>
      </c>
      <c r="O17" s="48">
        <f t="shared" si="7"/>
        <v>0</v>
      </c>
      <c r="P17" s="48">
        <f t="shared" si="8"/>
        <v>-6591000</v>
      </c>
      <c r="Q17" s="48" t="b">
        <f t="shared" si="9"/>
        <v>0</v>
      </c>
      <c r="R17" s="48" t="b">
        <f t="shared" si="10"/>
        <v>0</v>
      </c>
      <c r="S17" s="48" t="b">
        <f t="shared" si="11"/>
        <v>0</v>
      </c>
      <c r="T17" s="48" t="b">
        <f t="shared" si="12"/>
        <v>0</v>
      </c>
      <c r="U17" s="48" t="b">
        <f t="shared" si="13"/>
        <v>0</v>
      </c>
      <c r="V17" s="48" t="b">
        <f t="shared" si="14"/>
        <v>0</v>
      </c>
      <c r="W17" s="48" t="b">
        <f t="shared" si="15"/>
        <v>0</v>
      </c>
      <c r="X17" s="48" t="b">
        <f t="shared" si="16"/>
        <v>0</v>
      </c>
      <c r="Y17" s="48" t="b">
        <f t="shared" si="17"/>
        <v>0</v>
      </c>
      <c r="Z17" s="48" t="b">
        <f t="shared" si="18"/>
        <v>0</v>
      </c>
      <c r="AA17" s="48" t="b">
        <f t="shared" si="19"/>
        <v>0</v>
      </c>
      <c r="AB17" s="48" t="b">
        <f t="shared" si="20"/>
        <v>0</v>
      </c>
      <c r="AC17" s="48" t="b">
        <f t="shared" si="21"/>
        <v>0</v>
      </c>
      <c r="AD17" s="48" t="b">
        <f t="shared" si="22"/>
        <v>0</v>
      </c>
      <c r="AE17" s="48" t="b">
        <f t="shared" si="23"/>
        <v>0</v>
      </c>
      <c r="AF17" s="48" t="b">
        <f t="shared" si="24"/>
        <v>0</v>
      </c>
      <c r="AG17" s="48" t="b">
        <f t="shared" si="25"/>
        <v>0</v>
      </c>
      <c r="AH17" s="48" t="b">
        <f t="shared" si="26"/>
        <v>0</v>
      </c>
      <c r="AI17" s="48" t="b">
        <f t="shared" si="27"/>
        <v>0</v>
      </c>
      <c r="AJ17" s="48" t="b">
        <f t="shared" si="28"/>
        <v>0</v>
      </c>
      <c r="AK17" s="48" t="b">
        <f t="shared" si="29"/>
        <v>0</v>
      </c>
      <c r="AL17" s="48" t="b">
        <f t="shared" si="30"/>
        <v>0</v>
      </c>
      <c r="AM17" s="48" t="b">
        <f t="shared" si="31"/>
        <v>0</v>
      </c>
      <c r="AN17" s="48" t="b">
        <f t="shared" si="32"/>
        <v>0</v>
      </c>
      <c r="AO17" s="48"/>
      <c r="AP17" s="48"/>
      <c r="AQ17" s="47">
        <f t="shared" si="33"/>
        <v>0</v>
      </c>
      <c r="AR17" s="47">
        <f t="shared" si="34"/>
        <v>0</v>
      </c>
      <c r="AS17" s="47">
        <f t="shared" si="35"/>
        <v>0</v>
      </c>
      <c r="AT17" s="47">
        <f t="shared" si="36"/>
        <v>0</v>
      </c>
      <c r="AU17" s="47">
        <f t="shared" si="37"/>
        <v>0</v>
      </c>
      <c r="AV17" s="47">
        <f t="shared" si="38"/>
        <v>6591000</v>
      </c>
      <c r="AW17" s="47" t="b">
        <f t="shared" si="39"/>
        <v>0</v>
      </c>
      <c r="AX17" s="47" t="b">
        <f t="shared" si="40"/>
        <v>0</v>
      </c>
      <c r="AY17" s="47" t="b">
        <f t="shared" si="41"/>
        <v>0</v>
      </c>
      <c r="AZ17" s="47" t="b">
        <f t="shared" si="42"/>
        <v>0</v>
      </c>
      <c r="BA17" s="47" t="b">
        <f t="shared" si="43"/>
        <v>0</v>
      </c>
      <c r="BB17" s="47" t="b">
        <f t="shared" si="44"/>
        <v>0</v>
      </c>
      <c r="BC17" s="47" t="b">
        <f t="shared" si="45"/>
        <v>0</v>
      </c>
      <c r="BD17" s="47" t="b">
        <f t="shared" si="46"/>
        <v>0</v>
      </c>
      <c r="BE17" s="47" t="b">
        <f t="shared" si="47"/>
        <v>0</v>
      </c>
      <c r="BF17" s="47" t="b">
        <f t="shared" si="48"/>
        <v>0</v>
      </c>
      <c r="BG17" s="47" t="b">
        <f t="shared" si="49"/>
        <v>0</v>
      </c>
      <c r="BH17" s="47" t="b">
        <f t="shared" si="50"/>
        <v>0</v>
      </c>
      <c r="BI17" s="47" t="b">
        <f t="shared" si="51"/>
        <v>0</v>
      </c>
      <c r="BJ17" s="47" t="b">
        <f t="shared" si="52"/>
        <v>0</v>
      </c>
      <c r="BK17" s="69" t="b">
        <f t="shared" si="53"/>
        <v>0</v>
      </c>
      <c r="BL17" s="69" t="b">
        <f t="shared" si="54"/>
        <v>0</v>
      </c>
      <c r="BM17" s="69" t="b">
        <f t="shared" si="55"/>
        <v>0</v>
      </c>
      <c r="BN17" s="69" t="b">
        <f t="shared" si="56"/>
        <v>0</v>
      </c>
      <c r="BO17" s="69" t="b">
        <f t="shared" si="57"/>
        <v>0</v>
      </c>
      <c r="BP17" s="69" t="b">
        <f t="shared" si="58"/>
        <v>0</v>
      </c>
      <c r="BQ17" s="69" t="b">
        <f t="shared" si="59"/>
        <v>0</v>
      </c>
      <c r="BR17" s="69" t="b">
        <f t="shared" si="60"/>
        <v>0</v>
      </c>
      <c r="BS17" s="37" t="b">
        <f t="shared" si="61"/>
        <v>0</v>
      </c>
      <c r="BT17" s="37" t="b">
        <f t="shared" si="62"/>
        <v>0</v>
      </c>
    </row>
    <row r="18" spans="1:72" s="8" customFormat="1" x14ac:dyDescent="0.25">
      <c r="A18" s="8">
        <v>17</v>
      </c>
      <c r="B18">
        <v>50410</v>
      </c>
      <c r="C18" s="7">
        <v>-9114000</v>
      </c>
      <c r="D18" s="7">
        <v>9115000</v>
      </c>
      <c r="E18" s="38">
        <f t="shared" si="1"/>
        <v>61444.666666666628</v>
      </c>
      <c r="F18" s="38">
        <f t="shared" si="2"/>
        <v>62502.833333333292</v>
      </c>
      <c r="G18" s="38">
        <f t="shared" si="0"/>
        <v>61973.749999999956</v>
      </c>
      <c r="H18" s="27">
        <f>AA62</f>
        <v>0</v>
      </c>
      <c r="I18" s="38">
        <f>BG62</f>
        <v>0</v>
      </c>
      <c r="J18" s="39"/>
      <c r="K18" s="47">
        <f t="shared" si="3"/>
        <v>0</v>
      </c>
      <c r="L18" s="47">
        <f t="shared" si="4"/>
        <v>0</v>
      </c>
      <c r="M18" s="47">
        <f t="shared" si="5"/>
        <v>0</v>
      </c>
      <c r="N18" s="48">
        <f t="shared" si="6"/>
        <v>0</v>
      </c>
      <c r="O18" s="48">
        <f t="shared" si="7"/>
        <v>0</v>
      </c>
      <c r="P18" s="48">
        <f t="shared" si="8"/>
        <v>-9114000</v>
      </c>
      <c r="Q18" s="48" t="b">
        <f t="shared" si="9"/>
        <v>0</v>
      </c>
      <c r="R18" s="48" t="b">
        <f t="shared" si="10"/>
        <v>0</v>
      </c>
      <c r="S18" s="48" t="b">
        <f t="shared" si="11"/>
        <v>0</v>
      </c>
      <c r="T18" s="48" t="b">
        <f t="shared" si="12"/>
        <v>0</v>
      </c>
      <c r="U18" s="48" t="b">
        <f t="shared" si="13"/>
        <v>0</v>
      </c>
      <c r="V18" s="48" t="b">
        <f t="shared" si="14"/>
        <v>0</v>
      </c>
      <c r="W18" s="48" t="b">
        <f t="shared" si="15"/>
        <v>0</v>
      </c>
      <c r="X18" s="48" t="b">
        <f t="shared" si="16"/>
        <v>0</v>
      </c>
      <c r="Y18" s="48" t="b">
        <f t="shared" si="17"/>
        <v>0</v>
      </c>
      <c r="Z18" s="48" t="b">
        <f t="shared" si="18"/>
        <v>0</v>
      </c>
      <c r="AA18" s="48" t="b">
        <f t="shared" si="19"/>
        <v>0</v>
      </c>
      <c r="AB18" s="48" t="b">
        <f t="shared" si="20"/>
        <v>0</v>
      </c>
      <c r="AC18" s="48" t="b">
        <f t="shared" si="21"/>
        <v>0</v>
      </c>
      <c r="AD18" s="48" t="b">
        <f t="shared" si="22"/>
        <v>0</v>
      </c>
      <c r="AE18" s="48" t="b">
        <f t="shared" si="23"/>
        <v>0</v>
      </c>
      <c r="AF18" s="48" t="b">
        <f t="shared" si="24"/>
        <v>0</v>
      </c>
      <c r="AG18" s="48" t="b">
        <f t="shared" si="25"/>
        <v>0</v>
      </c>
      <c r="AH18" s="48" t="b">
        <f t="shared" si="26"/>
        <v>0</v>
      </c>
      <c r="AI18" s="48" t="b">
        <f t="shared" si="27"/>
        <v>0</v>
      </c>
      <c r="AJ18" s="48" t="b">
        <f t="shared" si="28"/>
        <v>0</v>
      </c>
      <c r="AK18" s="48" t="b">
        <f t="shared" si="29"/>
        <v>0</v>
      </c>
      <c r="AL18" s="48" t="b">
        <f t="shared" si="30"/>
        <v>0</v>
      </c>
      <c r="AM18" s="48" t="b">
        <f t="shared" si="31"/>
        <v>0</v>
      </c>
      <c r="AN18" s="48" t="b">
        <f t="shared" si="32"/>
        <v>0</v>
      </c>
      <c r="AO18" s="48"/>
      <c r="AP18" s="48"/>
      <c r="AQ18" s="47">
        <f t="shared" si="33"/>
        <v>0</v>
      </c>
      <c r="AR18" s="47">
        <f t="shared" si="34"/>
        <v>0</v>
      </c>
      <c r="AS18" s="47">
        <f t="shared" si="35"/>
        <v>0</v>
      </c>
      <c r="AT18" s="47">
        <f t="shared" si="36"/>
        <v>0</v>
      </c>
      <c r="AU18" s="47">
        <f t="shared" si="37"/>
        <v>0</v>
      </c>
      <c r="AV18" s="47">
        <f t="shared" si="38"/>
        <v>9115000</v>
      </c>
      <c r="AW18" s="47" t="b">
        <f t="shared" si="39"/>
        <v>0</v>
      </c>
      <c r="AX18" s="47" t="b">
        <f t="shared" si="40"/>
        <v>0</v>
      </c>
      <c r="AY18" s="47" t="b">
        <f t="shared" si="41"/>
        <v>0</v>
      </c>
      <c r="AZ18" s="47" t="b">
        <f t="shared" si="42"/>
        <v>0</v>
      </c>
      <c r="BA18" s="47" t="b">
        <f t="shared" si="43"/>
        <v>0</v>
      </c>
      <c r="BB18" s="47" t="b">
        <f t="shared" si="44"/>
        <v>0</v>
      </c>
      <c r="BC18" s="47" t="b">
        <f t="shared" si="45"/>
        <v>0</v>
      </c>
      <c r="BD18" s="47" t="b">
        <f t="shared" si="46"/>
        <v>0</v>
      </c>
      <c r="BE18" s="47" t="b">
        <f t="shared" si="47"/>
        <v>0</v>
      </c>
      <c r="BF18" s="47" t="b">
        <f t="shared" si="48"/>
        <v>0</v>
      </c>
      <c r="BG18" s="47" t="b">
        <f t="shared" si="49"/>
        <v>0</v>
      </c>
      <c r="BH18" s="47" t="b">
        <f t="shared" si="50"/>
        <v>0</v>
      </c>
      <c r="BI18" s="47" t="b">
        <f t="shared" si="51"/>
        <v>0</v>
      </c>
      <c r="BJ18" s="47" t="b">
        <f t="shared" si="52"/>
        <v>0</v>
      </c>
      <c r="BK18" s="69" t="b">
        <f t="shared" si="53"/>
        <v>0</v>
      </c>
      <c r="BL18" s="69" t="b">
        <f t="shared" si="54"/>
        <v>0</v>
      </c>
      <c r="BM18" s="69" t="b">
        <f t="shared" si="55"/>
        <v>0</v>
      </c>
      <c r="BN18" s="69" t="b">
        <f t="shared" si="56"/>
        <v>0</v>
      </c>
      <c r="BO18" s="69" t="b">
        <f t="shared" si="57"/>
        <v>0</v>
      </c>
      <c r="BP18" s="69" t="b">
        <f t="shared" si="58"/>
        <v>0</v>
      </c>
      <c r="BQ18" s="69" t="b">
        <f t="shared" si="59"/>
        <v>0</v>
      </c>
      <c r="BR18" s="69" t="b">
        <f t="shared" si="60"/>
        <v>0</v>
      </c>
      <c r="BS18" s="37" t="b">
        <f t="shared" si="61"/>
        <v>0</v>
      </c>
      <c r="BT18" s="37" t="b">
        <f t="shared" si="62"/>
        <v>0</v>
      </c>
    </row>
    <row r="19" spans="1:72" s="8" customFormat="1" x14ac:dyDescent="0.25">
      <c r="A19" s="8">
        <v>18</v>
      </c>
      <c r="B19">
        <v>50887</v>
      </c>
      <c r="C19" s="7">
        <v>260803</v>
      </c>
      <c r="D19" s="7">
        <v>-260803</v>
      </c>
      <c r="E19" s="38">
        <f t="shared" si="1"/>
        <v>62502.833333333292</v>
      </c>
      <c r="F19" s="38">
        <f t="shared" si="2"/>
        <v>63560.999999999956</v>
      </c>
      <c r="G19" s="38">
        <f t="shared" si="0"/>
        <v>63031.916666666628</v>
      </c>
      <c r="H19" s="27">
        <f>AB62</f>
        <v>4650000</v>
      </c>
      <c r="I19" s="38">
        <f>BH62</f>
        <v>-4649000</v>
      </c>
      <c r="J19" s="39"/>
      <c r="K19" s="47">
        <f t="shared" si="3"/>
        <v>0</v>
      </c>
      <c r="L19" s="47">
        <f t="shared" si="4"/>
        <v>0</v>
      </c>
      <c r="M19" s="47">
        <f t="shared" si="5"/>
        <v>0</v>
      </c>
      <c r="N19" s="48">
        <f t="shared" si="6"/>
        <v>0</v>
      </c>
      <c r="O19" s="48">
        <f t="shared" si="7"/>
        <v>0</v>
      </c>
      <c r="P19" s="48">
        <f t="shared" si="8"/>
        <v>0</v>
      </c>
      <c r="Q19" s="48">
        <f t="shared" si="9"/>
        <v>260803</v>
      </c>
      <c r="R19" s="48" t="b">
        <f t="shared" si="10"/>
        <v>0</v>
      </c>
      <c r="S19" s="48" t="b">
        <f t="shared" si="11"/>
        <v>0</v>
      </c>
      <c r="T19" s="48" t="b">
        <f t="shared" si="12"/>
        <v>0</v>
      </c>
      <c r="U19" s="48" t="b">
        <f t="shared" si="13"/>
        <v>0</v>
      </c>
      <c r="V19" s="48" t="b">
        <f t="shared" si="14"/>
        <v>0</v>
      </c>
      <c r="W19" s="48" t="b">
        <f t="shared" si="15"/>
        <v>0</v>
      </c>
      <c r="X19" s="48" t="b">
        <f t="shared" si="16"/>
        <v>0</v>
      </c>
      <c r="Y19" s="48" t="b">
        <f t="shared" si="17"/>
        <v>0</v>
      </c>
      <c r="Z19" s="48" t="b">
        <f t="shared" si="18"/>
        <v>0</v>
      </c>
      <c r="AA19" s="48" t="b">
        <f t="shared" si="19"/>
        <v>0</v>
      </c>
      <c r="AB19" s="48" t="b">
        <f t="shared" si="20"/>
        <v>0</v>
      </c>
      <c r="AC19" s="48" t="b">
        <f t="shared" si="21"/>
        <v>0</v>
      </c>
      <c r="AD19" s="48" t="b">
        <f t="shared" si="22"/>
        <v>0</v>
      </c>
      <c r="AE19" s="48" t="b">
        <f t="shared" si="23"/>
        <v>0</v>
      </c>
      <c r="AF19" s="48" t="b">
        <f t="shared" si="24"/>
        <v>0</v>
      </c>
      <c r="AG19" s="48" t="b">
        <f t="shared" si="25"/>
        <v>0</v>
      </c>
      <c r="AH19" s="48" t="b">
        <f t="shared" si="26"/>
        <v>0</v>
      </c>
      <c r="AI19" s="48" t="b">
        <f t="shared" si="27"/>
        <v>0</v>
      </c>
      <c r="AJ19" s="48" t="b">
        <f t="shared" si="28"/>
        <v>0</v>
      </c>
      <c r="AK19" s="48" t="b">
        <f t="shared" si="29"/>
        <v>0</v>
      </c>
      <c r="AL19" s="48" t="b">
        <f t="shared" si="30"/>
        <v>0</v>
      </c>
      <c r="AM19" s="48" t="b">
        <f t="shared" si="31"/>
        <v>0</v>
      </c>
      <c r="AN19" s="48" t="b">
        <f t="shared" si="32"/>
        <v>0</v>
      </c>
      <c r="AO19" s="48"/>
      <c r="AP19" s="48"/>
      <c r="AQ19" s="47">
        <f t="shared" si="33"/>
        <v>0</v>
      </c>
      <c r="AR19" s="47">
        <f t="shared" si="34"/>
        <v>0</v>
      </c>
      <c r="AS19" s="47">
        <f t="shared" si="35"/>
        <v>0</v>
      </c>
      <c r="AT19" s="47">
        <f t="shared" si="36"/>
        <v>0</v>
      </c>
      <c r="AU19" s="47">
        <f t="shared" si="37"/>
        <v>0</v>
      </c>
      <c r="AV19" s="47">
        <f t="shared" si="38"/>
        <v>0</v>
      </c>
      <c r="AW19" s="47">
        <f t="shared" si="39"/>
        <v>-260803</v>
      </c>
      <c r="AX19" s="47" t="b">
        <f t="shared" si="40"/>
        <v>0</v>
      </c>
      <c r="AY19" s="47" t="b">
        <f t="shared" si="41"/>
        <v>0</v>
      </c>
      <c r="AZ19" s="47" t="b">
        <f t="shared" si="42"/>
        <v>0</v>
      </c>
      <c r="BA19" s="47" t="b">
        <f t="shared" si="43"/>
        <v>0</v>
      </c>
      <c r="BB19" s="47" t="b">
        <f t="shared" si="44"/>
        <v>0</v>
      </c>
      <c r="BC19" s="47" t="b">
        <f t="shared" si="45"/>
        <v>0</v>
      </c>
      <c r="BD19" s="47" t="b">
        <f t="shared" si="46"/>
        <v>0</v>
      </c>
      <c r="BE19" s="47" t="b">
        <f t="shared" si="47"/>
        <v>0</v>
      </c>
      <c r="BF19" s="47" t="b">
        <f t="shared" si="48"/>
        <v>0</v>
      </c>
      <c r="BG19" s="47" t="b">
        <f t="shared" si="49"/>
        <v>0</v>
      </c>
      <c r="BH19" s="47" t="b">
        <f t="shared" si="50"/>
        <v>0</v>
      </c>
      <c r="BI19" s="47" t="b">
        <f t="shared" si="51"/>
        <v>0</v>
      </c>
      <c r="BJ19" s="47" t="b">
        <f t="shared" si="52"/>
        <v>0</v>
      </c>
      <c r="BK19" s="69" t="b">
        <f t="shared" si="53"/>
        <v>0</v>
      </c>
      <c r="BL19" s="69" t="b">
        <f t="shared" si="54"/>
        <v>0</v>
      </c>
      <c r="BM19" s="69" t="b">
        <f t="shared" si="55"/>
        <v>0</v>
      </c>
      <c r="BN19" s="69" t="b">
        <f t="shared" si="56"/>
        <v>0</v>
      </c>
      <c r="BO19" s="69" t="b">
        <f t="shared" si="57"/>
        <v>0</v>
      </c>
      <c r="BP19" s="69" t="b">
        <f t="shared" si="58"/>
        <v>0</v>
      </c>
      <c r="BQ19" s="69" t="b">
        <f t="shared" si="59"/>
        <v>0</v>
      </c>
      <c r="BR19" s="69" t="b">
        <f t="shared" si="60"/>
        <v>0</v>
      </c>
      <c r="BS19" s="37" t="b">
        <f t="shared" si="61"/>
        <v>0</v>
      </c>
      <c r="BT19" s="37" t="b">
        <f t="shared" si="62"/>
        <v>0</v>
      </c>
    </row>
    <row r="20" spans="1:72" s="8" customFormat="1" x14ac:dyDescent="0.25">
      <c r="A20" s="8">
        <v>19</v>
      </c>
      <c r="B20">
        <v>51032</v>
      </c>
      <c r="C20" s="7">
        <v>-932000</v>
      </c>
      <c r="D20" s="7">
        <v>931566</v>
      </c>
      <c r="E20" s="38">
        <f t="shared" si="1"/>
        <v>63560.999999999956</v>
      </c>
      <c r="F20" s="38">
        <f t="shared" si="2"/>
        <v>64619.166666666621</v>
      </c>
      <c r="G20" s="38">
        <f t="shared" si="0"/>
        <v>64090.083333333285</v>
      </c>
      <c r="H20" s="27">
        <f>AC62</f>
        <v>-98000</v>
      </c>
      <c r="I20" s="38">
        <f>BI62</f>
        <v>98000</v>
      </c>
      <c r="J20" s="39"/>
      <c r="K20" s="47">
        <f t="shared" si="3"/>
        <v>0</v>
      </c>
      <c r="L20" s="47">
        <f t="shared" si="4"/>
        <v>0</v>
      </c>
      <c r="M20" s="47">
        <f t="shared" si="5"/>
        <v>0</v>
      </c>
      <c r="N20" s="48">
        <f t="shared" si="6"/>
        <v>0</v>
      </c>
      <c r="O20" s="48">
        <f t="shared" si="7"/>
        <v>0</v>
      </c>
      <c r="P20" s="48">
        <f t="shared" si="8"/>
        <v>0</v>
      </c>
      <c r="Q20" s="48">
        <f t="shared" si="9"/>
        <v>-932000</v>
      </c>
      <c r="R20" s="48" t="b">
        <f t="shared" si="10"/>
        <v>0</v>
      </c>
      <c r="S20" s="48" t="b">
        <f t="shared" si="11"/>
        <v>0</v>
      </c>
      <c r="T20" s="48" t="b">
        <f t="shared" si="12"/>
        <v>0</v>
      </c>
      <c r="U20" s="48" t="b">
        <f t="shared" si="13"/>
        <v>0</v>
      </c>
      <c r="V20" s="48" t="b">
        <f t="shared" si="14"/>
        <v>0</v>
      </c>
      <c r="W20" s="48" t="b">
        <f t="shared" si="15"/>
        <v>0</v>
      </c>
      <c r="X20" s="48" t="b">
        <f t="shared" si="16"/>
        <v>0</v>
      </c>
      <c r="Y20" s="48" t="b">
        <f t="shared" si="17"/>
        <v>0</v>
      </c>
      <c r="Z20" s="48" t="b">
        <f t="shared" si="18"/>
        <v>0</v>
      </c>
      <c r="AA20" s="48" t="b">
        <f t="shared" si="19"/>
        <v>0</v>
      </c>
      <c r="AB20" s="48" t="b">
        <f t="shared" si="20"/>
        <v>0</v>
      </c>
      <c r="AC20" s="48" t="b">
        <f t="shared" si="21"/>
        <v>0</v>
      </c>
      <c r="AD20" s="48" t="b">
        <f t="shared" si="22"/>
        <v>0</v>
      </c>
      <c r="AE20" s="48" t="b">
        <f t="shared" si="23"/>
        <v>0</v>
      </c>
      <c r="AF20" s="48" t="b">
        <f t="shared" si="24"/>
        <v>0</v>
      </c>
      <c r="AG20" s="48" t="b">
        <f t="shared" si="25"/>
        <v>0</v>
      </c>
      <c r="AH20" s="48" t="b">
        <f t="shared" si="26"/>
        <v>0</v>
      </c>
      <c r="AI20" s="48" t="b">
        <f t="shared" si="27"/>
        <v>0</v>
      </c>
      <c r="AJ20" s="48" t="b">
        <f t="shared" si="28"/>
        <v>0</v>
      </c>
      <c r="AK20" s="48" t="b">
        <f t="shared" si="29"/>
        <v>0</v>
      </c>
      <c r="AL20" s="48" t="b">
        <f t="shared" si="30"/>
        <v>0</v>
      </c>
      <c r="AM20" s="48" t="b">
        <f t="shared" si="31"/>
        <v>0</v>
      </c>
      <c r="AN20" s="48" t="b">
        <f t="shared" si="32"/>
        <v>0</v>
      </c>
      <c r="AO20" s="48"/>
      <c r="AP20" s="48"/>
      <c r="AQ20" s="47">
        <f t="shared" si="33"/>
        <v>0</v>
      </c>
      <c r="AR20" s="47">
        <f t="shared" si="34"/>
        <v>0</v>
      </c>
      <c r="AS20" s="47">
        <f t="shared" si="35"/>
        <v>0</v>
      </c>
      <c r="AT20" s="47">
        <f t="shared" si="36"/>
        <v>0</v>
      </c>
      <c r="AU20" s="47">
        <f t="shared" si="37"/>
        <v>0</v>
      </c>
      <c r="AV20" s="47">
        <f t="shared" si="38"/>
        <v>0</v>
      </c>
      <c r="AW20" s="47">
        <f t="shared" si="39"/>
        <v>931566</v>
      </c>
      <c r="AX20" s="47" t="b">
        <f t="shared" si="40"/>
        <v>0</v>
      </c>
      <c r="AY20" s="47" t="b">
        <f t="shared" si="41"/>
        <v>0</v>
      </c>
      <c r="AZ20" s="47" t="b">
        <f t="shared" si="42"/>
        <v>0</v>
      </c>
      <c r="BA20" s="47" t="b">
        <f t="shared" si="43"/>
        <v>0</v>
      </c>
      <c r="BB20" s="47" t="b">
        <f t="shared" si="44"/>
        <v>0</v>
      </c>
      <c r="BC20" s="47" t="b">
        <f t="shared" si="45"/>
        <v>0</v>
      </c>
      <c r="BD20" s="47" t="b">
        <f t="shared" si="46"/>
        <v>0</v>
      </c>
      <c r="BE20" s="47" t="b">
        <f t="shared" si="47"/>
        <v>0</v>
      </c>
      <c r="BF20" s="47" t="b">
        <f t="shared" si="48"/>
        <v>0</v>
      </c>
      <c r="BG20" s="47" t="b">
        <f t="shared" si="49"/>
        <v>0</v>
      </c>
      <c r="BH20" s="47" t="b">
        <f t="shared" si="50"/>
        <v>0</v>
      </c>
      <c r="BI20" s="47" t="b">
        <f t="shared" si="51"/>
        <v>0</v>
      </c>
      <c r="BJ20" s="47" t="b">
        <f t="shared" si="52"/>
        <v>0</v>
      </c>
      <c r="BK20" s="69" t="b">
        <f t="shared" si="53"/>
        <v>0</v>
      </c>
      <c r="BL20" s="69" t="b">
        <f t="shared" si="54"/>
        <v>0</v>
      </c>
      <c r="BM20" s="69" t="b">
        <f t="shared" si="55"/>
        <v>0</v>
      </c>
      <c r="BN20" s="69" t="b">
        <f t="shared" si="56"/>
        <v>0</v>
      </c>
      <c r="BO20" s="69" t="b">
        <f t="shared" si="57"/>
        <v>0</v>
      </c>
      <c r="BP20" s="69" t="b">
        <f t="shared" si="58"/>
        <v>0</v>
      </c>
      <c r="BQ20" s="69" t="b">
        <f t="shared" si="59"/>
        <v>0</v>
      </c>
      <c r="BR20" s="69" t="b">
        <f t="shared" si="60"/>
        <v>0</v>
      </c>
      <c r="BS20" s="37" t="b">
        <f t="shared" si="61"/>
        <v>0</v>
      </c>
      <c r="BT20" s="37" t="b">
        <f t="shared" si="62"/>
        <v>0</v>
      </c>
    </row>
    <row r="21" spans="1:72" s="8" customFormat="1" x14ac:dyDescent="0.25">
      <c r="A21" s="8">
        <v>20</v>
      </c>
      <c r="B21">
        <v>53431</v>
      </c>
      <c r="C21" s="7">
        <v>1229341</v>
      </c>
      <c r="D21" s="7">
        <v>-1229000</v>
      </c>
      <c r="E21" s="38">
        <f t="shared" si="1"/>
        <v>64619.166666666621</v>
      </c>
      <c r="F21" s="38">
        <f t="shared" si="2"/>
        <v>65677.333333333285</v>
      </c>
      <c r="G21" s="38">
        <f t="shared" si="0"/>
        <v>65148.249999999956</v>
      </c>
      <c r="H21" s="27">
        <f>AD62</f>
        <v>0</v>
      </c>
      <c r="I21" s="38">
        <f>BJ62</f>
        <v>0</v>
      </c>
      <c r="J21" s="39"/>
      <c r="K21" s="47">
        <f t="shared" si="3"/>
        <v>0</v>
      </c>
      <c r="L21" s="47">
        <f t="shared" si="4"/>
        <v>0</v>
      </c>
      <c r="M21" s="47">
        <f t="shared" si="5"/>
        <v>0</v>
      </c>
      <c r="N21" s="48">
        <f t="shared" si="6"/>
        <v>0</v>
      </c>
      <c r="O21" s="48">
        <f t="shared" si="7"/>
        <v>0</v>
      </c>
      <c r="P21" s="48">
        <f t="shared" si="8"/>
        <v>0</v>
      </c>
      <c r="Q21" s="48">
        <f t="shared" si="9"/>
        <v>0</v>
      </c>
      <c r="R21" s="48">
        <f t="shared" si="10"/>
        <v>0</v>
      </c>
      <c r="S21" s="48">
        <f t="shared" si="11"/>
        <v>1229341</v>
      </c>
      <c r="T21" s="48" t="b">
        <f t="shared" si="12"/>
        <v>0</v>
      </c>
      <c r="U21" s="48" t="b">
        <f t="shared" si="13"/>
        <v>0</v>
      </c>
      <c r="V21" s="48" t="b">
        <f t="shared" si="14"/>
        <v>0</v>
      </c>
      <c r="W21" s="48" t="b">
        <f t="shared" si="15"/>
        <v>0</v>
      </c>
      <c r="X21" s="48" t="b">
        <f t="shared" si="16"/>
        <v>0</v>
      </c>
      <c r="Y21" s="48" t="b">
        <f t="shared" si="17"/>
        <v>0</v>
      </c>
      <c r="Z21" s="48" t="b">
        <f t="shared" si="18"/>
        <v>0</v>
      </c>
      <c r="AA21" s="48" t="b">
        <f t="shared" si="19"/>
        <v>0</v>
      </c>
      <c r="AB21" s="48" t="b">
        <f t="shared" si="20"/>
        <v>0</v>
      </c>
      <c r="AC21" s="48" t="b">
        <f t="shared" si="21"/>
        <v>0</v>
      </c>
      <c r="AD21" s="48" t="b">
        <f t="shared" si="22"/>
        <v>0</v>
      </c>
      <c r="AE21" s="48" t="b">
        <f t="shared" si="23"/>
        <v>0</v>
      </c>
      <c r="AF21" s="48" t="b">
        <f t="shared" si="24"/>
        <v>0</v>
      </c>
      <c r="AG21" s="48" t="b">
        <f t="shared" si="25"/>
        <v>0</v>
      </c>
      <c r="AH21" s="48" t="b">
        <f t="shared" si="26"/>
        <v>0</v>
      </c>
      <c r="AI21" s="48" t="b">
        <f t="shared" si="27"/>
        <v>0</v>
      </c>
      <c r="AJ21" s="48" t="b">
        <f t="shared" si="28"/>
        <v>0</v>
      </c>
      <c r="AK21" s="48" t="b">
        <f t="shared" si="29"/>
        <v>0</v>
      </c>
      <c r="AL21" s="48" t="b">
        <f t="shared" si="30"/>
        <v>0</v>
      </c>
      <c r="AM21" s="48" t="b">
        <f t="shared" si="31"/>
        <v>0</v>
      </c>
      <c r="AN21" s="48" t="b">
        <f t="shared" si="32"/>
        <v>0</v>
      </c>
      <c r="AO21" s="48"/>
      <c r="AP21" s="48"/>
      <c r="AQ21" s="47">
        <f t="shared" si="33"/>
        <v>0</v>
      </c>
      <c r="AR21" s="47">
        <f t="shared" si="34"/>
        <v>0</v>
      </c>
      <c r="AS21" s="47">
        <f t="shared" si="35"/>
        <v>0</v>
      </c>
      <c r="AT21" s="47">
        <f t="shared" si="36"/>
        <v>0</v>
      </c>
      <c r="AU21" s="47">
        <f t="shared" si="37"/>
        <v>0</v>
      </c>
      <c r="AV21" s="47">
        <f t="shared" si="38"/>
        <v>0</v>
      </c>
      <c r="AW21" s="47">
        <f t="shared" si="39"/>
        <v>0</v>
      </c>
      <c r="AX21" s="47">
        <f t="shared" si="40"/>
        <v>0</v>
      </c>
      <c r="AY21" s="47">
        <f t="shared" si="41"/>
        <v>-1229000</v>
      </c>
      <c r="AZ21" s="47" t="b">
        <f t="shared" si="42"/>
        <v>0</v>
      </c>
      <c r="BA21" s="47" t="b">
        <f t="shared" si="43"/>
        <v>0</v>
      </c>
      <c r="BB21" s="47" t="b">
        <f t="shared" si="44"/>
        <v>0</v>
      </c>
      <c r="BC21" s="47" t="b">
        <f t="shared" si="45"/>
        <v>0</v>
      </c>
      <c r="BD21" s="47" t="b">
        <f t="shared" si="46"/>
        <v>0</v>
      </c>
      <c r="BE21" s="47" t="b">
        <f t="shared" si="47"/>
        <v>0</v>
      </c>
      <c r="BF21" s="47" t="b">
        <f t="shared" si="48"/>
        <v>0</v>
      </c>
      <c r="BG21" s="47" t="b">
        <f t="shared" si="49"/>
        <v>0</v>
      </c>
      <c r="BH21" s="47" t="b">
        <f t="shared" si="50"/>
        <v>0</v>
      </c>
      <c r="BI21" s="47" t="b">
        <f t="shared" si="51"/>
        <v>0</v>
      </c>
      <c r="BJ21" s="47" t="b">
        <f t="shared" si="52"/>
        <v>0</v>
      </c>
      <c r="BK21" s="69" t="b">
        <f t="shared" si="53"/>
        <v>0</v>
      </c>
      <c r="BL21" s="69" t="b">
        <f t="shared" si="54"/>
        <v>0</v>
      </c>
      <c r="BM21" s="69" t="b">
        <f t="shared" si="55"/>
        <v>0</v>
      </c>
      <c r="BN21" s="69" t="b">
        <f t="shared" si="56"/>
        <v>0</v>
      </c>
      <c r="BO21" s="69" t="b">
        <f t="shared" si="57"/>
        <v>0</v>
      </c>
      <c r="BP21" s="69" t="b">
        <f t="shared" si="58"/>
        <v>0</v>
      </c>
      <c r="BQ21" s="69" t="b">
        <f t="shared" si="59"/>
        <v>0</v>
      </c>
      <c r="BR21" s="69" t="b">
        <f t="shared" si="60"/>
        <v>0</v>
      </c>
      <c r="BS21" s="37" t="b">
        <f t="shared" si="61"/>
        <v>0</v>
      </c>
      <c r="BT21" s="37" t="b">
        <f t="shared" si="62"/>
        <v>0</v>
      </c>
    </row>
    <row r="22" spans="1:72" x14ac:dyDescent="0.25">
      <c r="A22" s="8">
        <v>21</v>
      </c>
      <c r="B22">
        <v>55917</v>
      </c>
      <c r="C22" s="7">
        <v>4245000</v>
      </c>
      <c r="D22" s="7">
        <v>-4245000</v>
      </c>
      <c r="E22" s="38">
        <f t="shared" ref="E22:E31" si="63">F21</f>
        <v>65677.333333333285</v>
      </c>
      <c r="F22" s="38">
        <f t="shared" ref="F22:F31" si="64">E22+$J$1</f>
        <v>66735.499999999956</v>
      </c>
      <c r="G22" s="38">
        <f t="shared" ref="G22:G31" si="65">(E22+F22)*0.5</f>
        <v>66206.416666666628</v>
      </c>
      <c r="H22" s="27">
        <f>AE62</f>
        <v>3954026</v>
      </c>
      <c r="I22" s="38">
        <f>BK62</f>
        <v>-3954200</v>
      </c>
      <c r="K22" s="47">
        <f t="shared" si="3"/>
        <v>0</v>
      </c>
      <c r="L22" s="47">
        <f t="shared" si="4"/>
        <v>0</v>
      </c>
      <c r="M22" s="47">
        <f t="shared" si="5"/>
        <v>0</v>
      </c>
      <c r="N22" s="48">
        <f t="shared" si="6"/>
        <v>0</v>
      </c>
      <c r="O22" s="48">
        <f t="shared" si="7"/>
        <v>0</v>
      </c>
      <c r="P22" s="48">
        <f t="shared" si="8"/>
        <v>0</v>
      </c>
      <c r="Q22" s="48">
        <f t="shared" si="9"/>
        <v>0</v>
      </c>
      <c r="R22" s="48">
        <f t="shared" si="10"/>
        <v>0</v>
      </c>
      <c r="S22" s="48">
        <f t="shared" si="11"/>
        <v>0</v>
      </c>
      <c r="T22" s="48">
        <f t="shared" si="12"/>
        <v>0</v>
      </c>
      <c r="U22" s="48">
        <f t="shared" si="13"/>
        <v>4245000</v>
      </c>
      <c r="V22" s="48" t="b">
        <f t="shared" si="14"/>
        <v>0</v>
      </c>
      <c r="W22" s="48" t="b">
        <f t="shared" si="15"/>
        <v>0</v>
      </c>
      <c r="X22" s="48" t="b">
        <f t="shared" si="16"/>
        <v>0</v>
      </c>
      <c r="Y22" s="48" t="b">
        <f t="shared" si="17"/>
        <v>0</v>
      </c>
      <c r="Z22" s="48" t="b">
        <f t="shared" si="18"/>
        <v>0</v>
      </c>
      <c r="AA22" s="48" t="b">
        <f t="shared" si="19"/>
        <v>0</v>
      </c>
      <c r="AB22" s="48" t="b">
        <f t="shared" si="20"/>
        <v>0</v>
      </c>
      <c r="AC22" s="48" t="b">
        <f t="shared" si="21"/>
        <v>0</v>
      </c>
      <c r="AD22" s="48" t="b">
        <f t="shared" si="22"/>
        <v>0</v>
      </c>
      <c r="AE22" s="48" t="b">
        <f t="shared" si="23"/>
        <v>0</v>
      </c>
      <c r="AF22" s="48" t="b">
        <f t="shared" si="24"/>
        <v>0</v>
      </c>
      <c r="AG22" s="48" t="b">
        <f t="shared" si="25"/>
        <v>0</v>
      </c>
      <c r="AH22" s="48" t="b">
        <f t="shared" si="26"/>
        <v>0</v>
      </c>
      <c r="AI22" s="48" t="b">
        <f t="shared" si="27"/>
        <v>0</v>
      </c>
      <c r="AJ22" s="48" t="b">
        <f t="shared" si="28"/>
        <v>0</v>
      </c>
      <c r="AK22" s="48" t="b">
        <f t="shared" si="29"/>
        <v>0</v>
      </c>
      <c r="AL22" s="48" t="b">
        <f t="shared" si="30"/>
        <v>0</v>
      </c>
      <c r="AM22" s="48" t="b">
        <f t="shared" si="31"/>
        <v>0</v>
      </c>
      <c r="AN22" s="48" t="b">
        <f t="shared" si="32"/>
        <v>0</v>
      </c>
      <c r="AO22" s="48"/>
      <c r="AQ22" s="47">
        <f t="shared" si="33"/>
        <v>0</v>
      </c>
      <c r="AR22" s="47">
        <f t="shared" si="34"/>
        <v>0</v>
      </c>
      <c r="AS22" s="47">
        <f t="shared" si="35"/>
        <v>0</v>
      </c>
      <c r="AT22" s="47">
        <f t="shared" si="36"/>
        <v>0</v>
      </c>
      <c r="AU22" s="47">
        <f t="shared" si="37"/>
        <v>0</v>
      </c>
      <c r="AV22" s="47">
        <f t="shared" si="38"/>
        <v>0</v>
      </c>
      <c r="AW22" s="47">
        <f t="shared" si="39"/>
        <v>0</v>
      </c>
      <c r="AX22" s="47">
        <f t="shared" si="40"/>
        <v>0</v>
      </c>
      <c r="AY22" s="47">
        <f t="shared" si="41"/>
        <v>0</v>
      </c>
      <c r="AZ22" s="47">
        <f t="shared" si="42"/>
        <v>0</v>
      </c>
      <c r="BA22" s="47">
        <f t="shared" si="43"/>
        <v>-4245000</v>
      </c>
      <c r="BB22" s="47" t="b">
        <f t="shared" si="44"/>
        <v>0</v>
      </c>
      <c r="BC22" s="47" t="b">
        <f t="shared" si="45"/>
        <v>0</v>
      </c>
      <c r="BD22" s="47" t="b">
        <f t="shared" si="46"/>
        <v>0</v>
      </c>
      <c r="BE22" s="47" t="b">
        <f t="shared" si="47"/>
        <v>0</v>
      </c>
      <c r="BF22" s="47" t="b">
        <f t="shared" si="48"/>
        <v>0</v>
      </c>
      <c r="BG22" s="47" t="b">
        <f t="shared" si="49"/>
        <v>0</v>
      </c>
      <c r="BH22" s="47" t="b">
        <f t="shared" si="50"/>
        <v>0</v>
      </c>
      <c r="BI22" s="47" t="b">
        <f t="shared" si="51"/>
        <v>0</v>
      </c>
      <c r="BJ22" s="47" t="b">
        <f t="shared" si="52"/>
        <v>0</v>
      </c>
      <c r="BK22" s="69" t="b">
        <f t="shared" si="53"/>
        <v>0</v>
      </c>
      <c r="BL22" s="69" t="b">
        <f t="shared" si="54"/>
        <v>0</v>
      </c>
      <c r="BM22" s="69" t="b">
        <f t="shared" si="55"/>
        <v>0</v>
      </c>
      <c r="BN22" s="69" t="b">
        <f t="shared" si="56"/>
        <v>0</v>
      </c>
      <c r="BO22" s="69" t="b">
        <f t="shared" si="57"/>
        <v>0</v>
      </c>
      <c r="BP22" s="69" t="b">
        <f t="shared" si="58"/>
        <v>0</v>
      </c>
      <c r="BQ22" s="69" t="b">
        <f t="shared" si="59"/>
        <v>0</v>
      </c>
      <c r="BR22" s="69" t="b">
        <f t="shared" si="60"/>
        <v>0</v>
      </c>
      <c r="BS22" s="37" t="b">
        <f t="shared" si="61"/>
        <v>0</v>
      </c>
      <c r="BT22" s="37" t="b">
        <f t="shared" si="62"/>
        <v>0</v>
      </c>
    </row>
    <row r="23" spans="1:72" x14ac:dyDescent="0.25">
      <c r="A23" s="8">
        <v>22</v>
      </c>
      <c r="B23">
        <v>55971</v>
      </c>
      <c r="C23" s="7">
        <v>45000</v>
      </c>
      <c r="D23" s="7">
        <v>-45047</v>
      </c>
      <c r="E23" s="38">
        <f t="shared" si="63"/>
        <v>66735.499999999956</v>
      </c>
      <c r="F23" s="38">
        <f t="shared" si="64"/>
        <v>67793.666666666628</v>
      </c>
      <c r="G23" s="38">
        <f t="shared" si="65"/>
        <v>67264.583333333285</v>
      </c>
      <c r="H23" s="27">
        <f>AF62</f>
        <v>0</v>
      </c>
      <c r="I23" s="27">
        <f>BL62</f>
        <v>0</v>
      </c>
      <c r="K23" s="47">
        <f t="shared" si="3"/>
        <v>0</v>
      </c>
      <c r="L23" s="47">
        <f t="shared" si="4"/>
        <v>0</v>
      </c>
      <c r="M23" s="47">
        <f t="shared" si="5"/>
        <v>0</v>
      </c>
      <c r="N23" s="48">
        <f t="shared" si="6"/>
        <v>0</v>
      </c>
      <c r="O23" s="48">
        <f t="shared" si="7"/>
        <v>0</v>
      </c>
      <c r="P23" s="48">
        <f t="shared" si="8"/>
        <v>0</v>
      </c>
      <c r="Q23" s="48">
        <f t="shared" si="9"/>
        <v>0</v>
      </c>
      <c r="R23" s="48">
        <f t="shared" si="10"/>
        <v>0</v>
      </c>
      <c r="S23" s="48">
        <f t="shared" si="11"/>
        <v>0</v>
      </c>
      <c r="T23" s="48">
        <f t="shared" si="12"/>
        <v>0</v>
      </c>
      <c r="U23" s="48">
        <f t="shared" si="13"/>
        <v>45000</v>
      </c>
      <c r="V23" s="48" t="b">
        <f t="shared" si="14"/>
        <v>0</v>
      </c>
      <c r="W23" s="48" t="b">
        <f t="shared" si="15"/>
        <v>0</v>
      </c>
      <c r="X23" s="48" t="b">
        <f t="shared" si="16"/>
        <v>0</v>
      </c>
      <c r="Y23" s="48" t="b">
        <f t="shared" si="17"/>
        <v>0</v>
      </c>
      <c r="Z23" s="48" t="b">
        <f t="shared" si="18"/>
        <v>0</v>
      </c>
      <c r="AA23" s="48" t="b">
        <f t="shared" si="19"/>
        <v>0</v>
      </c>
      <c r="AB23" s="48" t="b">
        <f t="shared" si="20"/>
        <v>0</v>
      </c>
      <c r="AC23" s="48" t="b">
        <f t="shared" si="21"/>
        <v>0</v>
      </c>
      <c r="AD23" s="48" t="b">
        <f t="shared" si="22"/>
        <v>0</v>
      </c>
      <c r="AE23" s="48" t="b">
        <f t="shared" si="23"/>
        <v>0</v>
      </c>
      <c r="AF23" s="48" t="b">
        <f t="shared" si="24"/>
        <v>0</v>
      </c>
      <c r="AG23" s="48" t="b">
        <f t="shared" si="25"/>
        <v>0</v>
      </c>
      <c r="AH23" s="48" t="b">
        <f t="shared" si="26"/>
        <v>0</v>
      </c>
      <c r="AI23" s="48" t="b">
        <f t="shared" si="27"/>
        <v>0</v>
      </c>
      <c r="AJ23" s="48" t="b">
        <f t="shared" si="28"/>
        <v>0</v>
      </c>
      <c r="AK23" s="48" t="b">
        <f t="shared" si="29"/>
        <v>0</v>
      </c>
      <c r="AL23" s="48" t="b">
        <f t="shared" si="30"/>
        <v>0</v>
      </c>
      <c r="AM23" s="48" t="b">
        <f t="shared" si="31"/>
        <v>0</v>
      </c>
      <c r="AN23" s="48" t="b">
        <f t="shared" si="32"/>
        <v>0</v>
      </c>
      <c r="AO23" s="48"/>
      <c r="AQ23" s="47">
        <f t="shared" si="33"/>
        <v>0</v>
      </c>
      <c r="AR23" s="47">
        <f t="shared" si="34"/>
        <v>0</v>
      </c>
      <c r="AS23" s="47">
        <f t="shared" si="35"/>
        <v>0</v>
      </c>
      <c r="AT23" s="47">
        <f t="shared" si="36"/>
        <v>0</v>
      </c>
      <c r="AU23" s="47">
        <f t="shared" si="37"/>
        <v>0</v>
      </c>
      <c r="AV23" s="47">
        <f t="shared" si="38"/>
        <v>0</v>
      </c>
      <c r="AW23" s="47">
        <f t="shared" si="39"/>
        <v>0</v>
      </c>
      <c r="AX23" s="47">
        <f t="shared" si="40"/>
        <v>0</v>
      </c>
      <c r="AY23" s="47">
        <f t="shared" si="41"/>
        <v>0</v>
      </c>
      <c r="AZ23" s="47">
        <f t="shared" si="42"/>
        <v>0</v>
      </c>
      <c r="BA23" s="47">
        <f t="shared" si="43"/>
        <v>-45047</v>
      </c>
      <c r="BB23" s="47" t="b">
        <f t="shared" si="44"/>
        <v>0</v>
      </c>
      <c r="BC23" s="47" t="b">
        <f t="shared" si="45"/>
        <v>0</v>
      </c>
      <c r="BD23" s="47" t="b">
        <f t="shared" si="46"/>
        <v>0</v>
      </c>
      <c r="BE23" s="47" t="b">
        <f t="shared" si="47"/>
        <v>0</v>
      </c>
      <c r="BF23" s="47" t="b">
        <f t="shared" si="48"/>
        <v>0</v>
      </c>
      <c r="BG23" s="47" t="b">
        <f t="shared" si="49"/>
        <v>0</v>
      </c>
      <c r="BH23" s="47" t="b">
        <f t="shared" si="50"/>
        <v>0</v>
      </c>
      <c r="BI23" s="47" t="b">
        <f t="shared" si="51"/>
        <v>0</v>
      </c>
      <c r="BJ23" s="47" t="b">
        <f t="shared" si="52"/>
        <v>0</v>
      </c>
      <c r="BK23" s="69" t="b">
        <f t="shared" si="53"/>
        <v>0</v>
      </c>
      <c r="BL23" s="69" t="b">
        <f t="shared" si="54"/>
        <v>0</v>
      </c>
      <c r="BM23" s="69" t="b">
        <f t="shared" si="55"/>
        <v>0</v>
      </c>
      <c r="BN23" s="69" t="b">
        <f t="shared" si="56"/>
        <v>0</v>
      </c>
      <c r="BO23" s="69" t="b">
        <f t="shared" si="57"/>
        <v>0</v>
      </c>
      <c r="BP23" s="69" t="b">
        <f t="shared" si="58"/>
        <v>0</v>
      </c>
      <c r="BQ23" s="69" t="b">
        <f t="shared" si="59"/>
        <v>0</v>
      </c>
      <c r="BR23" s="69" t="b">
        <f t="shared" si="60"/>
        <v>0</v>
      </c>
      <c r="BS23" s="37" t="b">
        <f t="shared" si="61"/>
        <v>0</v>
      </c>
      <c r="BT23" s="37" t="b">
        <f t="shared" si="62"/>
        <v>0</v>
      </c>
    </row>
    <row r="24" spans="1:72" x14ac:dyDescent="0.25">
      <c r="A24" s="8">
        <v>23</v>
      </c>
      <c r="B24">
        <v>56218</v>
      </c>
      <c r="C24" s="7">
        <v>-283000</v>
      </c>
      <c r="D24" s="7">
        <v>283151</v>
      </c>
      <c r="E24" s="38">
        <f t="shared" si="63"/>
        <v>67793.666666666628</v>
      </c>
      <c r="F24" s="38">
        <f t="shared" si="64"/>
        <v>68851.833333333299</v>
      </c>
      <c r="G24" s="38">
        <f t="shared" si="65"/>
        <v>68322.749999999971</v>
      </c>
      <c r="H24" s="27">
        <f>AG62</f>
        <v>0</v>
      </c>
      <c r="I24" s="27">
        <f>BM62</f>
        <v>0</v>
      </c>
      <c r="K24" s="47">
        <f t="shared" si="3"/>
        <v>0</v>
      </c>
      <c r="L24" s="47">
        <f t="shared" si="4"/>
        <v>0</v>
      </c>
      <c r="M24" s="47">
        <f t="shared" si="5"/>
        <v>0</v>
      </c>
      <c r="N24" s="48">
        <f t="shared" si="6"/>
        <v>0</v>
      </c>
      <c r="O24" s="48">
        <f t="shared" si="7"/>
        <v>0</v>
      </c>
      <c r="P24" s="48">
        <f t="shared" si="8"/>
        <v>0</v>
      </c>
      <c r="Q24" s="48">
        <f t="shared" si="9"/>
        <v>0</v>
      </c>
      <c r="R24" s="48">
        <f t="shared" si="10"/>
        <v>0</v>
      </c>
      <c r="S24" s="48">
        <f t="shared" si="11"/>
        <v>0</v>
      </c>
      <c r="T24" s="48">
        <f t="shared" si="12"/>
        <v>0</v>
      </c>
      <c r="U24" s="48">
        <f t="shared" si="13"/>
        <v>0</v>
      </c>
      <c r="V24" s="48">
        <f t="shared" si="14"/>
        <v>-283000</v>
      </c>
      <c r="W24" s="48" t="b">
        <f t="shared" si="15"/>
        <v>0</v>
      </c>
      <c r="X24" s="48" t="b">
        <f t="shared" si="16"/>
        <v>0</v>
      </c>
      <c r="Y24" s="48" t="b">
        <f t="shared" si="17"/>
        <v>0</v>
      </c>
      <c r="Z24" s="48" t="b">
        <f t="shared" si="18"/>
        <v>0</v>
      </c>
      <c r="AA24" s="48" t="b">
        <f t="shared" si="19"/>
        <v>0</v>
      </c>
      <c r="AB24" s="48" t="b">
        <f t="shared" si="20"/>
        <v>0</v>
      </c>
      <c r="AC24" s="48" t="b">
        <f t="shared" si="21"/>
        <v>0</v>
      </c>
      <c r="AD24" s="48" t="b">
        <f t="shared" si="22"/>
        <v>0</v>
      </c>
      <c r="AE24" s="48" t="b">
        <f t="shared" si="23"/>
        <v>0</v>
      </c>
      <c r="AF24" s="48" t="b">
        <f t="shared" si="24"/>
        <v>0</v>
      </c>
      <c r="AG24" s="48" t="b">
        <f t="shared" si="25"/>
        <v>0</v>
      </c>
      <c r="AH24" s="48" t="b">
        <f t="shared" si="26"/>
        <v>0</v>
      </c>
      <c r="AI24" s="48" t="b">
        <f t="shared" si="27"/>
        <v>0</v>
      </c>
      <c r="AJ24" s="48" t="b">
        <f t="shared" si="28"/>
        <v>0</v>
      </c>
      <c r="AK24" s="48" t="b">
        <f t="shared" si="29"/>
        <v>0</v>
      </c>
      <c r="AL24" s="48" t="b">
        <f t="shared" si="30"/>
        <v>0</v>
      </c>
      <c r="AM24" s="48" t="b">
        <f t="shared" si="31"/>
        <v>0</v>
      </c>
      <c r="AN24" s="48" t="b">
        <f t="shared" si="32"/>
        <v>0</v>
      </c>
      <c r="AO24" s="48"/>
      <c r="AQ24" s="47">
        <f t="shared" si="33"/>
        <v>0</v>
      </c>
      <c r="AR24" s="47">
        <f t="shared" si="34"/>
        <v>0</v>
      </c>
      <c r="AS24" s="47">
        <f t="shared" si="35"/>
        <v>0</v>
      </c>
      <c r="AT24" s="47">
        <f t="shared" si="36"/>
        <v>0</v>
      </c>
      <c r="AU24" s="47">
        <f t="shared" si="37"/>
        <v>0</v>
      </c>
      <c r="AV24" s="47">
        <f t="shared" si="38"/>
        <v>0</v>
      </c>
      <c r="AW24" s="47">
        <f t="shared" si="39"/>
        <v>0</v>
      </c>
      <c r="AX24" s="47">
        <f t="shared" si="40"/>
        <v>0</v>
      </c>
      <c r="AY24" s="47">
        <f t="shared" si="41"/>
        <v>0</v>
      </c>
      <c r="AZ24" s="47">
        <f t="shared" si="42"/>
        <v>0</v>
      </c>
      <c r="BA24" s="47">
        <f t="shared" si="43"/>
        <v>0</v>
      </c>
      <c r="BB24" s="47">
        <f t="shared" si="44"/>
        <v>283151</v>
      </c>
      <c r="BC24" s="47" t="b">
        <f t="shared" si="45"/>
        <v>0</v>
      </c>
      <c r="BD24" s="47" t="b">
        <f t="shared" si="46"/>
        <v>0</v>
      </c>
      <c r="BE24" s="47" t="b">
        <f t="shared" si="47"/>
        <v>0</v>
      </c>
      <c r="BF24" s="47" t="b">
        <f t="shared" si="48"/>
        <v>0</v>
      </c>
      <c r="BG24" s="47" t="b">
        <f t="shared" si="49"/>
        <v>0</v>
      </c>
      <c r="BH24" s="47" t="b">
        <f t="shared" si="50"/>
        <v>0</v>
      </c>
      <c r="BI24" s="47" t="b">
        <f t="shared" si="51"/>
        <v>0</v>
      </c>
      <c r="BJ24" s="47" t="b">
        <f t="shared" si="52"/>
        <v>0</v>
      </c>
      <c r="BK24" s="69" t="b">
        <f t="shared" si="53"/>
        <v>0</v>
      </c>
      <c r="BL24" s="69" t="b">
        <f t="shared" si="54"/>
        <v>0</v>
      </c>
      <c r="BM24" s="69" t="b">
        <f t="shared" si="55"/>
        <v>0</v>
      </c>
      <c r="BN24" s="69" t="b">
        <f t="shared" si="56"/>
        <v>0</v>
      </c>
      <c r="BO24" s="69" t="b">
        <f t="shared" si="57"/>
        <v>0</v>
      </c>
      <c r="BP24" s="69" t="b">
        <f t="shared" si="58"/>
        <v>0</v>
      </c>
      <c r="BQ24" s="69" t="b">
        <f t="shared" si="59"/>
        <v>0</v>
      </c>
      <c r="BR24" s="69" t="b">
        <f t="shared" si="60"/>
        <v>0</v>
      </c>
      <c r="BS24" s="37" t="b">
        <f t="shared" si="61"/>
        <v>0</v>
      </c>
      <c r="BT24" s="37" t="b">
        <f t="shared" si="62"/>
        <v>0</v>
      </c>
    </row>
    <row r="25" spans="1:72" x14ac:dyDescent="0.25">
      <c r="A25" s="8">
        <v>24</v>
      </c>
      <c r="B25">
        <v>57087</v>
      </c>
      <c r="C25" s="7">
        <v>72000</v>
      </c>
      <c r="D25" s="7">
        <v>-71682</v>
      </c>
      <c r="E25" s="38">
        <f t="shared" si="63"/>
        <v>68851.833333333299</v>
      </c>
      <c r="F25" s="38">
        <f t="shared" si="64"/>
        <v>69909.999999999971</v>
      </c>
      <c r="G25" s="38">
        <f t="shared" si="65"/>
        <v>69380.916666666628</v>
      </c>
      <c r="H25" s="27">
        <f>AH62</f>
        <v>-3004000</v>
      </c>
      <c r="I25" s="27">
        <f>BN62</f>
        <v>3005524</v>
      </c>
      <c r="K25" s="47">
        <f t="shared" si="3"/>
        <v>0</v>
      </c>
      <c r="L25" s="47">
        <f t="shared" si="4"/>
        <v>0</v>
      </c>
      <c r="M25" s="47">
        <f t="shared" si="5"/>
        <v>0</v>
      </c>
      <c r="N25" s="48">
        <f t="shared" si="6"/>
        <v>0</v>
      </c>
      <c r="O25" s="48">
        <f t="shared" si="7"/>
        <v>0</v>
      </c>
      <c r="P25" s="48">
        <f t="shared" si="8"/>
        <v>0</v>
      </c>
      <c r="Q25" s="48">
        <f t="shared" si="9"/>
        <v>0</v>
      </c>
      <c r="R25" s="48">
        <f t="shared" si="10"/>
        <v>0</v>
      </c>
      <c r="S25" s="48">
        <f t="shared" si="11"/>
        <v>0</v>
      </c>
      <c r="T25" s="48">
        <f t="shared" si="12"/>
        <v>0</v>
      </c>
      <c r="U25" s="48">
        <f t="shared" si="13"/>
        <v>0</v>
      </c>
      <c r="V25" s="48">
        <f t="shared" si="14"/>
        <v>72000</v>
      </c>
      <c r="W25" s="48" t="b">
        <f t="shared" si="15"/>
        <v>0</v>
      </c>
      <c r="X25" s="48" t="b">
        <f t="shared" si="16"/>
        <v>0</v>
      </c>
      <c r="Y25" s="48" t="b">
        <f t="shared" si="17"/>
        <v>0</v>
      </c>
      <c r="Z25" s="48" t="b">
        <f t="shared" si="18"/>
        <v>0</v>
      </c>
      <c r="AA25" s="48" t="b">
        <f t="shared" si="19"/>
        <v>0</v>
      </c>
      <c r="AB25" s="48" t="b">
        <f t="shared" si="20"/>
        <v>0</v>
      </c>
      <c r="AC25" s="48" t="b">
        <f t="shared" si="21"/>
        <v>0</v>
      </c>
      <c r="AD25" s="48" t="b">
        <f t="shared" si="22"/>
        <v>0</v>
      </c>
      <c r="AE25" s="48" t="b">
        <f t="shared" si="23"/>
        <v>0</v>
      </c>
      <c r="AF25" s="48" t="b">
        <f t="shared" si="24"/>
        <v>0</v>
      </c>
      <c r="AG25" s="48" t="b">
        <f t="shared" si="25"/>
        <v>0</v>
      </c>
      <c r="AH25" s="48" t="b">
        <f t="shared" si="26"/>
        <v>0</v>
      </c>
      <c r="AI25" s="48" t="b">
        <f t="shared" si="27"/>
        <v>0</v>
      </c>
      <c r="AJ25" s="48" t="b">
        <f t="shared" si="28"/>
        <v>0</v>
      </c>
      <c r="AK25" s="48" t="b">
        <f t="shared" si="29"/>
        <v>0</v>
      </c>
      <c r="AL25" s="48" t="b">
        <f t="shared" si="30"/>
        <v>0</v>
      </c>
      <c r="AM25" s="48" t="b">
        <f t="shared" si="31"/>
        <v>0</v>
      </c>
      <c r="AN25" s="48" t="b">
        <f t="shared" si="32"/>
        <v>0</v>
      </c>
      <c r="AO25" s="48"/>
      <c r="AQ25" s="47">
        <f t="shared" si="33"/>
        <v>0</v>
      </c>
      <c r="AR25" s="47">
        <f t="shared" si="34"/>
        <v>0</v>
      </c>
      <c r="AS25" s="47">
        <f t="shared" si="35"/>
        <v>0</v>
      </c>
      <c r="AT25" s="47">
        <f t="shared" si="36"/>
        <v>0</v>
      </c>
      <c r="AU25" s="47">
        <f t="shared" si="37"/>
        <v>0</v>
      </c>
      <c r="AV25" s="47">
        <f t="shared" si="38"/>
        <v>0</v>
      </c>
      <c r="AW25" s="47">
        <f t="shared" si="39"/>
        <v>0</v>
      </c>
      <c r="AX25" s="47">
        <f t="shared" si="40"/>
        <v>0</v>
      </c>
      <c r="AY25" s="47">
        <f t="shared" si="41"/>
        <v>0</v>
      </c>
      <c r="AZ25" s="47">
        <f t="shared" si="42"/>
        <v>0</v>
      </c>
      <c r="BA25" s="47">
        <f t="shared" si="43"/>
        <v>0</v>
      </c>
      <c r="BB25" s="47">
        <f t="shared" si="44"/>
        <v>-71682</v>
      </c>
      <c r="BC25" s="47" t="b">
        <f t="shared" si="45"/>
        <v>0</v>
      </c>
      <c r="BD25" s="47" t="b">
        <f t="shared" si="46"/>
        <v>0</v>
      </c>
      <c r="BE25" s="47" t="b">
        <f t="shared" si="47"/>
        <v>0</v>
      </c>
      <c r="BF25" s="47" t="b">
        <f t="shared" si="48"/>
        <v>0</v>
      </c>
      <c r="BG25" s="47" t="b">
        <f t="shared" si="49"/>
        <v>0</v>
      </c>
      <c r="BH25" s="47" t="b">
        <f t="shared" si="50"/>
        <v>0</v>
      </c>
      <c r="BI25" s="47" t="b">
        <f t="shared" si="51"/>
        <v>0</v>
      </c>
      <c r="BJ25" s="47" t="b">
        <f t="shared" si="52"/>
        <v>0</v>
      </c>
      <c r="BK25" s="69" t="b">
        <f t="shared" si="53"/>
        <v>0</v>
      </c>
      <c r="BL25" s="69" t="b">
        <f t="shared" si="54"/>
        <v>0</v>
      </c>
      <c r="BM25" s="69" t="b">
        <f t="shared" si="55"/>
        <v>0</v>
      </c>
      <c r="BN25" s="69" t="b">
        <f t="shared" si="56"/>
        <v>0</v>
      </c>
      <c r="BO25" s="69" t="b">
        <f t="shared" si="57"/>
        <v>0</v>
      </c>
      <c r="BP25" s="69" t="b">
        <f t="shared" si="58"/>
        <v>0</v>
      </c>
      <c r="BQ25" s="69" t="b">
        <f t="shared" si="59"/>
        <v>0</v>
      </c>
      <c r="BR25" s="69" t="b">
        <f t="shared" si="60"/>
        <v>0</v>
      </c>
      <c r="BS25" s="37" t="b">
        <f t="shared" si="61"/>
        <v>0</v>
      </c>
      <c r="BT25" s="37" t="b">
        <f t="shared" si="62"/>
        <v>0</v>
      </c>
    </row>
    <row r="26" spans="1:72" x14ac:dyDescent="0.25">
      <c r="A26" s="8">
        <v>25</v>
      </c>
      <c r="B26">
        <v>57099</v>
      </c>
      <c r="C26" s="7">
        <v>-256000</v>
      </c>
      <c r="D26" s="7">
        <v>255280</v>
      </c>
      <c r="E26" s="38">
        <f t="shared" si="63"/>
        <v>69909.999999999971</v>
      </c>
      <c r="F26" s="38">
        <f t="shared" si="64"/>
        <v>70968.166666666642</v>
      </c>
      <c r="G26" s="38">
        <f t="shared" si="65"/>
        <v>70439.083333333314</v>
      </c>
      <c r="H26" s="27">
        <f>AI62</f>
        <v>-1149000</v>
      </c>
      <c r="I26" s="27">
        <f>BO62</f>
        <v>1149013</v>
      </c>
      <c r="K26" s="47">
        <f t="shared" si="3"/>
        <v>0</v>
      </c>
      <c r="L26" s="47">
        <f t="shared" si="4"/>
        <v>0</v>
      </c>
      <c r="M26" s="47">
        <f t="shared" si="5"/>
        <v>0</v>
      </c>
      <c r="N26" s="48">
        <f t="shared" si="6"/>
        <v>0</v>
      </c>
      <c r="O26" s="48">
        <f t="shared" si="7"/>
        <v>0</v>
      </c>
      <c r="P26" s="48">
        <f t="shared" si="8"/>
        <v>0</v>
      </c>
      <c r="Q26" s="48">
        <f t="shared" si="9"/>
        <v>0</v>
      </c>
      <c r="R26" s="48">
        <f t="shared" si="10"/>
        <v>0</v>
      </c>
      <c r="S26" s="48">
        <f t="shared" si="11"/>
        <v>0</v>
      </c>
      <c r="T26" s="48">
        <f t="shared" si="12"/>
        <v>0</v>
      </c>
      <c r="U26" s="48">
        <f t="shared" si="13"/>
        <v>0</v>
      </c>
      <c r="V26" s="48">
        <f t="shared" si="14"/>
        <v>-256000</v>
      </c>
      <c r="W26" s="48" t="b">
        <f t="shared" si="15"/>
        <v>0</v>
      </c>
      <c r="X26" s="48" t="b">
        <f t="shared" si="16"/>
        <v>0</v>
      </c>
      <c r="Y26" s="48" t="b">
        <f t="shared" si="17"/>
        <v>0</v>
      </c>
      <c r="Z26" s="48" t="b">
        <f t="shared" si="18"/>
        <v>0</v>
      </c>
      <c r="AA26" s="48" t="b">
        <f t="shared" si="19"/>
        <v>0</v>
      </c>
      <c r="AB26" s="48" t="b">
        <f t="shared" si="20"/>
        <v>0</v>
      </c>
      <c r="AC26" s="48" t="b">
        <f t="shared" si="21"/>
        <v>0</v>
      </c>
      <c r="AD26" s="48" t="b">
        <f t="shared" si="22"/>
        <v>0</v>
      </c>
      <c r="AE26" s="48" t="b">
        <f t="shared" si="23"/>
        <v>0</v>
      </c>
      <c r="AF26" s="48" t="b">
        <f t="shared" si="24"/>
        <v>0</v>
      </c>
      <c r="AG26" s="48" t="b">
        <f t="shared" si="25"/>
        <v>0</v>
      </c>
      <c r="AH26" s="48" t="b">
        <f t="shared" si="26"/>
        <v>0</v>
      </c>
      <c r="AI26" s="48" t="b">
        <f t="shared" si="27"/>
        <v>0</v>
      </c>
      <c r="AJ26" s="48" t="b">
        <f t="shared" si="28"/>
        <v>0</v>
      </c>
      <c r="AK26" s="48" t="b">
        <f t="shared" si="29"/>
        <v>0</v>
      </c>
      <c r="AL26" s="48" t="b">
        <f t="shared" si="30"/>
        <v>0</v>
      </c>
      <c r="AM26" s="48" t="b">
        <f t="shared" si="31"/>
        <v>0</v>
      </c>
      <c r="AN26" s="48" t="b">
        <f t="shared" si="32"/>
        <v>0</v>
      </c>
      <c r="AO26" s="48"/>
      <c r="AQ26" s="47">
        <f t="shared" si="33"/>
        <v>0</v>
      </c>
      <c r="AR26" s="47">
        <f t="shared" si="34"/>
        <v>0</v>
      </c>
      <c r="AS26" s="47">
        <f t="shared" si="35"/>
        <v>0</v>
      </c>
      <c r="AT26" s="47">
        <f t="shared" si="36"/>
        <v>0</v>
      </c>
      <c r="AU26" s="47">
        <f t="shared" si="37"/>
        <v>0</v>
      </c>
      <c r="AV26" s="47">
        <f t="shared" si="38"/>
        <v>0</v>
      </c>
      <c r="AW26" s="47">
        <f t="shared" si="39"/>
        <v>0</v>
      </c>
      <c r="AX26" s="47">
        <f t="shared" si="40"/>
        <v>0</v>
      </c>
      <c r="AY26" s="47">
        <f t="shared" si="41"/>
        <v>0</v>
      </c>
      <c r="AZ26" s="47">
        <f t="shared" si="42"/>
        <v>0</v>
      </c>
      <c r="BA26" s="47">
        <f t="shared" si="43"/>
        <v>0</v>
      </c>
      <c r="BB26" s="47">
        <f t="shared" si="44"/>
        <v>255280</v>
      </c>
      <c r="BC26" s="47" t="b">
        <f t="shared" si="45"/>
        <v>0</v>
      </c>
      <c r="BD26" s="47" t="b">
        <f t="shared" si="46"/>
        <v>0</v>
      </c>
      <c r="BE26" s="47" t="b">
        <f t="shared" si="47"/>
        <v>0</v>
      </c>
      <c r="BF26" s="47" t="b">
        <f t="shared" si="48"/>
        <v>0</v>
      </c>
      <c r="BG26" s="47" t="b">
        <f t="shared" si="49"/>
        <v>0</v>
      </c>
      <c r="BH26" s="47" t="b">
        <f t="shared" si="50"/>
        <v>0</v>
      </c>
      <c r="BI26" s="47" t="b">
        <f t="shared" si="51"/>
        <v>0</v>
      </c>
      <c r="BJ26" s="47" t="b">
        <f t="shared" si="52"/>
        <v>0</v>
      </c>
      <c r="BK26" s="69" t="b">
        <f t="shared" si="53"/>
        <v>0</v>
      </c>
      <c r="BL26" s="69" t="b">
        <f t="shared" si="54"/>
        <v>0</v>
      </c>
      <c r="BM26" s="69" t="b">
        <f t="shared" si="55"/>
        <v>0</v>
      </c>
      <c r="BN26" s="69" t="b">
        <f t="shared" si="56"/>
        <v>0</v>
      </c>
      <c r="BO26" s="69" t="b">
        <f t="shared" si="57"/>
        <v>0</v>
      </c>
      <c r="BP26" s="69" t="b">
        <f t="shared" si="58"/>
        <v>0</v>
      </c>
      <c r="BQ26" s="69" t="b">
        <f t="shared" si="59"/>
        <v>0</v>
      </c>
      <c r="BR26" s="69" t="b">
        <f t="shared" si="60"/>
        <v>0</v>
      </c>
      <c r="BS26" s="37" t="b">
        <f t="shared" si="61"/>
        <v>0</v>
      </c>
      <c r="BT26" s="37" t="b">
        <f t="shared" si="62"/>
        <v>0</v>
      </c>
    </row>
    <row r="27" spans="1:72" x14ac:dyDescent="0.25">
      <c r="A27" s="8">
        <v>26</v>
      </c>
      <c r="B27">
        <v>57523</v>
      </c>
      <c r="C27" s="7">
        <v>-240000</v>
      </c>
      <c r="D27" s="7">
        <v>240349</v>
      </c>
      <c r="E27" s="38">
        <f t="shared" si="63"/>
        <v>70968.166666666642</v>
      </c>
      <c r="F27" s="38">
        <f t="shared" si="64"/>
        <v>72026.333333333314</v>
      </c>
      <c r="G27" s="38">
        <f t="shared" si="65"/>
        <v>71497.249999999971</v>
      </c>
      <c r="H27" s="27">
        <f>AJ62</f>
        <v>-564000</v>
      </c>
      <c r="I27" s="27">
        <f>BP62</f>
        <v>563941</v>
      </c>
      <c r="K27" s="47">
        <f t="shared" si="3"/>
        <v>0</v>
      </c>
      <c r="L27" s="47">
        <f t="shared" si="4"/>
        <v>0</v>
      </c>
      <c r="M27" s="47">
        <f t="shared" si="5"/>
        <v>0</v>
      </c>
      <c r="N27" s="48">
        <f t="shared" si="6"/>
        <v>0</v>
      </c>
      <c r="O27" s="48">
        <f t="shared" si="7"/>
        <v>0</v>
      </c>
      <c r="P27" s="48">
        <f t="shared" si="8"/>
        <v>0</v>
      </c>
      <c r="Q27" s="48">
        <f t="shared" si="9"/>
        <v>0</v>
      </c>
      <c r="R27" s="48">
        <f t="shared" si="10"/>
        <v>0</v>
      </c>
      <c r="S27" s="48">
        <f t="shared" si="11"/>
        <v>0</v>
      </c>
      <c r="T27" s="48">
        <f t="shared" si="12"/>
        <v>0</v>
      </c>
      <c r="U27" s="48">
        <f t="shared" si="13"/>
        <v>0</v>
      </c>
      <c r="V27" s="48">
        <f t="shared" si="14"/>
        <v>0</v>
      </c>
      <c r="W27" s="48">
        <f t="shared" si="15"/>
        <v>-240000</v>
      </c>
      <c r="X27" s="48" t="b">
        <f t="shared" si="16"/>
        <v>0</v>
      </c>
      <c r="Y27" s="48" t="b">
        <f t="shared" si="17"/>
        <v>0</v>
      </c>
      <c r="Z27" s="48" t="b">
        <f t="shared" si="18"/>
        <v>0</v>
      </c>
      <c r="AA27" s="48" t="b">
        <f t="shared" si="19"/>
        <v>0</v>
      </c>
      <c r="AB27" s="48" t="b">
        <f t="shared" si="20"/>
        <v>0</v>
      </c>
      <c r="AC27" s="48" t="b">
        <f t="shared" si="21"/>
        <v>0</v>
      </c>
      <c r="AD27" s="48" t="b">
        <f t="shared" si="22"/>
        <v>0</v>
      </c>
      <c r="AE27" s="48" t="b">
        <f t="shared" si="23"/>
        <v>0</v>
      </c>
      <c r="AF27" s="48" t="b">
        <f t="shared" si="24"/>
        <v>0</v>
      </c>
      <c r="AG27" s="48" t="b">
        <f t="shared" si="25"/>
        <v>0</v>
      </c>
      <c r="AH27" s="48" t="b">
        <f t="shared" si="26"/>
        <v>0</v>
      </c>
      <c r="AI27" s="48" t="b">
        <f t="shared" si="27"/>
        <v>0</v>
      </c>
      <c r="AJ27" s="48" t="b">
        <f t="shared" si="28"/>
        <v>0</v>
      </c>
      <c r="AK27" s="48" t="b">
        <f t="shared" si="29"/>
        <v>0</v>
      </c>
      <c r="AL27" s="48" t="b">
        <f t="shared" si="30"/>
        <v>0</v>
      </c>
      <c r="AM27" s="48" t="b">
        <f t="shared" si="31"/>
        <v>0</v>
      </c>
      <c r="AN27" s="48" t="b">
        <f t="shared" si="32"/>
        <v>0</v>
      </c>
      <c r="AO27" s="48"/>
      <c r="AQ27" s="47">
        <f t="shared" si="33"/>
        <v>0</v>
      </c>
      <c r="AR27" s="47">
        <f t="shared" si="34"/>
        <v>0</v>
      </c>
      <c r="AS27" s="47">
        <f t="shared" si="35"/>
        <v>0</v>
      </c>
      <c r="AT27" s="47">
        <f t="shared" si="36"/>
        <v>0</v>
      </c>
      <c r="AU27" s="47">
        <f t="shared" si="37"/>
        <v>0</v>
      </c>
      <c r="AV27" s="47">
        <f t="shared" si="38"/>
        <v>0</v>
      </c>
      <c r="AW27" s="47">
        <f t="shared" si="39"/>
        <v>0</v>
      </c>
      <c r="AX27" s="47">
        <f t="shared" si="40"/>
        <v>0</v>
      </c>
      <c r="AY27" s="47">
        <f t="shared" si="41"/>
        <v>0</v>
      </c>
      <c r="AZ27" s="47">
        <f t="shared" si="42"/>
        <v>0</v>
      </c>
      <c r="BA27" s="47">
        <f t="shared" si="43"/>
        <v>0</v>
      </c>
      <c r="BB27" s="47">
        <f t="shared" si="44"/>
        <v>0</v>
      </c>
      <c r="BC27" s="47">
        <f t="shared" si="45"/>
        <v>240349</v>
      </c>
      <c r="BD27" s="47" t="b">
        <f t="shared" si="46"/>
        <v>0</v>
      </c>
      <c r="BE27" s="47" t="b">
        <f t="shared" si="47"/>
        <v>0</v>
      </c>
      <c r="BF27" s="47" t="b">
        <f t="shared" si="48"/>
        <v>0</v>
      </c>
      <c r="BG27" s="47" t="b">
        <f t="shared" si="49"/>
        <v>0</v>
      </c>
      <c r="BH27" s="47" t="b">
        <f t="shared" si="50"/>
        <v>0</v>
      </c>
      <c r="BI27" s="47" t="b">
        <f t="shared" si="51"/>
        <v>0</v>
      </c>
      <c r="BJ27" s="47" t="b">
        <f t="shared" si="52"/>
        <v>0</v>
      </c>
      <c r="BK27" s="69" t="b">
        <f t="shared" si="53"/>
        <v>0</v>
      </c>
      <c r="BL27" s="69" t="b">
        <f t="shared" si="54"/>
        <v>0</v>
      </c>
      <c r="BM27" s="69" t="b">
        <f t="shared" si="55"/>
        <v>0</v>
      </c>
      <c r="BN27" s="69" t="b">
        <f t="shared" si="56"/>
        <v>0</v>
      </c>
      <c r="BO27" s="69" t="b">
        <f t="shared" si="57"/>
        <v>0</v>
      </c>
      <c r="BP27" s="69" t="b">
        <f t="shared" si="58"/>
        <v>0</v>
      </c>
      <c r="BQ27" s="69" t="b">
        <f t="shared" si="59"/>
        <v>0</v>
      </c>
      <c r="BR27" s="69" t="b">
        <f t="shared" si="60"/>
        <v>0</v>
      </c>
      <c r="BS27" s="37" t="b">
        <f t="shared" si="61"/>
        <v>0</v>
      </c>
      <c r="BT27" s="37" t="b">
        <f t="shared" si="62"/>
        <v>0</v>
      </c>
    </row>
    <row r="28" spans="1:72" x14ac:dyDescent="0.25">
      <c r="A28" s="8">
        <v>27</v>
      </c>
      <c r="B28">
        <v>57605</v>
      </c>
      <c r="C28" s="7">
        <v>-49000</v>
      </c>
      <c r="D28" s="7">
        <v>49612</v>
      </c>
      <c r="E28" s="38">
        <f t="shared" si="63"/>
        <v>72026.333333333314</v>
      </c>
      <c r="F28" s="38">
        <f t="shared" si="64"/>
        <v>73084.499999999985</v>
      </c>
      <c r="G28" s="38">
        <f t="shared" si="65"/>
        <v>72555.416666666657</v>
      </c>
      <c r="H28" s="27">
        <f>AK62</f>
        <v>-888000</v>
      </c>
      <c r="I28" s="27">
        <f>BQ62</f>
        <v>886885</v>
      </c>
      <c r="K28" s="47">
        <f t="shared" si="3"/>
        <v>0</v>
      </c>
      <c r="L28" s="47">
        <f t="shared" si="4"/>
        <v>0</v>
      </c>
      <c r="M28" s="47">
        <f t="shared" si="5"/>
        <v>0</v>
      </c>
      <c r="N28" s="48">
        <f t="shared" si="6"/>
        <v>0</v>
      </c>
      <c r="O28" s="48">
        <f t="shared" si="7"/>
        <v>0</v>
      </c>
      <c r="P28" s="48">
        <f t="shared" si="8"/>
        <v>0</v>
      </c>
      <c r="Q28" s="48">
        <f t="shared" si="9"/>
        <v>0</v>
      </c>
      <c r="R28" s="48">
        <f t="shared" si="10"/>
        <v>0</v>
      </c>
      <c r="S28" s="48">
        <f t="shared" si="11"/>
        <v>0</v>
      </c>
      <c r="T28" s="48">
        <f t="shared" si="12"/>
        <v>0</v>
      </c>
      <c r="U28" s="48">
        <f t="shared" si="13"/>
        <v>0</v>
      </c>
      <c r="V28" s="48">
        <f t="shared" si="14"/>
        <v>0</v>
      </c>
      <c r="W28" s="48">
        <f t="shared" si="15"/>
        <v>-49000</v>
      </c>
      <c r="X28" s="48" t="b">
        <f t="shared" si="16"/>
        <v>0</v>
      </c>
      <c r="Y28" s="48" t="b">
        <f t="shared" si="17"/>
        <v>0</v>
      </c>
      <c r="Z28" s="48" t="b">
        <f t="shared" si="18"/>
        <v>0</v>
      </c>
      <c r="AA28" s="48" t="b">
        <f t="shared" si="19"/>
        <v>0</v>
      </c>
      <c r="AB28" s="48" t="b">
        <f t="shared" si="20"/>
        <v>0</v>
      </c>
      <c r="AC28" s="48" t="b">
        <f t="shared" si="21"/>
        <v>0</v>
      </c>
      <c r="AD28" s="48" t="b">
        <f t="shared" si="22"/>
        <v>0</v>
      </c>
      <c r="AE28" s="48" t="b">
        <f t="shared" si="23"/>
        <v>0</v>
      </c>
      <c r="AF28" s="48" t="b">
        <f t="shared" si="24"/>
        <v>0</v>
      </c>
      <c r="AG28" s="48" t="b">
        <f t="shared" si="25"/>
        <v>0</v>
      </c>
      <c r="AH28" s="48" t="b">
        <f t="shared" si="26"/>
        <v>0</v>
      </c>
      <c r="AI28" s="48" t="b">
        <f t="shared" si="27"/>
        <v>0</v>
      </c>
      <c r="AJ28" s="48" t="b">
        <f t="shared" si="28"/>
        <v>0</v>
      </c>
      <c r="AK28" s="48" t="b">
        <f t="shared" si="29"/>
        <v>0</v>
      </c>
      <c r="AL28" s="48" t="b">
        <f t="shared" si="30"/>
        <v>0</v>
      </c>
      <c r="AM28" s="48" t="b">
        <f t="shared" si="31"/>
        <v>0</v>
      </c>
      <c r="AN28" s="48" t="b">
        <f t="shared" si="32"/>
        <v>0</v>
      </c>
      <c r="AO28" s="48"/>
      <c r="AQ28" s="47">
        <f t="shared" si="33"/>
        <v>0</v>
      </c>
      <c r="AR28" s="47">
        <f t="shared" si="34"/>
        <v>0</v>
      </c>
      <c r="AS28" s="47">
        <f t="shared" si="35"/>
        <v>0</v>
      </c>
      <c r="AT28" s="47">
        <f t="shared" si="36"/>
        <v>0</v>
      </c>
      <c r="AU28" s="47">
        <f t="shared" si="37"/>
        <v>0</v>
      </c>
      <c r="AV28" s="47">
        <f t="shared" si="38"/>
        <v>0</v>
      </c>
      <c r="AW28" s="47">
        <f t="shared" si="39"/>
        <v>0</v>
      </c>
      <c r="AX28" s="47">
        <f t="shared" si="40"/>
        <v>0</v>
      </c>
      <c r="AY28" s="47">
        <f t="shared" si="41"/>
        <v>0</v>
      </c>
      <c r="AZ28" s="47">
        <f t="shared" si="42"/>
        <v>0</v>
      </c>
      <c r="BA28" s="47">
        <f t="shared" si="43"/>
        <v>0</v>
      </c>
      <c r="BB28" s="47">
        <f t="shared" si="44"/>
        <v>0</v>
      </c>
      <c r="BC28" s="47">
        <f t="shared" si="45"/>
        <v>49612</v>
      </c>
      <c r="BD28" s="47" t="b">
        <f t="shared" si="46"/>
        <v>0</v>
      </c>
      <c r="BE28" s="47" t="b">
        <f t="shared" si="47"/>
        <v>0</v>
      </c>
      <c r="BF28" s="47" t="b">
        <f t="shared" si="48"/>
        <v>0</v>
      </c>
      <c r="BG28" s="47" t="b">
        <f t="shared" si="49"/>
        <v>0</v>
      </c>
      <c r="BH28" s="47" t="b">
        <f t="shared" si="50"/>
        <v>0</v>
      </c>
      <c r="BI28" s="47" t="b">
        <f t="shared" si="51"/>
        <v>0</v>
      </c>
      <c r="BJ28" s="47" t="b">
        <f t="shared" si="52"/>
        <v>0</v>
      </c>
      <c r="BK28" s="69" t="b">
        <f t="shared" si="53"/>
        <v>0</v>
      </c>
      <c r="BL28" s="69" t="b">
        <f t="shared" si="54"/>
        <v>0</v>
      </c>
      <c r="BM28" s="69" t="b">
        <f t="shared" si="55"/>
        <v>0</v>
      </c>
      <c r="BN28" s="69" t="b">
        <f t="shared" si="56"/>
        <v>0</v>
      </c>
      <c r="BO28" s="69" t="b">
        <f t="shared" si="57"/>
        <v>0</v>
      </c>
      <c r="BP28" s="69" t="b">
        <f t="shared" si="58"/>
        <v>0</v>
      </c>
      <c r="BQ28" s="69" t="b">
        <f t="shared" si="59"/>
        <v>0</v>
      </c>
      <c r="BR28" s="69" t="b">
        <f t="shared" si="60"/>
        <v>0</v>
      </c>
      <c r="BS28" s="37" t="b">
        <f t="shared" si="61"/>
        <v>0</v>
      </c>
      <c r="BT28" s="37" t="b">
        <f t="shared" si="62"/>
        <v>0</v>
      </c>
    </row>
    <row r="29" spans="1:72" x14ac:dyDescent="0.25">
      <c r="A29" s="8">
        <v>28</v>
      </c>
      <c r="B29">
        <v>57811</v>
      </c>
      <c r="C29" s="7">
        <v>889123</v>
      </c>
      <c r="D29" s="7">
        <v>-889139</v>
      </c>
      <c r="E29" s="38">
        <f t="shared" si="63"/>
        <v>73084.499999999985</v>
      </c>
      <c r="F29" s="38">
        <f t="shared" si="64"/>
        <v>74142.666666666657</v>
      </c>
      <c r="G29" s="38">
        <f t="shared" si="65"/>
        <v>73613.583333333314</v>
      </c>
      <c r="H29" s="27">
        <f>AL62</f>
        <v>0</v>
      </c>
      <c r="I29" s="27">
        <f>BR62</f>
        <v>0</v>
      </c>
      <c r="K29" s="47">
        <f t="shared" si="3"/>
        <v>0</v>
      </c>
      <c r="L29" s="47">
        <f t="shared" si="4"/>
        <v>0</v>
      </c>
      <c r="M29" s="47">
        <f t="shared" si="5"/>
        <v>0</v>
      </c>
      <c r="N29" s="48">
        <f t="shared" si="6"/>
        <v>0</v>
      </c>
      <c r="O29" s="48">
        <f t="shared" si="7"/>
        <v>0</v>
      </c>
      <c r="P29" s="48">
        <f t="shared" si="8"/>
        <v>0</v>
      </c>
      <c r="Q29" s="48">
        <f t="shared" si="9"/>
        <v>0</v>
      </c>
      <c r="R29" s="48">
        <f t="shared" si="10"/>
        <v>0</v>
      </c>
      <c r="S29" s="48">
        <f t="shared" si="11"/>
        <v>0</v>
      </c>
      <c r="T29" s="48">
        <f t="shared" si="12"/>
        <v>0</v>
      </c>
      <c r="U29" s="48">
        <f t="shared" si="13"/>
        <v>0</v>
      </c>
      <c r="V29" s="48">
        <f t="shared" si="14"/>
        <v>0</v>
      </c>
      <c r="W29" s="48">
        <f t="shared" si="15"/>
        <v>889123</v>
      </c>
      <c r="X29" s="48" t="b">
        <f t="shared" si="16"/>
        <v>0</v>
      </c>
      <c r="Y29" s="48" t="b">
        <f t="shared" si="17"/>
        <v>0</v>
      </c>
      <c r="Z29" s="48" t="b">
        <f t="shared" si="18"/>
        <v>0</v>
      </c>
      <c r="AA29" s="48" t="b">
        <f t="shared" si="19"/>
        <v>0</v>
      </c>
      <c r="AB29" s="48" t="b">
        <f t="shared" si="20"/>
        <v>0</v>
      </c>
      <c r="AC29" s="48" t="b">
        <f t="shared" si="21"/>
        <v>0</v>
      </c>
      <c r="AD29" s="48" t="b">
        <f t="shared" si="22"/>
        <v>0</v>
      </c>
      <c r="AE29" s="48" t="b">
        <f t="shared" si="23"/>
        <v>0</v>
      </c>
      <c r="AF29" s="48" t="b">
        <f t="shared" si="24"/>
        <v>0</v>
      </c>
      <c r="AG29" s="48" t="b">
        <f t="shared" si="25"/>
        <v>0</v>
      </c>
      <c r="AH29" s="48" t="b">
        <f t="shared" si="26"/>
        <v>0</v>
      </c>
      <c r="AI29" s="48" t="b">
        <f t="shared" si="27"/>
        <v>0</v>
      </c>
      <c r="AJ29" s="48" t="b">
        <f t="shared" si="28"/>
        <v>0</v>
      </c>
      <c r="AK29" s="48" t="b">
        <f t="shared" si="29"/>
        <v>0</v>
      </c>
      <c r="AL29" s="48" t="b">
        <f t="shared" si="30"/>
        <v>0</v>
      </c>
      <c r="AM29" s="48" t="b">
        <f t="shared" si="31"/>
        <v>0</v>
      </c>
      <c r="AN29" s="48" t="b">
        <f t="shared" si="32"/>
        <v>0</v>
      </c>
      <c r="AO29" s="48"/>
      <c r="AQ29" s="47">
        <f t="shared" si="33"/>
        <v>0</v>
      </c>
      <c r="AR29" s="47">
        <f t="shared" si="34"/>
        <v>0</v>
      </c>
      <c r="AS29" s="47">
        <f t="shared" si="35"/>
        <v>0</v>
      </c>
      <c r="AT29" s="47">
        <f t="shared" si="36"/>
        <v>0</v>
      </c>
      <c r="AU29" s="47">
        <f t="shared" si="37"/>
        <v>0</v>
      </c>
      <c r="AV29" s="47">
        <f t="shared" si="38"/>
        <v>0</v>
      </c>
      <c r="AW29" s="47">
        <f t="shared" si="39"/>
        <v>0</v>
      </c>
      <c r="AX29" s="47">
        <f t="shared" si="40"/>
        <v>0</v>
      </c>
      <c r="AY29" s="47">
        <f t="shared" si="41"/>
        <v>0</v>
      </c>
      <c r="AZ29" s="47">
        <f t="shared" si="42"/>
        <v>0</v>
      </c>
      <c r="BA29" s="47">
        <f t="shared" si="43"/>
        <v>0</v>
      </c>
      <c r="BB29" s="47">
        <f t="shared" si="44"/>
        <v>0</v>
      </c>
      <c r="BC29" s="47">
        <f t="shared" si="45"/>
        <v>-889139</v>
      </c>
      <c r="BD29" s="47" t="b">
        <f t="shared" si="46"/>
        <v>0</v>
      </c>
      <c r="BE29" s="47" t="b">
        <f t="shared" si="47"/>
        <v>0</v>
      </c>
      <c r="BF29" s="47" t="b">
        <f t="shared" si="48"/>
        <v>0</v>
      </c>
      <c r="BG29" s="47" t="b">
        <f t="shared" si="49"/>
        <v>0</v>
      </c>
      <c r="BH29" s="47" t="b">
        <f t="shared" si="50"/>
        <v>0</v>
      </c>
      <c r="BI29" s="47" t="b">
        <f t="shared" si="51"/>
        <v>0</v>
      </c>
      <c r="BJ29" s="47" t="b">
        <f t="shared" si="52"/>
        <v>0</v>
      </c>
      <c r="BK29" s="69" t="b">
        <f t="shared" si="53"/>
        <v>0</v>
      </c>
      <c r="BL29" s="69" t="b">
        <f t="shared" si="54"/>
        <v>0</v>
      </c>
      <c r="BM29" s="69" t="b">
        <f t="shared" si="55"/>
        <v>0</v>
      </c>
      <c r="BN29" s="69" t="b">
        <f t="shared" si="56"/>
        <v>0</v>
      </c>
      <c r="BO29" s="69" t="b">
        <f t="shared" si="57"/>
        <v>0</v>
      </c>
      <c r="BP29" s="69" t="b">
        <f t="shared" si="58"/>
        <v>0</v>
      </c>
      <c r="BQ29" s="69" t="b">
        <f t="shared" si="59"/>
        <v>0</v>
      </c>
      <c r="BR29" s="69" t="b">
        <f t="shared" si="60"/>
        <v>0</v>
      </c>
      <c r="BS29" s="37" t="b">
        <f t="shared" si="61"/>
        <v>0</v>
      </c>
      <c r="BT29" s="37" t="b">
        <f t="shared" si="62"/>
        <v>0</v>
      </c>
    </row>
    <row r="30" spans="1:72" x14ac:dyDescent="0.25">
      <c r="A30" s="8">
        <v>29</v>
      </c>
      <c r="B30">
        <v>57876</v>
      </c>
      <c r="C30" s="7">
        <v>-854000</v>
      </c>
      <c r="D30" s="7">
        <v>854509</v>
      </c>
      <c r="E30" s="38">
        <f t="shared" si="63"/>
        <v>74142.666666666657</v>
      </c>
      <c r="F30" s="38">
        <f t="shared" si="64"/>
        <v>75200.833333333328</v>
      </c>
      <c r="G30" s="38">
        <f t="shared" si="65"/>
        <v>74671.75</v>
      </c>
      <c r="H30" s="27">
        <f>AM62</f>
        <v>-493000</v>
      </c>
      <c r="I30" s="27">
        <f>BS62</f>
        <v>492529</v>
      </c>
      <c r="K30" s="47">
        <f t="shared" si="3"/>
        <v>0</v>
      </c>
      <c r="L30" s="47">
        <f t="shared" si="4"/>
        <v>0</v>
      </c>
      <c r="M30" s="47">
        <f t="shared" si="5"/>
        <v>0</v>
      </c>
      <c r="N30" s="48">
        <f t="shared" si="6"/>
        <v>0</v>
      </c>
      <c r="O30" s="48">
        <f t="shared" si="7"/>
        <v>0</v>
      </c>
      <c r="P30" s="48">
        <f t="shared" si="8"/>
        <v>0</v>
      </c>
      <c r="Q30" s="48">
        <f t="shared" si="9"/>
        <v>0</v>
      </c>
      <c r="R30" s="48">
        <f t="shared" si="10"/>
        <v>0</v>
      </c>
      <c r="S30" s="48">
        <f t="shared" si="11"/>
        <v>0</v>
      </c>
      <c r="T30" s="48">
        <f t="shared" si="12"/>
        <v>0</v>
      </c>
      <c r="U30" s="48">
        <f t="shared" si="13"/>
        <v>0</v>
      </c>
      <c r="V30" s="48">
        <f t="shared" si="14"/>
        <v>0</v>
      </c>
      <c r="W30" s="48">
        <f t="shared" si="15"/>
        <v>-854000</v>
      </c>
      <c r="X30" s="48" t="b">
        <f t="shared" si="16"/>
        <v>0</v>
      </c>
      <c r="Y30" s="48" t="b">
        <f t="shared" si="17"/>
        <v>0</v>
      </c>
      <c r="Z30" s="48" t="b">
        <f t="shared" si="18"/>
        <v>0</v>
      </c>
      <c r="AA30" s="48" t="b">
        <f t="shared" si="19"/>
        <v>0</v>
      </c>
      <c r="AB30" s="48" t="b">
        <f t="shared" si="20"/>
        <v>0</v>
      </c>
      <c r="AC30" s="48" t="b">
        <f t="shared" si="21"/>
        <v>0</v>
      </c>
      <c r="AD30" s="48" t="b">
        <f t="shared" si="22"/>
        <v>0</v>
      </c>
      <c r="AE30" s="48" t="b">
        <f t="shared" si="23"/>
        <v>0</v>
      </c>
      <c r="AF30" s="48" t="b">
        <f t="shared" si="24"/>
        <v>0</v>
      </c>
      <c r="AG30" s="48" t="b">
        <f t="shared" si="25"/>
        <v>0</v>
      </c>
      <c r="AH30" s="48" t="b">
        <f t="shared" si="26"/>
        <v>0</v>
      </c>
      <c r="AI30" s="48" t="b">
        <f t="shared" si="27"/>
        <v>0</v>
      </c>
      <c r="AJ30" s="48" t="b">
        <f t="shared" si="28"/>
        <v>0</v>
      </c>
      <c r="AK30" s="48" t="b">
        <f t="shared" si="29"/>
        <v>0</v>
      </c>
      <c r="AL30" s="48" t="b">
        <f t="shared" si="30"/>
        <v>0</v>
      </c>
      <c r="AM30" s="48" t="b">
        <f t="shared" si="31"/>
        <v>0</v>
      </c>
      <c r="AN30" s="48" t="b">
        <f t="shared" si="32"/>
        <v>0</v>
      </c>
      <c r="AO30" s="48"/>
      <c r="AQ30" s="47">
        <f t="shared" si="33"/>
        <v>0</v>
      </c>
      <c r="AR30" s="47">
        <f t="shared" si="34"/>
        <v>0</v>
      </c>
      <c r="AS30" s="47">
        <f t="shared" si="35"/>
        <v>0</v>
      </c>
      <c r="AT30" s="47">
        <f t="shared" si="36"/>
        <v>0</v>
      </c>
      <c r="AU30" s="47">
        <f t="shared" si="37"/>
        <v>0</v>
      </c>
      <c r="AV30" s="47">
        <f t="shared" si="38"/>
        <v>0</v>
      </c>
      <c r="AW30" s="47">
        <f t="shared" si="39"/>
        <v>0</v>
      </c>
      <c r="AX30" s="47">
        <f t="shared" si="40"/>
        <v>0</v>
      </c>
      <c r="AY30" s="47">
        <f t="shared" si="41"/>
        <v>0</v>
      </c>
      <c r="AZ30" s="47">
        <f t="shared" si="42"/>
        <v>0</v>
      </c>
      <c r="BA30" s="47">
        <f t="shared" si="43"/>
        <v>0</v>
      </c>
      <c r="BB30" s="47">
        <f t="shared" si="44"/>
        <v>0</v>
      </c>
      <c r="BC30" s="47">
        <f t="shared" si="45"/>
        <v>854509</v>
      </c>
      <c r="BD30" s="47" t="b">
        <f t="shared" si="46"/>
        <v>0</v>
      </c>
      <c r="BE30" s="47" t="b">
        <f t="shared" si="47"/>
        <v>0</v>
      </c>
      <c r="BF30" s="47" t="b">
        <f t="shared" si="48"/>
        <v>0</v>
      </c>
      <c r="BG30" s="47" t="b">
        <f t="shared" si="49"/>
        <v>0</v>
      </c>
      <c r="BH30" s="47" t="b">
        <f t="shared" si="50"/>
        <v>0</v>
      </c>
      <c r="BI30" s="47" t="b">
        <f t="shared" si="51"/>
        <v>0</v>
      </c>
      <c r="BJ30" s="47" t="b">
        <f t="shared" si="52"/>
        <v>0</v>
      </c>
      <c r="BK30" s="69" t="b">
        <f t="shared" si="53"/>
        <v>0</v>
      </c>
      <c r="BL30" s="69" t="b">
        <f t="shared" si="54"/>
        <v>0</v>
      </c>
      <c r="BM30" s="69" t="b">
        <f t="shared" si="55"/>
        <v>0</v>
      </c>
      <c r="BN30" s="69" t="b">
        <f t="shared" si="56"/>
        <v>0</v>
      </c>
      <c r="BO30" s="69" t="b">
        <f t="shared" si="57"/>
        <v>0</v>
      </c>
      <c r="BP30" s="69" t="b">
        <f t="shared" si="58"/>
        <v>0</v>
      </c>
      <c r="BQ30" s="69" t="b">
        <f t="shared" si="59"/>
        <v>0</v>
      </c>
      <c r="BR30" s="69" t="b">
        <f t="shared" si="60"/>
        <v>0</v>
      </c>
      <c r="BS30" s="37" t="b">
        <f t="shared" si="61"/>
        <v>0</v>
      </c>
      <c r="BT30" s="37" t="b">
        <f t="shared" si="62"/>
        <v>0</v>
      </c>
    </row>
    <row r="31" spans="1:72" x14ac:dyDescent="0.25">
      <c r="A31" s="8">
        <v>30</v>
      </c>
      <c r="B31">
        <v>57916</v>
      </c>
      <c r="C31" s="7">
        <v>-85000</v>
      </c>
      <c r="D31" s="7">
        <v>84966</v>
      </c>
      <c r="E31" s="38">
        <f t="shared" si="63"/>
        <v>75200.833333333328</v>
      </c>
      <c r="F31" s="38">
        <f t="shared" si="64"/>
        <v>76259</v>
      </c>
      <c r="G31" s="38">
        <f t="shared" si="65"/>
        <v>75729.916666666657</v>
      </c>
      <c r="H31" s="27">
        <f>AN62</f>
        <v>38541</v>
      </c>
      <c r="I31" s="27">
        <f>BT62</f>
        <v>-37904</v>
      </c>
      <c r="K31" s="47">
        <f t="shared" si="3"/>
        <v>0</v>
      </c>
      <c r="L31" s="47">
        <f t="shared" si="4"/>
        <v>0</v>
      </c>
      <c r="M31" s="47">
        <f t="shared" si="5"/>
        <v>0</v>
      </c>
      <c r="N31" s="48">
        <f t="shared" si="6"/>
        <v>0</v>
      </c>
      <c r="O31" s="48">
        <f t="shared" si="7"/>
        <v>0</v>
      </c>
      <c r="P31" s="48">
        <f t="shared" si="8"/>
        <v>0</v>
      </c>
      <c r="Q31" s="48">
        <f t="shared" si="9"/>
        <v>0</v>
      </c>
      <c r="R31" s="48">
        <f t="shared" si="10"/>
        <v>0</v>
      </c>
      <c r="S31" s="48">
        <f t="shared" si="11"/>
        <v>0</v>
      </c>
      <c r="T31" s="48">
        <f t="shared" si="12"/>
        <v>0</v>
      </c>
      <c r="U31" s="48">
        <f t="shared" si="13"/>
        <v>0</v>
      </c>
      <c r="V31" s="48">
        <f t="shared" si="14"/>
        <v>0</v>
      </c>
      <c r="W31" s="48">
        <f t="shared" si="15"/>
        <v>-85000</v>
      </c>
      <c r="X31" s="48" t="b">
        <f t="shared" si="16"/>
        <v>0</v>
      </c>
      <c r="Y31" s="48" t="b">
        <f t="shared" si="17"/>
        <v>0</v>
      </c>
      <c r="Z31" s="48" t="b">
        <f t="shared" si="18"/>
        <v>0</v>
      </c>
      <c r="AA31" s="48" t="b">
        <f t="shared" si="19"/>
        <v>0</v>
      </c>
      <c r="AB31" s="48" t="b">
        <f t="shared" si="20"/>
        <v>0</v>
      </c>
      <c r="AC31" s="48" t="b">
        <f t="shared" si="21"/>
        <v>0</v>
      </c>
      <c r="AD31" s="48" t="b">
        <f t="shared" si="22"/>
        <v>0</v>
      </c>
      <c r="AE31" s="48" t="b">
        <f t="shared" si="23"/>
        <v>0</v>
      </c>
      <c r="AF31" s="48" t="b">
        <f t="shared" si="24"/>
        <v>0</v>
      </c>
      <c r="AG31" s="48" t="b">
        <f t="shared" si="25"/>
        <v>0</v>
      </c>
      <c r="AH31" s="48" t="b">
        <f t="shared" si="26"/>
        <v>0</v>
      </c>
      <c r="AI31" s="48" t="b">
        <f t="shared" si="27"/>
        <v>0</v>
      </c>
      <c r="AJ31" s="48" t="b">
        <f t="shared" si="28"/>
        <v>0</v>
      </c>
      <c r="AK31" s="48" t="b">
        <f t="shared" si="29"/>
        <v>0</v>
      </c>
      <c r="AL31" s="48" t="b">
        <f t="shared" si="30"/>
        <v>0</v>
      </c>
      <c r="AM31" s="48" t="b">
        <f t="shared" si="31"/>
        <v>0</v>
      </c>
      <c r="AN31" s="48" t="b">
        <f t="shared" si="32"/>
        <v>0</v>
      </c>
      <c r="AO31" s="48"/>
      <c r="AQ31" s="47">
        <f t="shared" si="33"/>
        <v>0</v>
      </c>
      <c r="AR31" s="47">
        <f t="shared" si="34"/>
        <v>0</v>
      </c>
      <c r="AS31" s="47">
        <f t="shared" si="35"/>
        <v>0</v>
      </c>
      <c r="AT31" s="47">
        <f t="shared" si="36"/>
        <v>0</v>
      </c>
      <c r="AU31" s="47">
        <f t="shared" si="37"/>
        <v>0</v>
      </c>
      <c r="AV31" s="47">
        <f t="shared" si="38"/>
        <v>0</v>
      </c>
      <c r="AW31" s="47">
        <f t="shared" si="39"/>
        <v>0</v>
      </c>
      <c r="AX31" s="47">
        <f t="shared" si="40"/>
        <v>0</v>
      </c>
      <c r="AY31" s="47">
        <f t="shared" si="41"/>
        <v>0</v>
      </c>
      <c r="AZ31" s="47">
        <f t="shared" si="42"/>
        <v>0</v>
      </c>
      <c r="BA31" s="47">
        <f t="shared" si="43"/>
        <v>0</v>
      </c>
      <c r="BB31" s="47">
        <f t="shared" si="44"/>
        <v>0</v>
      </c>
      <c r="BC31" s="47">
        <f t="shared" si="45"/>
        <v>84966</v>
      </c>
      <c r="BD31" s="47" t="b">
        <f t="shared" si="46"/>
        <v>0</v>
      </c>
      <c r="BE31" s="47" t="b">
        <f t="shared" si="47"/>
        <v>0</v>
      </c>
      <c r="BF31" s="47" t="b">
        <f t="shared" si="48"/>
        <v>0</v>
      </c>
      <c r="BG31" s="47" t="b">
        <f t="shared" si="49"/>
        <v>0</v>
      </c>
      <c r="BH31" s="47" t="b">
        <f t="shared" si="50"/>
        <v>0</v>
      </c>
      <c r="BI31" s="47" t="b">
        <f t="shared" si="51"/>
        <v>0</v>
      </c>
      <c r="BJ31" s="47" t="b">
        <f t="shared" si="52"/>
        <v>0</v>
      </c>
      <c r="BK31" s="69" t="b">
        <f t="shared" si="53"/>
        <v>0</v>
      </c>
      <c r="BL31" s="69" t="b">
        <f t="shared" si="54"/>
        <v>0</v>
      </c>
      <c r="BM31" s="69" t="b">
        <f t="shared" si="55"/>
        <v>0</v>
      </c>
      <c r="BN31" s="69" t="b">
        <f t="shared" si="56"/>
        <v>0</v>
      </c>
      <c r="BO31" s="69" t="b">
        <f t="shared" si="57"/>
        <v>0</v>
      </c>
      <c r="BP31" s="69" t="b">
        <f t="shared" si="58"/>
        <v>0</v>
      </c>
      <c r="BQ31" s="69" t="b">
        <f t="shared" si="59"/>
        <v>0</v>
      </c>
      <c r="BR31" s="69" t="b">
        <f t="shared" si="60"/>
        <v>0</v>
      </c>
      <c r="BS31" s="37" t="b">
        <f t="shared" si="61"/>
        <v>0</v>
      </c>
      <c r="BT31" s="37" t="b">
        <f t="shared" si="62"/>
        <v>0</v>
      </c>
    </row>
    <row r="32" spans="1:72" x14ac:dyDescent="0.25">
      <c r="A32" s="8">
        <v>31</v>
      </c>
      <c r="B32">
        <v>58008</v>
      </c>
      <c r="C32" s="7">
        <v>-379000</v>
      </c>
      <c r="D32" s="7">
        <v>379000</v>
      </c>
      <c r="K32" s="47">
        <f t="shared" si="3"/>
        <v>0</v>
      </c>
      <c r="L32" s="47">
        <f t="shared" si="4"/>
        <v>0</v>
      </c>
      <c r="M32" s="47">
        <f t="shared" si="5"/>
        <v>0</v>
      </c>
      <c r="N32" s="48">
        <f t="shared" si="6"/>
        <v>0</v>
      </c>
      <c r="O32" s="48">
        <f t="shared" si="7"/>
        <v>0</v>
      </c>
      <c r="P32" s="48">
        <f t="shared" si="8"/>
        <v>0</v>
      </c>
      <c r="Q32" s="48">
        <f t="shared" si="9"/>
        <v>0</v>
      </c>
      <c r="R32" s="48">
        <f t="shared" si="10"/>
        <v>0</v>
      </c>
      <c r="S32" s="48">
        <f t="shared" si="11"/>
        <v>0</v>
      </c>
      <c r="T32" s="48">
        <f t="shared" si="12"/>
        <v>0</v>
      </c>
      <c r="U32" s="48">
        <f t="shared" si="13"/>
        <v>0</v>
      </c>
      <c r="V32" s="48">
        <f t="shared" si="14"/>
        <v>0</v>
      </c>
      <c r="W32" s="48">
        <f t="shared" si="15"/>
        <v>-379000</v>
      </c>
      <c r="X32" s="48" t="b">
        <f t="shared" si="16"/>
        <v>0</v>
      </c>
      <c r="Y32" s="48" t="b">
        <f t="shared" si="17"/>
        <v>0</v>
      </c>
      <c r="Z32" s="48" t="b">
        <f t="shared" si="18"/>
        <v>0</v>
      </c>
      <c r="AA32" s="48" t="b">
        <f t="shared" si="19"/>
        <v>0</v>
      </c>
      <c r="AB32" s="48" t="b">
        <f t="shared" si="20"/>
        <v>0</v>
      </c>
      <c r="AC32" s="48" t="b">
        <f t="shared" si="21"/>
        <v>0</v>
      </c>
      <c r="AD32" s="48" t="b">
        <f t="shared" si="22"/>
        <v>0</v>
      </c>
      <c r="AE32" s="48" t="b">
        <f t="shared" si="23"/>
        <v>0</v>
      </c>
      <c r="AF32" s="48" t="b">
        <f t="shared" si="24"/>
        <v>0</v>
      </c>
      <c r="AG32" s="48" t="b">
        <f t="shared" si="25"/>
        <v>0</v>
      </c>
      <c r="AH32" s="48" t="b">
        <f t="shared" si="26"/>
        <v>0</v>
      </c>
      <c r="AI32" s="48" t="b">
        <f t="shared" si="27"/>
        <v>0</v>
      </c>
      <c r="AJ32" s="48" t="b">
        <f t="shared" si="28"/>
        <v>0</v>
      </c>
      <c r="AK32" s="48" t="b">
        <f t="shared" si="29"/>
        <v>0</v>
      </c>
      <c r="AL32" s="48" t="b">
        <f t="shared" si="30"/>
        <v>0</v>
      </c>
      <c r="AM32" s="48" t="b">
        <f t="shared" si="31"/>
        <v>0</v>
      </c>
      <c r="AN32" s="48" t="b">
        <f t="shared" si="32"/>
        <v>0</v>
      </c>
      <c r="AO32" s="48"/>
      <c r="AQ32" s="47">
        <f t="shared" si="33"/>
        <v>0</v>
      </c>
      <c r="AR32" s="47">
        <f t="shared" si="34"/>
        <v>0</v>
      </c>
      <c r="AS32" s="47">
        <f t="shared" si="35"/>
        <v>0</v>
      </c>
      <c r="AT32" s="47">
        <f t="shared" si="36"/>
        <v>0</v>
      </c>
      <c r="AU32" s="47">
        <f t="shared" si="37"/>
        <v>0</v>
      </c>
      <c r="AV32" s="47">
        <f t="shared" si="38"/>
        <v>0</v>
      </c>
      <c r="AW32" s="47">
        <f t="shared" si="39"/>
        <v>0</v>
      </c>
      <c r="AX32" s="47">
        <f t="shared" si="40"/>
        <v>0</v>
      </c>
      <c r="AY32" s="47">
        <f t="shared" si="41"/>
        <v>0</v>
      </c>
      <c r="AZ32" s="47">
        <f t="shared" si="42"/>
        <v>0</v>
      </c>
      <c r="BA32" s="47">
        <f t="shared" si="43"/>
        <v>0</v>
      </c>
      <c r="BB32" s="47">
        <f t="shared" si="44"/>
        <v>0</v>
      </c>
      <c r="BC32" s="47">
        <f t="shared" si="45"/>
        <v>379000</v>
      </c>
      <c r="BD32" s="47" t="b">
        <f t="shared" si="46"/>
        <v>0</v>
      </c>
      <c r="BE32" s="47" t="b">
        <f t="shared" si="47"/>
        <v>0</v>
      </c>
      <c r="BF32" s="47" t="b">
        <f t="shared" si="48"/>
        <v>0</v>
      </c>
      <c r="BG32" s="47" t="b">
        <f t="shared" si="49"/>
        <v>0</v>
      </c>
      <c r="BH32" s="47" t="b">
        <f t="shared" si="50"/>
        <v>0</v>
      </c>
      <c r="BI32" s="47" t="b">
        <f t="shared" si="51"/>
        <v>0</v>
      </c>
      <c r="BJ32" s="47" t="b">
        <f t="shared" si="52"/>
        <v>0</v>
      </c>
      <c r="BK32" s="69" t="b">
        <f t="shared" si="53"/>
        <v>0</v>
      </c>
      <c r="BL32" s="69" t="b">
        <f t="shared" si="54"/>
        <v>0</v>
      </c>
      <c r="BM32" s="69" t="b">
        <f t="shared" si="55"/>
        <v>0</v>
      </c>
      <c r="BN32" s="69" t="b">
        <f t="shared" si="56"/>
        <v>0</v>
      </c>
      <c r="BO32" s="69" t="b">
        <f t="shared" si="57"/>
        <v>0</v>
      </c>
      <c r="BP32" s="69" t="b">
        <f t="shared" si="58"/>
        <v>0</v>
      </c>
      <c r="BQ32" s="69" t="b">
        <f t="shared" si="59"/>
        <v>0</v>
      </c>
      <c r="BR32" s="69" t="b">
        <f t="shared" si="60"/>
        <v>0</v>
      </c>
      <c r="BS32" s="37" t="b">
        <f t="shared" si="61"/>
        <v>0</v>
      </c>
      <c r="BT32" s="37" t="b">
        <f t="shared" si="62"/>
        <v>0</v>
      </c>
    </row>
    <row r="33" spans="1:72" x14ac:dyDescent="0.25">
      <c r="A33" s="8">
        <v>32</v>
      </c>
      <c r="B33">
        <v>58033</v>
      </c>
      <c r="C33" s="7">
        <v>30000</v>
      </c>
      <c r="D33" s="7">
        <v>-30000</v>
      </c>
      <c r="K33" s="47">
        <f t="shared" si="3"/>
        <v>0</v>
      </c>
      <c r="L33" s="47">
        <f t="shared" si="4"/>
        <v>0</v>
      </c>
      <c r="M33" s="47">
        <f t="shared" si="5"/>
        <v>0</v>
      </c>
      <c r="N33" s="48">
        <f t="shared" si="6"/>
        <v>0</v>
      </c>
      <c r="O33" s="48">
        <f t="shared" si="7"/>
        <v>0</v>
      </c>
      <c r="P33" s="48">
        <f t="shared" si="8"/>
        <v>0</v>
      </c>
      <c r="Q33" s="48">
        <f t="shared" si="9"/>
        <v>0</v>
      </c>
      <c r="R33" s="48">
        <f t="shared" si="10"/>
        <v>0</v>
      </c>
      <c r="S33" s="48">
        <f t="shared" si="11"/>
        <v>0</v>
      </c>
      <c r="T33" s="48">
        <f t="shared" si="12"/>
        <v>0</v>
      </c>
      <c r="U33" s="48">
        <f t="shared" si="13"/>
        <v>0</v>
      </c>
      <c r="V33" s="48">
        <f t="shared" si="14"/>
        <v>0</v>
      </c>
      <c r="W33" s="48">
        <f t="shared" si="15"/>
        <v>30000</v>
      </c>
      <c r="X33" s="48" t="b">
        <f t="shared" si="16"/>
        <v>0</v>
      </c>
      <c r="Y33" s="48" t="b">
        <f t="shared" si="17"/>
        <v>0</v>
      </c>
      <c r="Z33" s="48" t="b">
        <f t="shared" si="18"/>
        <v>0</v>
      </c>
      <c r="AA33" s="48" t="b">
        <f t="shared" si="19"/>
        <v>0</v>
      </c>
      <c r="AB33" s="48" t="b">
        <f t="shared" si="20"/>
        <v>0</v>
      </c>
      <c r="AC33" s="48" t="b">
        <f t="shared" si="21"/>
        <v>0</v>
      </c>
      <c r="AD33" s="48" t="b">
        <f t="shared" si="22"/>
        <v>0</v>
      </c>
      <c r="AE33" s="48" t="b">
        <f t="shared" si="23"/>
        <v>0</v>
      </c>
      <c r="AF33" s="48" t="b">
        <f t="shared" si="24"/>
        <v>0</v>
      </c>
      <c r="AG33" s="48" t="b">
        <f t="shared" si="25"/>
        <v>0</v>
      </c>
      <c r="AH33" s="48" t="b">
        <f t="shared" si="26"/>
        <v>0</v>
      </c>
      <c r="AI33" s="48" t="b">
        <f t="shared" si="27"/>
        <v>0</v>
      </c>
      <c r="AJ33" s="48" t="b">
        <f t="shared" si="28"/>
        <v>0</v>
      </c>
      <c r="AK33" s="48" t="b">
        <f t="shared" si="29"/>
        <v>0</v>
      </c>
      <c r="AL33" s="48" t="b">
        <f t="shared" si="30"/>
        <v>0</v>
      </c>
      <c r="AM33" s="48" t="b">
        <f t="shared" si="31"/>
        <v>0</v>
      </c>
      <c r="AN33" s="48" t="b">
        <f t="shared" si="32"/>
        <v>0</v>
      </c>
      <c r="AO33" s="48"/>
      <c r="AQ33" s="47">
        <f t="shared" si="33"/>
        <v>0</v>
      </c>
      <c r="AR33" s="47">
        <f t="shared" si="34"/>
        <v>0</v>
      </c>
      <c r="AS33" s="47">
        <f t="shared" si="35"/>
        <v>0</v>
      </c>
      <c r="AT33" s="47">
        <f t="shared" si="36"/>
        <v>0</v>
      </c>
      <c r="AU33" s="47">
        <f t="shared" si="37"/>
        <v>0</v>
      </c>
      <c r="AV33" s="47">
        <f t="shared" si="38"/>
        <v>0</v>
      </c>
      <c r="AW33" s="47">
        <f t="shared" si="39"/>
        <v>0</v>
      </c>
      <c r="AX33" s="47">
        <f t="shared" si="40"/>
        <v>0</v>
      </c>
      <c r="AY33" s="47">
        <f t="shared" si="41"/>
        <v>0</v>
      </c>
      <c r="AZ33" s="47">
        <f t="shared" si="42"/>
        <v>0</v>
      </c>
      <c r="BA33" s="47">
        <f t="shared" si="43"/>
        <v>0</v>
      </c>
      <c r="BB33" s="47">
        <f t="shared" si="44"/>
        <v>0</v>
      </c>
      <c r="BC33" s="47">
        <f t="shared" si="45"/>
        <v>-30000</v>
      </c>
      <c r="BD33" s="47" t="b">
        <f t="shared" si="46"/>
        <v>0</v>
      </c>
      <c r="BE33" s="47" t="b">
        <f t="shared" si="47"/>
        <v>0</v>
      </c>
      <c r="BF33" s="47" t="b">
        <f t="shared" si="48"/>
        <v>0</v>
      </c>
      <c r="BG33" s="47" t="b">
        <f t="shared" si="49"/>
        <v>0</v>
      </c>
      <c r="BH33" s="47" t="b">
        <f t="shared" si="50"/>
        <v>0</v>
      </c>
      <c r="BI33" s="47" t="b">
        <f t="shared" si="51"/>
        <v>0</v>
      </c>
      <c r="BJ33" s="47" t="b">
        <f t="shared" si="52"/>
        <v>0</v>
      </c>
      <c r="BK33" s="69" t="b">
        <f t="shared" si="53"/>
        <v>0</v>
      </c>
      <c r="BL33" s="69" t="b">
        <f t="shared" si="54"/>
        <v>0</v>
      </c>
      <c r="BM33" s="69" t="b">
        <f t="shared" si="55"/>
        <v>0</v>
      </c>
      <c r="BN33" s="69" t="b">
        <f t="shared" si="56"/>
        <v>0</v>
      </c>
      <c r="BO33" s="69" t="b">
        <f t="shared" si="57"/>
        <v>0</v>
      </c>
      <c r="BP33" s="69" t="b">
        <f t="shared" si="58"/>
        <v>0</v>
      </c>
      <c r="BQ33" s="69" t="b">
        <f t="shared" si="59"/>
        <v>0</v>
      </c>
      <c r="BR33" s="69" t="b">
        <f t="shared" si="60"/>
        <v>0</v>
      </c>
      <c r="BS33" s="37" t="b">
        <f t="shared" si="61"/>
        <v>0</v>
      </c>
      <c r="BT33" s="37" t="b">
        <f t="shared" si="62"/>
        <v>0</v>
      </c>
    </row>
    <row r="34" spans="1:72" x14ac:dyDescent="0.25">
      <c r="A34" s="8">
        <v>33</v>
      </c>
      <c r="B34">
        <v>58130</v>
      </c>
      <c r="C34" s="7">
        <v>1500000</v>
      </c>
      <c r="D34" s="7">
        <v>-1500602</v>
      </c>
      <c r="K34" s="47">
        <f t="shared" si="3"/>
        <v>0</v>
      </c>
      <c r="L34" s="47">
        <f t="shared" si="4"/>
        <v>0</v>
      </c>
      <c r="M34" s="47">
        <f t="shared" si="5"/>
        <v>0</v>
      </c>
      <c r="N34" s="48">
        <f t="shared" si="6"/>
        <v>0</v>
      </c>
      <c r="O34" s="48">
        <f t="shared" si="7"/>
        <v>0</v>
      </c>
      <c r="P34" s="48">
        <f t="shared" si="8"/>
        <v>0</v>
      </c>
      <c r="Q34" s="48">
        <f t="shared" si="9"/>
        <v>0</v>
      </c>
      <c r="R34" s="48">
        <f t="shared" si="10"/>
        <v>0</v>
      </c>
      <c r="S34" s="48">
        <f t="shared" si="11"/>
        <v>0</v>
      </c>
      <c r="T34" s="48">
        <f t="shared" si="12"/>
        <v>0</v>
      </c>
      <c r="U34" s="48">
        <f t="shared" si="13"/>
        <v>0</v>
      </c>
      <c r="V34" s="48">
        <f t="shared" si="14"/>
        <v>0</v>
      </c>
      <c r="W34" s="48">
        <f t="shared" si="15"/>
        <v>1500000</v>
      </c>
      <c r="X34" s="48" t="b">
        <f t="shared" si="16"/>
        <v>0</v>
      </c>
      <c r="Y34" s="48" t="b">
        <f t="shared" si="17"/>
        <v>0</v>
      </c>
      <c r="Z34" s="48" t="b">
        <f t="shared" si="18"/>
        <v>0</v>
      </c>
      <c r="AA34" s="48" t="b">
        <f t="shared" si="19"/>
        <v>0</v>
      </c>
      <c r="AB34" s="48" t="b">
        <f t="shared" si="20"/>
        <v>0</v>
      </c>
      <c r="AC34" s="48" t="b">
        <f t="shared" si="21"/>
        <v>0</v>
      </c>
      <c r="AD34" s="48" t="b">
        <f t="shared" si="22"/>
        <v>0</v>
      </c>
      <c r="AE34" s="48" t="b">
        <f t="shared" si="23"/>
        <v>0</v>
      </c>
      <c r="AF34" s="48" t="b">
        <f t="shared" si="24"/>
        <v>0</v>
      </c>
      <c r="AG34" s="48" t="b">
        <f t="shared" si="25"/>
        <v>0</v>
      </c>
      <c r="AH34" s="48" t="b">
        <f t="shared" si="26"/>
        <v>0</v>
      </c>
      <c r="AI34" s="48" t="b">
        <f t="shared" si="27"/>
        <v>0</v>
      </c>
      <c r="AJ34" s="48" t="b">
        <f t="shared" si="28"/>
        <v>0</v>
      </c>
      <c r="AK34" s="48" t="b">
        <f t="shared" si="29"/>
        <v>0</v>
      </c>
      <c r="AL34" s="48" t="b">
        <f t="shared" si="30"/>
        <v>0</v>
      </c>
      <c r="AM34" s="48" t="b">
        <f t="shared" si="31"/>
        <v>0</v>
      </c>
      <c r="AN34" s="48" t="b">
        <f t="shared" si="32"/>
        <v>0</v>
      </c>
      <c r="AO34" s="48"/>
      <c r="AQ34" s="47">
        <f t="shared" si="33"/>
        <v>0</v>
      </c>
      <c r="AR34" s="47">
        <f t="shared" si="34"/>
        <v>0</v>
      </c>
      <c r="AS34" s="47">
        <f t="shared" si="35"/>
        <v>0</v>
      </c>
      <c r="AT34" s="47">
        <f t="shared" si="36"/>
        <v>0</v>
      </c>
      <c r="AU34" s="47">
        <f t="shared" si="37"/>
        <v>0</v>
      </c>
      <c r="AV34" s="47">
        <f t="shared" si="38"/>
        <v>0</v>
      </c>
      <c r="AW34" s="47">
        <f t="shared" si="39"/>
        <v>0</v>
      </c>
      <c r="AX34" s="47">
        <f t="shared" si="40"/>
        <v>0</v>
      </c>
      <c r="AY34" s="47">
        <f t="shared" si="41"/>
        <v>0</v>
      </c>
      <c r="AZ34" s="47">
        <f t="shared" si="42"/>
        <v>0</v>
      </c>
      <c r="BA34" s="47">
        <f t="shared" si="43"/>
        <v>0</v>
      </c>
      <c r="BB34" s="47">
        <f t="shared" si="44"/>
        <v>0</v>
      </c>
      <c r="BC34" s="47">
        <f t="shared" si="45"/>
        <v>-1500602</v>
      </c>
      <c r="BD34" s="47" t="b">
        <f t="shared" si="46"/>
        <v>0</v>
      </c>
      <c r="BE34" s="47" t="b">
        <f t="shared" si="47"/>
        <v>0</v>
      </c>
      <c r="BF34" s="47" t="b">
        <f t="shared" si="48"/>
        <v>0</v>
      </c>
      <c r="BG34" s="47" t="b">
        <f t="shared" si="49"/>
        <v>0</v>
      </c>
      <c r="BH34" s="47" t="b">
        <f t="shared" si="50"/>
        <v>0</v>
      </c>
      <c r="BI34" s="47" t="b">
        <f t="shared" si="51"/>
        <v>0</v>
      </c>
      <c r="BJ34" s="47" t="b">
        <f t="shared" si="52"/>
        <v>0</v>
      </c>
      <c r="BK34" s="69" t="b">
        <f t="shared" si="53"/>
        <v>0</v>
      </c>
      <c r="BL34" s="69" t="b">
        <f t="shared" si="54"/>
        <v>0</v>
      </c>
      <c r="BM34" s="69" t="b">
        <f t="shared" si="55"/>
        <v>0</v>
      </c>
      <c r="BN34" s="69" t="b">
        <f t="shared" si="56"/>
        <v>0</v>
      </c>
      <c r="BO34" s="69" t="b">
        <f t="shared" si="57"/>
        <v>0</v>
      </c>
      <c r="BP34" s="69" t="b">
        <f t="shared" si="58"/>
        <v>0</v>
      </c>
      <c r="BQ34" s="69" t="b">
        <f t="shared" si="59"/>
        <v>0</v>
      </c>
      <c r="BR34" s="69" t="b">
        <f t="shared" si="60"/>
        <v>0</v>
      </c>
      <c r="BS34" s="37" t="b">
        <f t="shared" si="61"/>
        <v>0</v>
      </c>
      <c r="BT34" s="37" t="b">
        <f t="shared" si="62"/>
        <v>0</v>
      </c>
    </row>
    <row r="35" spans="1:72" x14ac:dyDescent="0.25">
      <c r="A35" s="8">
        <v>34</v>
      </c>
      <c r="B35">
        <v>58263</v>
      </c>
      <c r="C35" s="7">
        <v>-162000</v>
      </c>
      <c r="D35" s="7">
        <v>162000</v>
      </c>
      <c r="K35" s="47">
        <f t="shared" si="3"/>
        <v>0</v>
      </c>
      <c r="L35" s="47">
        <f t="shared" si="4"/>
        <v>0</v>
      </c>
      <c r="M35" s="47">
        <f t="shared" si="5"/>
        <v>0</v>
      </c>
      <c r="N35" s="48">
        <f t="shared" si="6"/>
        <v>0</v>
      </c>
      <c r="O35" s="48">
        <f t="shared" si="7"/>
        <v>0</v>
      </c>
      <c r="P35" s="48">
        <f t="shared" si="8"/>
        <v>0</v>
      </c>
      <c r="Q35" s="48">
        <f t="shared" si="9"/>
        <v>0</v>
      </c>
      <c r="R35" s="48">
        <f t="shared" si="10"/>
        <v>0</v>
      </c>
      <c r="S35" s="48">
        <f t="shared" si="11"/>
        <v>0</v>
      </c>
      <c r="T35" s="48">
        <f t="shared" si="12"/>
        <v>0</v>
      </c>
      <c r="U35" s="48">
        <f t="shared" si="13"/>
        <v>0</v>
      </c>
      <c r="V35" s="48">
        <f t="shared" si="14"/>
        <v>0</v>
      </c>
      <c r="W35" s="48">
        <f t="shared" si="15"/>
        <v>-162000</v>
      </c>
      <c r="X35" s="48" t="b">
        <f t="shared" si="16"/>
        <v>0</v>
      </c>
      <c r="Y35" s="48" t="b">
        <f t="shared" si="17"/>
        <v>0</v>
      </c>
      <c r="Z35" s="48" t="b">
        <f t="shared" si="18"/>
        <v>0</v>
      </c>
      <c r="AA35" s="48" t="b">
        <f t="shared" si="19"/>
        <v>0</v>
      </c>
      <c r="AB35" s="48" t="b">
        <f t="shared" si="20"/>
        <v>0</v>
      </c>
      <c r="AC35" s="48" t="b">
        <f t="shared" si="21"/>
        <v>0</v>
      </c>
      <c r="AD35" s="48" t="b">
        <f t="shared" si="22"/>
        <v>0</v>
      </c>
      <c r="AE35" s="48" t="b">
        <f t="shared" si="23"/>
        <v>0</v>
      </c>
      <c r="AF35" s="48" t="b">
        <f t="shared" si="24"/>
        <v>0</v>
      </c>
      <c r="AG35" s="48" t="b">
        <f t="shared" si="25"/>
        <v>0</v>
      </c>
      <c r="AH35" s="48" t="b">
        <f t="shared" si="26"/>
        <v>0</v>
      </c>
      <c r="AI35" s="48" t="b">
        <f t="shared" si="27"/>
        <v>0</v>
      </c>
      <c r="AJ35" s="48" t="b">
        <f t="shared" si="28"/>
        <v>0</v>
      </c>
      <c r="AK35" s="48" t="b">
        <f t="shared" si="29"/>
        <v>0</v>
      </c>
      <c r="AL35" s="48" t="b">
        <f t="shared" si="30"/>
        <v>0</v>
      </c>
      <c r="AM35" s="48" t="b">
        <f t="shared" si="31"/>
        <v>0</v>
      </c>
      <c r="AN35" s="48" t="b">
        <f t="shared" si="32"/>
        <v>0</v>
      </c>
      <c r="AO35" s="48"/>
      <c r="AQ35" s="47">
        <f t="shared" si="33"/>
        <v>0</v>
      </c>
      <c r="AR35" s="47">
        <f t="shared" si="34"/>
        <v>0</v>
      </c>
      <c r="AS35" s="47">
        <f t="shared" si="35"/>
        <v>0</v>
      </c>
      <c r="AT35" s="47">
        <f t="shared" si="36"/>
        <v>0</v>
      </c>
      <c r="AU35" s="47">
        <f t="shared" si="37"/>
        <v>0</v>
      </c>
      <c r="AV35" s="47">
        <f t="shared" si="38"/>
        <v>0</v>
      </c>
      <c r="AW35" s="47">
        <f t="shared" si="39"/>
        <v>0</v>
      </c>
      <c r="AX35" s="47">
        <f t="shared" si="40"/>
        <v>0</v>
      </c>
      <c r="AY35" s="47">
        <f t="shared" si="41"/>
        <v>0</v>
      </c>
      <c r="AZ35" s="47">
        <f t="shared" si="42"/>
        <v>0</v>
      </c>
      <c r="BA35" s="47">
        <f t="shared" si="43"/>
        <v>0</v>
      </c>
      <c r="BB35" s="47">
        <f t="shared" si="44"/>
        <v>0</v>
      </c>
      <c r="BC35" s="47">
        <f t="shared" si="45"/>
        <v>162000</v>
      </c>
      <c r="BD35" s="47" t="b">
        <f t="shared" si="46"/>
        <v>0</v>
      </c>
      <c r="BE35" s="47" t="b">
        <f t="shared" si="47"/>
        <v>0</v>
      </c>
      <c r="BF35" s="47" t="b">
        <f t="shared" si="48"/>
        <v>0</v>
      </c>
      <c r="BG35" s="47" t="b">
        <f t="shared" si="49"/>
        <v>0</v>
      </c>
      <c r="BH35" s="47" t="b">
        <f t="shared" si="50"/>
        <v>0</v>
      </c>
      <c r="BI35" s="47" t="b">
        <f t="shared" si="51"/>
        <v>0</v>
      </c>
      <c r="BJ35" s="47" t="b">
        <f t="shared" si="52"/>
        <v>0</v>
      </c>
      <c r="BK35" s="69" t="b">
        <f t="shared" si="53"/>
        <v>0</v>
      </c>
      <c r="BL35" s="69" t="b">
        <f t="shared" si="54"/>
        <v>0</v>
      </c>
      <c r="BM35" s="69" t="b">
        <f t="shared" si="55"/>
        <v>0</v>
      </c>
      <c r="BN35" s="69" t="b">
        <f t="shared" si="56"/>
        <v>0</v>
      </c>
      <c r="BO35" s="69" t="b">
        <f t="shared" si="57"/>
        <v>0</v>
      </c>
      <c r="BP35" s="69" t="b">
        <f t="shared" si="58"/>
        <v>0</v>
      </c>
      <c r="BQ35" s="69" t="b">
        <f t="shared" si="59"/>
        <v>0</v>
      </c>
      <c r="BR35" s="69" t="b">
        <f t="shared" si="60"/>
        <v>0</v>
      </c>
      <c r="BS35" s="37" t="b">
        <f t="shared" si="61"/>
        <v>0</v>
      </c>
      <c r="BT35" s="37" t="b">
        <f t="shared" si="62"/>
        <v>0</v>
      </c>
    </row>
    <row r="36" spans="1:72" x14ac:dyDescent="0.25">
      <c r="A36" s="8">
        <v>35</v>
      </c>
      <c r="B36">
        <v>58602</v>
      </c>
      <c r="C36" s="7">
        <v>-310000</v>
      </c>
      <c r="D36" s="7">
        <v>309695</v>
      </c>
      <c r="K36" s="47">
        <f t="shared" si="3"/>
        <v>0</v>
      </c>
      <c r="L36" s="47">
        <f t="shared" si="4"/>
        <v>0</v>
      </c>
      <c r="M36" s="47">
        <f t="shared" si="5"/>
        <v>0</v>
      </c>
      <c r="N36" s="48">
        <f t="shared" si="6"/>
        <v>0</v>
      </c>
      <c r="O36" s="48">
        <f t="shared" si="7"/>
        <v>0</v>
      </c>
      <c r="P36" s="48">
        <f t="shared" si="8"/>
        <v>0</v>
      </c>
      <c r="Q36" s="48">
        <f t="shared" si="9"/>
        <v>0</v>
      </c>
      <c r="R36" s="48">
        <f t="shared" si="10"/>
        <v>0</v>
      </c>
      <c r="S36" s="48">
        <f t="shared" si="11"/>
        <v>0</v>
      </c>
      <c r="T36" s="48">
        <f t="shared" si="12"/>
        <v>0</v>
      </c>
      <c r="U36" s="48">
        <f t="shared" si="13"/>
        <v>0</v>
      </c>
      <c r="V36" s="48">
        <f t="shared" si="14"/>
        <v>0</v>
      </c>
      <c r="W36" s="48">
        <f t="shared" si="15"/>
        <v>0</v>
      </c>
      <c r="X36" s="48">
        <f t="shared" si="16"/>
        <v>-310000</v>
      </c>
      <c r="Y36" s="48" t="b">
        <f t="shared" si="17"/>
        <v>0</v>
      </c>
      <c r="Z36" s="48" t="b">
        <f t="shared" si="18"/>
        <v>0</v>
      </c>
      <c r="AA36" s="48" t="b">
        <f t="shared" si="19"/>
        <v>0</v>
      </c>
      <c r="AB36" s="48" t="b">
        <f t="shared" si="20"/>
        <v>0</v>
      </c>
      <c r="AC36" s="48" t="b">
        <f t="shared" si="21"/>
        <v>0</v>
      </c>
      <c r="AD36" s="48" t="b">
        <f t="shared" si="22"/>
        <v>0</v>
      </c>
      <c r="AE36" s="48" t="b">
        <f t="shared" si="23"/>
        <v>0</v>
      </c>
      <c r="AF36" s="48" t="b">
        <f t="shared" si="24"/>
        <v>0</v>
      </c>
      <c r="AG36" s="48" t="b">
        <f t="shared" si="25"/>
        <v>0</v>
      </c>
      <c r="AH36" s="48" t="b">
        <f t="shared" si="26"/>
        <v>0</v>
      </c>
      <c r="AI36" s="48" t="b">
        <f t="shared" si="27"/>
        <v>0</v>
      </c>
      <c r="AJ36" s="48" t="b">
        <f t="shared" si="28"/>
        <v>0</v>
      </c>
      <c r="AK36" s="48" t="b">
        <f t="shared" si="29"/>
        <v>0</v>
      </c>
      <c r="AL36" s="48" t="b">
        <f t="shared" si="30"/>
        <v>0</v>
      </c>
      <c r="AM36" s="48" t="b">
        <f t="shared" si="31"/>
        <v>0</v>
      </c>
      <c r="AN36" s="48" t="b">
        <f t="shared" si="32"/>
        <v>0</v>
      </c>
      <c r="AO36" s="48"/>
      <c r="AQ36" s="47">
        <f t="shared" si="33"/>
        <v>0</v>
      </c>
      <c r="AR36" s="47">
        <f t="shared" si="34"/>
        <v>0</v>
      </c>
      <c r="AS36" s="47">
        <f t="shared" si="35"/>
        <v>0</v>
      </c>
      <c r="AT36" s="47">
        <f t="shared" si="36"/>
        <v>0</v>
      </c>
      <c r="AU36" s="47">
        <f t="shared" si="37"/>
        <v>0</v>
      </c>
      <c r="AV36" s="47">
        <f t="shared" si="38"/>
        <v>0</v>
      </c>
      <c r="AW36" s="47">
        <f t="shared" si="39"/>
        <v>0</v>
      </c>
      <c r="AX36" s="47">
        <f t="shared" si="40"/>
        <v>0</v>
      </c>
      <c r="AY36" s="47">
        <f t="shared" si="41"/>
        <v>0</v>
      </c>
      <c r="AZ36" s="47">
        <f t="shared" si="42"/>
        <v>0</v>
      </c>
      <c r="BA36" s="47">
        <f t="shared" si="43"/>
        <v>0</v>
      </c>
      <c r="BB36" s="47">
        <f t="shared" si="44"/>
        <v>0</v>
      </c>
      <c r="BC36" s="47">
        <f t="shared" si="45"/>
        <v>0</v>
      </c>
      <c r="BD36" s="47">
        <f t="shared" si="46"/>
        <v>309695</v>
      </c>
      <c r="BE36" s="47" t="b">
        <f t="shared" si="47"/>
        <v>0</v>
      </c>
      <c r="BF36" s="47" t="b">
        <f t="shared" si="48"/>
        <v>0</v>
      </c>
      <c r="BG36" s="47" t="b">
        <f t="shared" si="49"/>
        <v>0</v>
      </c>
      <c r="BH36" s="47" t="b">
        <f t="shared" si="50"/>
        <v>0</v>
      </c>
      <c r="BI36" s="47" t="b">
        <f t="shared" si="51"/>
        <v>0</v>
      </c>
      <c r="BJ36" s="47" t="b">
        <f t="shared" si="52"/>
        <v>0</v>
      </c>
      <c r="BK36" s="69" t="b">
        <f t="shared" si="53"/>
        <v>0</v>
      </c>
      <c r="BL36" s="69" t="b">
        <f t="shared" si="54"/>
        <v>0</v>
      </c>
      <c r="BM36" s="69" t="b">
        <f t="shared" si="55"/>
        <v>0</v>
      </c>
      <c r="BN36" s="69" t="b">
        <f t="shared" si="56"/>
        <v>0</v>
      </c>
      <c r="BO36" s="69" t="b">
        <f t="shared" si="57"/>
        <v>0</v>
      </c>
      <c r="BP36" s="69" t="b">
        <f t="shared" si="58"/>
        <v>0</v>
      </c>
      <c r="BQ36" s="69" t="b">
        <f t="shared" si="59"/>
        <v>0</v>
      </c>
      <c r="BR36" s="69" t="b">
        <f t="shared" si="60"/>
        <v>0</v>
      </c>
      <c r="BS36" s="37" t="b">
        <f t="shared" si="61"/>
        <v>0</v>
      </c>
      <c r="BT36" s="37" t="b">
        <f t="shared" si="62"/>
        <v>0</v>
      </c>
    </row>
    <row r="37" spans="1:72" x14ac:dyDescent="0.25">
      <c r="A37" s="8">
        <v>36</v>
      </c>
      <c r="B37">
        <v>59067</v>
      </c>
      <c r="C37" s="7">
        <v>-2335000</v>
      </c>
      <c r="D37" s="7">
        <v>2335000</v>
      </c>
      <c r="K37" s="47">
        <f t="shared" si="3"/>
        <v>0</v>
      </c>
      <c r="L37" s="47">
        <f t="shared" si="4"/>
        <v>0</v>
      </c>
      <c r="M37" s="47">
        <f t="shared" si="5"/>
        <v>0</v>
      </c>
      <c r="N37" s="48">
        <f t="shared" si="6"/>
        <v>0</v>
      </c>
      <c r="O37" s="48">
        <f t="shared" si="7"/>
        <v>0</v>
      </c>
      <c r="P37" s="48">
        <f t="shared" si="8"/>
        <v>0</v>
      </c>
      <c r="Q37" s="48">
        <f t="shared" si="9"/>
        <v>0</v>
      </c>
      <c r="R37" s="48">
        <f t="shared" si="10"/>
        <v>0</v>
      </c>
      <c r="S37" s="48">
        <f t="shared" si="11"/>
        <v>0</v>
      </c>
      <c r="T37" s="48">
        <f t="shared" si="12"/>
        <v>0</v>
      </c>
      <c r="U37" s="48">
        <f t="shared" si="13"/>
        <v>0</v>
      </c>
      <c r="V37" s="48">
        <f t="shared" si="14"/>
        <v>0</v>
      </c>
      <c r="W37" s="48">
        <f t="shared" si="15"/>
        <v>0</v>
      </c>
      <c r="X37" s="48">
        <f t="shared" si="16"/>
        <v>-2335000</v>
      </c>
      <c r="Y37" s="48" t="b">
        <f t="shared" si="17"/>
        <v>0</v>
      </c>
      <c r="Z37" s="48" t="b">
        <f t="shared" si="18"/>
        <v>0</v>
      </c>
      <c r="AA37" s="48" t="b">
        <f t="shared" si="19"/>
        <v>0</v>
      </c>
      <c r="AB37" s="48" t="b">
        <f t="shared" si="20"/>
        <v>0</v>
      </c>
      <c r="AC37" s="48" t="b">
        <f t="shared" si="21"/>
        <v>0</v>
      </c>
      <c r="AD37" s="48" t="b">
        <f t="shared" si="22"/>
        <v>0</v>
      </c>
      <c r="AE37" s="48" t="b">
        <f t="shared" si="23"/>
        <v>0</v>
      </c>
      <c r="AF37" s="48" t="b">
        <f t="shared" si="24"/>
        <v>0</v>
      </c>
      <c r="AG37" s="48" t="b">
        <f t="shared" si="25"/>
        <v>0</v>
      </c>
      <c r="AH37" s="48" t="b">
        <f t="shared" si="26"/>
        <v>0</v>
      </c>
      <c r="AI37" s="48" t="b">
        <f t="shared" si="27"/>
        <v>0</v>
      </c>
      <c r="AJ37" s="48" t="b">
        <f t="shared" si="28"/>
        <v>0</v>
      </c>
      <c r="AK37" s="48" t="b">
        <f t="shared" si="29"/>
        <v>0</v>
      </c>
      <c r="AL37" s="48" t="b">
        <f t="shared" si="30"/>
        <v>0</v>
      </c>
      <c r="AM37" s="48" t="b">
        <f t="shared" si="31"/>
        <v>0</v>
      </c>
      <c r="AN37" s="48" t="b">
        <f t="shared" si="32"/>
        <v>0</v>
      </c>
      <c r="AO37" s="48"/>
      <c r="AQ37" s="47">
        <f t="shared" si="33"/>
        <v>0</v>
      </c>
      <c r="AR37" s="47">
        <f t="shared" si="34"/>
        <v>0</v>
      </c>
      <c r="AS37" s="47">
        <f t="shared" si="35"/>
        <v>0</v>
      </c>
      <c r="AT37" s="47">
        <f t="shared" si="36"/>
        <v>0</v>
      </c>
      <c r="AU37" s="47">
        <f t="shared" si="37"/>
        <v>0</v>
      </c>
      <c r="AV37" s="47">
        <f t="shared" si="38"/>
        <v>0</v>
      </c>
      <c r="AW37" s="47">
        <f t="shared" si="39"/>
        <v>0</v>
      </c>
      <c r="AX37" s="47">
        <f t="shared" si="40"/>
        <v>0</v>
      </c>
      <c r="AY37" s="47">
        <f t="shared" si="41"/>
        <v>0</v>
      </c>
      <c r="AZ37" s="47">
        <f t="shared" si="42"/>
        <v>0</v>
      </c>
      <c r="BA37" s="47">
        <f t="shared" si="43"/>
        <v>0</v>
      </c>
      <c r="BB37" s="47">
        <f t="shared" si="44"/>
        <v>0</v>
      </c>
      <c r="BC37" s="47">
        <f t="shared" si="45"/>
        <v>0</v>
      </c>
      <c r="BD37" s="47">
        <f t="shared" si="46"/>
        <v>2335000</v>
      </c>
      <c r="BE37" s="47" t="b">
        <f t="shared" si="47"/>
        <v>0</v>
      </c>
      <c r="BF37" s="47" t="b">
        <f t="shared" si="48"/>
        <v>0</v>
      </c>
      <c r="BG37" s="47" t="b">
        <f t="shared" si="49"/>
        <v>0</v>
      </c>
      <c r="BH37" s="47" t="b">
        <f t="shared" si="50"/>
        <v>0</v>
      </c>
      <c r="BI37" s="47" t="b">
        <f t="shared" si="51"/>
        <v>0</v>
      </c>
      <c r="BJ37" s="47" t="b">
        <f t="shared" si="52"/>
        <v>0</v>
      </c>
      <c r="BK37" s="69" t="b">
        <f t="shared" si="53"/>
        <v>0</v>
      </c>
      <c r="BL37" s="69" t="b">
        <f t="shared" si="54"/>
        <v>0</v>
      </c>
      <c r="BM37" s="69" t="b">
        <f t="shared" si="55"/>
        <v>0</v>
      </c>
      <c r="BN37" s="69" t="b">
        <f t="shared" si="56"/>
        <v>0</v>
      </c>
      <c r="BO37" s="69" t="b">
        <f t="shared" si="57"/>
        <v>0</v>
      </c>
      <c r="BP37" s="69" t="b">
        <f t="shared" si="58"/>
        <v>0</v>
      </c>
      <c r="BQ37" s="69" t="b">
        <f t="shared" si="59"/>
        <v>0</v>
      </c>
      <c r="BR37" s="69" t="b">
        <f t="shared" si="60"/>
        <v>0</v>
      </c>
      <c r="BS37" s="37" t="b">
        <f t="shared" si="61"/>
        <v>0</v>
      </c>
      <c r="BT37" s="37" t="b">
        <f t="shared" si="62"/>
        <v>0</v>
      </c>
    </row>
    <row r="38" spans="1:72" x14ac:dyDescent="0.25">
      <c r="A38" s="8">
        <v>37</v>
      </c>
      <c r="B38">
        <v>59611</v>
      </c>
      <c r="C38" s="7">
        <v>-1618000</v>
      </c>
      <c r="D38" s="7">
        <v>1619000</v>
      </c>
      <c r="K38" s="47">
        <f t="shared" si="3"/>
        <v>0</v>
      </c>
      <c r="L38" s="47">
        <f t="shared" si="4"/>
        <v>0</v>
      </c>
      <c r="M38" s="47">
        <f t="shared" si="5"/>
        <v>0</v>
      </c>
      <c r="N38" s="48">
        <f t="shared" si="6"/>
        <v>0</v>
      </c>
      <c r="O38" s="48">
        <f t="shared" si="7"/>
        <v>0</v>
      </c>
      <c r="P38" s="48">
        <f t="shared" si="8"/>
        <v>0</v>
      </c>
      <c r="Q38" s="48">
        <f t="shared" si="9"/>
        <v>0</v>
      </c>
      <c r="R38" s="48">
        <f t="shared" si="10"/>
        <v>0</v>
      </c>
      <c r="S38" s="48">
        <f t="shared" si="11"/>
        <v>0</v>
      </c>
      <c r="T38" s="48">
        <f t="shared" si="12"/>
        <v>0</v>
      </c>
      <c r="U38" s="48">
        <f t="shared" si="13"/>
        <v>0</v>
      </c>
      <c r="V38" s="48">
        <f t="shared" si="14"/>
        <v>0</v>
      </c>
      <c r="W38" s="48">
        <f t="shared" si="15"/>
        <v>0</v>
      </c>
      <c r="X38" s="48">
        <f t="shared" si="16"/>
        <v>0</v>
      </c>
      <c r="Y38" s="48">
        <f t="shared" si="17"/>
        <v>-1618000</v>
      </c>
      <c r="Z38" s="48" t="b">
        <f t="shared" si="18"/>
        <v>0</v>
      </c>
      <c r="AA38" s="48" t="b">
        <f t="shared" si="19"/>
        <v>0</v>
      </c>
      <c r="AB38" s="48" t="b">
        <f t="shared" si="20"/>
        <v>0</v>
      </c>
      <c r="AC38" s="48" t="b">
        <f t="shared" si="21"/>
        <v>0</v>
      </c>
      <c r="AD38" s="48" t="b">
        <f t="shared" si="22"/>
        <v>0</v>
      </c>
      <c r="AE38" s="48" t="b">
        <f t="shared" si="23"/>
        <v>0</v>
      </c>
      <c r="AF38" s="48" t="b">
        <f t="shared" si="24"/>
        <v>0</v>
      </c>
      <c r="AG38" s="48" t="b">
        <f t="shared" si="25"/>
        <v>0</v>
      </c>
      <c r="AH38" s="48" t="b">
        <f t="shared" si="26"/>
        <v>0</v>
      </c>
      <c r="AI38" s="48" t="b">
        <f t="shared" si="27"/>
        <v>0</v>
      </c>
      <c r="AJ38" s="48" t="b">
        <f t="shared" si="28"/>
        <v>0</v>
      </c>
      <c r="AK38" s="48" t="b">
        <f t="shared" si="29"/>
        <v>0</v>
      </c>
      <c r="AL38" s="48" t="b">
        <f t="shared" si="30"/>
        <v>0</v>
      </c>
      <c r="AM38" s="48" t="b">
        <f t="shared" si="31"/>
        <v>0</v>
      </c>
      <c r="AN38" s="48" t="b">
        <f t="shared" si="32"/>
        <v>0</v>
      </c>
      <c r="AO38" s="48"/>
      <c r="AQ38" s="47">
        <f t="shared" si="33"/>
        <v>0</v>
      </c>
      <c r="AR38" s="47">
        <f t="shared" si="34"/>
        <v>0</v>
      </c>
      <c r="AS38" s="47">
        <f t="shared" si="35"/>
        <v>0</v>
      </c>
      <c r="AT38" s="47">
        <f t="shared" si="36"/>
        <v>0</v>
      </c>
      <c r="AU38" s="47">
        <f t="shared" si="37"/>
        <v>0</v>
      </c>
      <c r="AV38" s="47">
        <f t="shared" si="38"/>
        <v>0</v>
      </c>
      <c r="AW38" s="47">
        <f t="shared" si="39"/>
        <v>0</v>
      </c>
      <c r="AX38" s="47">
        <f t="shared" si="40"/>
        <v>0</v>
      </c>
      <c r="AY38" s="47">
        <f t="shared" si="41"/>
        <v>0</v>
      </c>
      <c r="AZ38" s="47">
        <f t="shared" si="42"/>
        <v>0</v>
      </c>
      <c r="BA38" s="47">
        <f t="shared" si="43"/>
        <v>0</v>
      </c>
      <c r="BB38" s="47">
        <f t="shared" si="44"/>
        <v>0</v>
      </c>
      <c r="BC38" s="47">
        <f t="shared" si="45"/>
        <v>0</v>
      </c>
      <c r="BD38" s="47">
        <f t="shared" si="46"/>
        <v>0</v>
      </c>
      <c r="BE38" s="47">
        <f t="shared" si="47"/>
        <v>1619000</v>
      </c>
      <c r="BF38" s="47" t="b">
        <f t="shared" si="48"/>
        <v>0</v>
      </c>
      <c r="BG38" s="47" t="b">
        <f t="shared" si="49"/>
        <v>0</v>
      </c>
      <c r="BH38" s="47" t="b">
        <f t="shared" si="50"/>
        <v>0</v>
      </c>
      <c r="BI38" s="47" t="b">
        <f t="shared" si="51"/>
        <v>0</v>
      </c>
      <c r="BJ38" s="47" t="b">
        <f t="shared" si="52"/>
        <v>0</v>
      </c>
      <c r="BK38" s="69" t="b">
        <f t="shared" si="53"/>
        <v>0</v>
      </c>
      <c r="BL38" s="69" t="b">
        <f t="shared" si="54"/>
        <v>0</v>
      </c>
      <c r="BM38" s="69" t="b">
        <f t="shared" si="55"/>
        <v>0</v>
      </c>
      <c r="BN38" s="69" t="b">
        <f t="shared" si="56"/>
        <v>0</v>
      </c>
      <c r="BO38" s="69" t="b">
        <f t="shared" si="57"/>
        <v>0</v>
      </c>
      <c r="BP38" s="69" t="b">
        <f t="shared" si="58"/>
        <v>0</v>
      </c>
      <c r="BQ38" s="69" t="b">
        <f t="shared" si="59"/>
        <v>0</v>
      </c>
      <c r="BR38" s="69" t="b">
        <f t="shared" si="60"/>
        <v>0</v>
      </c>
      <c r="BS38" s="37" t="b">
        <f t="shared" si="61"/>
        <v>0</v>
      </c>
      <c r="BT38" s="37" t="b">
        <f t="shared" si="62"/>
        <v>0</v>
      </c>
    </row>
    <row r="39" spans="1:72" x14ac:dyDescent="0.25">
      <c r="A39" s="8">
        <v>38</v>
      </c>
      <c r="B39">
        <v>59782</v>
      </c>
      <c r="C39" s="7">
        <v>-853000</v>
      </c>
      <c r="D39" s="7">
        <v>853000</v>
      </c>
      <c r="K39" s="47">
        <f t="shared" si="3"/>
        <v>0</v>
      </c>
      <c r="L39" s="47">
        <f t="shared" si="4"/>
        <v>0</v>
      </c>
      <c r="M39" s="47">
        <f t="shared" si="5"/>
        <v>0</v>
      </c>
      <c r="N39" s="48">
        <f t="shared" si="6"/>
        <v>0</v>
      </c>
      <c r="O39" s="48">
        <f t="shared" si="7"/>
        <v>0</v>
      </c>
      <c r="P39" s="48">
        <f t="shared" si="8"/>
        <v>0</v>
      </c>
      <c r="Q39" s="48">
        <f t="shared" si="9"/>
        <v>0</v>
      </c>
      <c r="R39" s="48">
        <f t="shared" si="10"/>
        <v>0</v>
      </c>
      <c r="S39" s="48">
        <f t="shared" si="11"/>
        <v>0</v>
      </c>
      <c r="T39" s="48">
        <f t="shared" si="12"/>
        <v>0</v>
      </c>
      <c r="U39" s="48">
        <f t="shared" si="13"/>
        <v>0</v>
      </c>
      <c r="V39" s="48">
        <f t="shared" si="14"/>
        <v>0</v>
      </c>
      <c r="W39" s="48">
        <f t="shared" si="15"/>
        <v>0</v>
      </c>
      <c r="X39" s="48">
        <f t="shared" si="16"/>
        <v>0</v>
      </c>
      <c r="Y39" s="48">
        <f t="shared" si="17"/>
        <v>-853000</v>
      </c>
      <c r="Z39" s="48" t="b">
        <f t="shared" si="18"/>
        <v>0</v>
      </c>
      <c r="AA39" s="48" t="b">
        <f t="shared" si="19"/>
        <v>0</v>
      </c>
      <c r="AB39" s="48" t="b">
        <f t="shared" si="20"/>
        <v>0</v>
      </c>
      <c r="AC39" s="48" t="b">
        <f t="shared" si="21"/>
        <v>0</v>
      </c>
      <c r="AD39" s="48" t="b">
        <f t="shared" si="22"/>
        <v>0</v>
      </c>
      <c r="AE39" s="48" t="b">
        <f t="shared" si="23"/>
        <v>0</v>
      </c>
      <c r="AF39" s="48" t="b">
        <f t="shared" si="24"/>
        <v>0</v>
      </c>
      <c r="AG39" s="48" t="b">
        <f t="shared" si="25"/>
        <v>0</v>
      </c>
      <c r="AH39" s="48" t="b">
        <f t="shared" si="26"/>
        <v>0</v>
      </c>
      <c r="AI39" s="48" t="b">
        <f t="shared" si="27"/>
        <v>0</v>
      </c>
      <c r="AJ39" s="48" t="b">
        <f t="shared" si="28"/>
        <v>0</v>
      </c>
      <c r="AK39" s="48" t="b">
        <f t="shared" si="29"/>
        <v>0</v>
      </c>
      <c r="AL39" s="48" t="b">
        <f t="shared" si="30"/>
        <v>0</v>
      </c>
      <c r="AM39" s="48" t="b">
        <f t="shared" si="31"/>
        <v>0</v>
      </c>
      <c r="AN39" s="48" t="b">
        <f t="shared" si="32"/>
        <v>0</v>
      </c>
      <c r="AO39" s="48"/>
      <c r="AQ39" s="47">
        <f t="shared" si="33"/>
        <v>0</v>
      </c>
      <c r="AR39" s="47">
        <f t="shared" si="34"/>
        <v>0</v>
      </c>
      <c r="AS39" s="47">
        <f t="shared" si="35"/>
        <v>0</v>
      </c>
      <c r="AT39" s="47">
        <f t="shared" si="36"/>
        <v>0</v>
      </c>
      <c r="AU39" s="47">
        <f t="shared" si="37"/>
        <v>0</v>
      </c>
      <c r="AV39" s="47">
        <f t="shared" si="38"/>
        <v>0</v>
      </c>
      <c r="AW39" s="47">
        <f t="shared" si="39"/>
        <v>0</v>
      </c>
      <c r="AX39" s="47">
        <f t="shared" si="40"/>
        <v>0</v>
      </c>
      <c r="AY39" s="47">
        <f t="shared" si="41"/>
        <v>0</v>
      </c>
      <c r="AZ39" s="47">
        <f t="shared" si="42"/>
        <v>0</v>
      </c>
      <c r="BA39" s="47">
        <f t="shared" si="43"/>
        <v>0</v>
      </c>
      <c r="BB39" s="47">
        <f t="shared" si="44"/>
        <v>0</v>
      </c>
      <c r="BC39" s="47">
        <f t="shared" si="45"/>
        <v>0</v>
      </c>
      <c r="BD39" s="47">
        <f t="shared" si="46"/>
        <v>0</v>
      </c>
      <c r="BE39" s="47">
        <f t="shared" si="47"/>
        <v>853000</v>
      </c>
      <c r="BF39" s="47" t="b">
        <f t="shared" si="48"/>
        <v>0</v>
      </c>
      <c r="BG39" s="47" t="b">
        <f t="shared" si="49"/>
        <v>0</v>
      </c>
      <c r="BH39" s="47" t="b">
        <f t="shared" si="50"/>
        <v>0</v>
      </c>
      <c r="BI39" s="47" t="b">
        <f t="shared" si="51"/>
        <v>0</v>
      </c>
      <c r="BJ39" s="47" t="b">
        <f t="shared" si="52"/>
        <v>0</v>
      </c>
      <c r="BK39" s="69" t="b">
        <f t="shared" si="53"/>
        <v>0</v>
      </c>
      <c r="BL39" s="69" t="b">
        <f t="shared" si="54"/>
        <v>0</v>
      </c>
      <c r="BM39" s="69" t="b">
        <f t="shared" si="55"/>
        <v>0</v>
      </c>
      <c r="BN39" s="69" t="b">
        <f t="shared" si="56"/>
        <v>0</v>
      </c>
      <c r="BO39" s="69" t="b">
        <f t="shared" si="57"/>
        <v>0</v>
      </c>
      <c r="BP39" s="69" t="b">
        <f t="shared" si="58"/>
        <v>0</v>
      </c>
      <c r="BQ39" s="69" t="b">
        <f t="shared" si="59"/>
        <v>0</v>
      </c>
      <c r="BR39" s="69" t="b">
        <f t="shared" si="60"/>
        <v>0</v>
      </c>
      <c r="BS39" s="37" t="b">
        <f t="shared" si="61"/>
        <v>0</v>
      </c>
      <c r="BT39" s="37" t="b">
        <f t="shared" si="62"/>
        <v>0</v>
      </c>
    </row>
    <row r="40" spans="1:72" x14ac:dyDescent="0.25">
      <c r="A40" s="8">
        <v>39</v>
      </c>
      <c r="B40">
        <v>59999</v>
      </c>
      <c r="C40" s="7">
        <v>735000</v>
      </c>
      <c r="D40" s="7">
        <v>-735000</v>
      </c>
      <c r="K40" s="47">
        <f t="shared" si="3"/>
        <v>0</v>
      </c>
      <c r="L40" s="47">
        <f t="shared" si="4"/>
        <v>0</v>
      </c>
      <c r="M40" s="47">
        <f t="shared" si="5"/>
        <v>0</v>
      </c>
      <c r="N40" s="48">
        <f t="shared" si="6"/>
        <v>0</v>
      </c>
      <c r="O40" s="48">
        <f t="shared" si="7"/>
        <v>0</v>
      </c>
      <c r="P40" s="48">
        <f t="shared" si="8"/>
        <v>0</v>
      </c>
      <c r="Q40" s="48">
        <f t="shared" si="9"/>
        <v>0</v>
      </c>
      <c r="R40" s="48">
        <f t="shared" si="10"/>
        <v>0</v>
      </c>
      <c r="S40" s="48">
        <f t="shared" si="11"/>
        <v>0</v>
      </c>
      <c r="T40" s="48">
        <f t="shared" si="12"/>
        <v>0</v>
      </c>
      <c r="U40" s="48">
        <f t="shared" si="13"/>
        <v>0</v>
      </c>
      <c r="V40" s="48">
        <f t="shared" si="14"/>
        <v>0</v>
      </c>
      <c r="W40" s="48">
        <f t="shared" si="15"/>
        <v>0</v>
      </c>
      <c r="X40" s="48">
        <f t="shared" si="16"/>
        <v>0</v>
      </c>
      <c r="Y40" s="48">
        <f t="shared" si="17"/>
        <v>735000</v>
      </c>
      <c r="Z40" s="48" t="b">
        <f t="shared" si="18"/>
        <v>0</v>
      </c>
      <c r="AA40" s="48" t="b">
        <f t="shared" si="19"/>
        <v>0</v>
      </c>
      <c r="AB40" s="48" t="b">
        <f t="shared" si="20"/>
        <v>0</v>
      </c>
      <c r="AC40" s="48" t="b">
        <f t="shared" si="21"/>
        <v>0</v>
      </c>
      <c r="AD40" s="48" t="b">
        <f t="shared" si="22"/>
        <v>0</v>
      </c>
      <c r="AE40" s="48" t="b">
        <f t="shared" si="23"/>
        <v>0</v>
      </c>
      <c r="AF40" s="48" t="b">
        <f t="shared" si="24"/>
        <v>0</v>
      </c>
      <c r="AG40" s="48" t="b">
        <f t="shared" si="25"/>
        <v>0</v>
      </c>
      <c r="AH40" s="48" t="b">
        <f t="shared" si="26"/>
        <v>0</v>
      </c>
      <c r="AI40" s="48" t="b">
        <f t="shared" si="27"/>
        <v>0</v>
      </c>
      <c r="AJ40" s="48" t="b">
        <f t="shared" si="28"/>
        <v>0</v>
      </c>
      <c r="AK40" s="48" t="b">
        <f t="shared" si="29"/>
        <v>0</v>
      </c>
      <c r="AL40" s="48" t="b">
        <f t="shared" si="30"/>
        <v>0</v>
      </c>
      <c r="AM40" s="48" t="b">
        <f t="shared" si="31"/>
        <v>0</v>
      </c>
      <c r="AN40" s="48" t="b">
        <f t="shared" si="32"/>
        <v>0</v>
      </c>
      <c r="AO40" s="48"/>
      <c r="AQ40" s="47">
        <f t="shared" si="33"/>
        <v>0</v>
      </c>
      <c r="AR40" s="47">
        <f t="shared" si="34"/>
        <v>0</v>
      </c>
      <c r="AS40" s="47">
        <f t="shared" si="35"/>
        <v>0</v>
      </c>
      <c r="AT40" s="47">
        <f t="shared" si="36"/>
        <v>0</v>
      </c>
      <c r="AU40" s="47">
        <f t="shared" si="37"/>
        <v>0</v>
      </c>
      <c r="AV40" s="47">
        <f t="shared" si="38"/>
        <v>0</v>
      </c>
      <c r="AW40" s="47">
        <f t="shared" si="39"/>
        <v>0</v>
      </c>
      <c r="AX40" s="47">
        <f t="shared" si="40"/>
        <v>0</v>
      </c>
      <c r="AY40" s="47">
        <f t="shared" si="41"/>
        <v>0</v>
      </c>
      <c r="AZ40" s="47">
        <f t="shared" si="42"/>
        <v>0</v>
      </c>
      <c r="BA40" s="47">
        <f t="shared" si="43"/>
        <v>0</v>
      </c>
      <c r="BB40" s="47">
        <f t="shared" si="44"/>
        <v>0</v>
      </c>
      <c r="BC40" s="47">
        <f t="shared" si="45"/>
        <v>0</v>
      </c>
      <c r="BD40" s="47">
        <f t="shared" si="46"/>
        <v>0</v>
      </c>
      <c r="BE40" s="47">
        <f t="shared" si="47"/>
        <v>-735000</v>
      </c>
      <c r="BF40" s="47" t="b">
        <f t="shared" si="48"/>
        <v>0</v>
      </c>
      <c r="BG40" s="47" t="b">
        <f t="shared" si="49"/>
        <v>0</v>
      </c>
      <c r="BH40" s="47" t="b">
        <f t="shared" si="50"/>
        <v>0</v>
      </c>
      <c r="BI40" s="47" t="b">
        <f t="shared" si="51"/>
        <v>0</v>
      </c>
      <c r="BJ40" s="47" t="b">
        <f t="shared" si="52"/>
        <v>0</v>
      </c>
      <c r="BK40" s="69" t="b">
        <f t="shared" si="53"/>
        <v>0</v>
      </c>
      <c r="BL40" s="69" t="b">
        <f t="shared" si="54"/>
        <v>0</v>
      </c>
      <c r="BM40" s="69" t="b">
        <f t="shared" si="55"/>
        <v>0</v>
      </c>
      <c r="BN40" s="69" t="b">
        <f t="shared" si="56"/>
        <v>0</v>
      </c>
      <c r="BO40" s="69" t="b">
        <f t="shared" si="57"/>
        <v>0</v>
      </c>
      <c r="BP40" s="69" t="b">
        <f t="shared" si="58"/>
        <v>0</v>
      </c>
      <c r="BQ40" s="69" t="b">
        <f t="shared" si="59"/>
        <v>0</v>
      </c>
      <c r="BR40" s="69" t="b">
        <f t="shared" si="60"/>
        <v>0</v>
      </c>
      <c r="BS40" s="37" t="b">
        <f t="shared" si="61"/>
        <v>0</v>
      </c>
      <c r="BT40" s="37" t="b">
        <f t="shared" si="62"/>
        <v>0</v>
      </c>
    </row>
    <row r="41" spans="1:72" x14ac:dyDescent="0.25">
      <c r="A41" s="8">
        <v>40</v>
      </c>
      <c r="B41">
        <v>60422</v>
      </c>
      <c r="C41" s="7">
        <v>-593000</v>
      </c>
      <c r="D41" s="7">
        <v>593295</v>
      </c>
      <c r="K41" s="47">
        <f t="shared" si="3"/>
        <v>0</v>
      </c>
      <c r="L41" s="47">
        <f t="shared" si="4"/>
        <v>0</v>
      </c>
      <c r="M41" s="47">
        <f t="shared" si="5"/>
        <v>0</v>
      </c>
      <c r="N41" s="48">
        <f t="shared" si="6"/>
        <v>0</v>
      </c>
      <c r="O41" s="48">
        <f t="shared" si="7"/>
        <v>0</v>
      </c>
      <c r="P41" s="48">
        <f t="shared" si="8"/>
        <v>0</v>
      </c>
      <c r="Q41" s="48">
        <f t="shared" si="9"/>
        <v>0</v>
      </c>
      <c r="R41" s="48">
        <f t="shared" si="10"/>
        <v>0</v>
      </c>
      <c r="S41" s="48">
        <f t="shared" si="11"/>
        <v>0</v>
      </c>
      <c r="T41" s="48">
        <f t="shared" si="12"/>
        <v>0</v>
      </c>
      <c r="U41" s="48">
        <f t="shared" si="13"/>
        <v>0</v>
      </c>
      <c r="V41" s="48">
        <f t="shared" si="14"/>
        <v>0</v>
      </c>
      <c r="W41" s="48">
        <f t="shared" si="15"/>
        <v>0</v>
      </c>
      <c r="X41" s="48">
        <f t="shared" si="16"/>
        <v>0</v>
      </c>
      <c r="Y41" s="48">
        <f t="shared" si="17"/>
        <v>0</v>
      </c>
      <c r="Z41" s="48">
        <f t="shared" si="18"/>
        <v>-593000</v>
      </c>
      <c r="AA41" s="48" t="b">
        <f t="shared" si="19"/>
        <v>0</v>
      </c>
      <c r="AB41" s="48" t="b">
        <f t="shared" si="20"/>
        <v>0</v>
      </c>
      <c r="AC41" s="48" t="b">
        <f t="shared" si="21"/>
        <v>0</v>
      </c>
      <c r="AD41" s="48" t="b">
        <f t="shared" si="22"/>
        <v>0</v>
      </c>
      <c r="AE41" s="48" t="b">
        <f t="shared" si="23"/>
        <v>0</v>
      </c>
      <c r="AF41" s="48" t="b">
        <f t="shared" si="24"/>
        <v>0</v>
      </c>
      <c r="AG41" s="48" t="b">
        <f t="shared" si="25"/>
        <v>0</v>
      </c>
      <c r="AH41" s="48" t="b">
        <f t="shared" si="26"/>
        <v>0</v>
      </c>
      <c r="AI41" s="48" t="b">
        <f t="shared" si="27"/>
        <v>0</v>
      </c>
      <c r="AJ41" s="48" t="b">
        <f t="shared" si="28"/>
        <v>0</v>
      </c>
      <c r="AK41" s="48" t="b">
        <f t="shared" si="29"/>
        <v>0</v>
      </c>
      <c r="AL41" s="48" t="b">
        <f t="shared" si="30"/>
        <v>0</v>
      </c>
      <c r="AM41" s="48" t="b">
        <f t="shared" si="31"/>
        <v>0</v>
      </c>
      <c r="AN41" s="48" t="b">
        <f t="shared" si="32"/>
        <v>0</v>
      </c>
      <c r="AO41" s="48"/>
      <c r="AQ41" s="47">
        <f t="shared" si="33"/>
        <v>0</v>
      </c>
      <c r="AR41" s="47">
        <f t="shared" si="34"/>
        <v>0</v>
      </c>
      <c r="AS41" s="47">
        <f t="shared" si="35"/>
        <v>0</v>
      </c>
      <c r="AT41" s="47">
        <f t="shared" si="36"/>
        <v>0</v>
      </c>
      <c r="AU41" s="47">
        <f t="shared" si="37"/>
        <v>0</v>
      </c>
      <c r="AV41" s="47">
        <f t="shared" si="38"/>
        <v>0</v>
      </c>
      <c r="AW41" s="47">
        <f t="shared" si="39"/>
        <v>0</v>
      </c>
      <c r="AX41" s="47">
        <f t="shared" si="40"/>
        <v>0</v>
      </c>
      <c r="AY41" s="47">
        <f t="shared" si="41"/>
        <v>0</v>
      </c>
      <c r="AZ41" s="47">
        <f t="shared" si="42"/>
        <v>0</v>
      </c>
      <c r="BA41" s="47">
        <f t="shared" si="43"/>
        <v>0</v>
      </c>
      <c r="BB41" s="47">
        <f t="shared" si="44"/>
        <v>0</v>
      </c>
      <c r="BC41" s="47">
        <f t="shared" si="45"/>
        <v>0</v>
      </c>
      <c r="BD41" s="47">
        <f t="shared" si="46"/>
        <v>0</v>
      </c>
      <c r="BE41" s="47">
        <f t="shared" si="47"/>
        <v>0</v>
      </c>
      <c r="BF41" s="47">
        <f t="shared" si="48"/>
        <v>593295</v>
      </c>
      <c r="BG41" s="47" t="b">
        <f t="shared" si="49"/>
        <v>0</v>
      </c>
      <c r="BH41" s="47" t="b">
        <f t="shared" si="50"/>
        <v>0</v>
      </c>
      <c r="BI41" s="47" t="b">
        <f t="shared" si="51"/>
        <v>0</v>
      </c>
      <c r="BJ41" s="47" t="b">
        <f t="shared" si="52"/>
        <v>0</v>
      </c>
      <c r="BK41" s="69" t="b">
        <f t="shared" si="53"/>
        <v>0</v>
      </c>
      <c r="BL41" s="69" t="b">
        <f t="shared" si="54"/>
        <v>0</v>
      </c>
      <c r="BM41" s="69" t="b">
        <f t="shared" si="55"/>
        <v>0</v>
      </c>
      <c r="BN41" s="69" t="b">
        <f t="shared" si="56"/>
        <v>0</v>
      </c>
      <c r="BO41" s="69" t="b">
        <f t="shared" si="57"/>
        <v>0</v>
      </c>
      <c r="BP41" s="69" t="b">
        <f t="shared" si="58"/>
        <v>0</v>
      </c>
      <c r="BQ41" s="69" t="b">
        <f t="shared" si="59"/>
        <v>0</v>
      </c>
      <c r="BR41" s="69" t="b">
        <f t="shared" si="60"/>
        <v>0</v>
      </c>
      <c r="BS41" s="37" t="b">
        <f t="shared" si="61"/>
        <v>0</v>
      </c>
      <c r="BT41" s="37" t="b">
        <f t="shared" si="62"/>
        <v>0</v>
      </c>
    </row>
    <row r="42" spans="1:72" x14ac:dyDescent="0.25">
      <c r="A42" s="8">
        <v>41</v>
      </c>
      <c r="B42">
        <v>60553</v>
      </c>
      <c r="C42" s="7">
        <v>183516</v>
      </c>
      <c r="D42" s="7">
        <v>-183516</v>
      </c>
      <c r="K42" s="47">
        <f t="shared" si="3"/>
        <v>0</v>
      </c>
      <c r="L42" s="47">
        <f t="shared" si="4"/>
        <v>0</v>
      </c>
      <c r="M42" s="47">
        <f t="shared" si="5"/>
        <v>0</v>
      </c>
      <c r="N42" s="48">
        <f t="shared" si="6"/>
        <v>0</v>
      </c>
      <c r="O42" s="48">
        <f t="shared" si="7"/>
        <v>0</v>
      </c>
      <c r="P42" s="48">
        <f t="shared" si="8"/>
        <v>0</v>
      </c>
      <c r="Q42" s="48">
        <f t="shared" si="9"/>
        <v>0</v>
      </c>
      <c r="R42" s="48">
        <f t="shared" si="10"/>
        <v>0</v>
      </c>
      <c r="S42" s="48">
        <f t="shared" si="11"/>
        <v>0</v>
      </c>
      <c r="T42" s="48">
        <f t="shared" si="12"/>
        <v>0</v>
      </c>
      <c r="U42" s="48">
        <f t="shared" si="13"/>
        <v>0</v>
      </c>
      <c r="V42" s="48">
        <f t="shared" si="14"/>
        <v>0</v>
      </c>
      <c r="W42" s="48">
        <f t="shared" si="15"/>
        <v>0</v>
      </c>
      <c r="X42" s="48">
        <f t="shared" si="16"/>
        <v>0</v>
      </c>
      <c r="Y42" s="48">
        <f t="shared" si="17"/>
        <v>0</v>
      </c>
      <c r="Z42" s="48">
        <f t="shared" si="18"/>
        <v>183516</v>
      </c>
      <c r="AA42" s="48" t="b">
        <f t="shared" si="19"/>
        <v>0</v>
      </c>
      <c r="AB42" s="48" t="b">
        <f t="shared" si="20"/>
        <v>0</v>
      </c>
      <c r="AC42" s="48" t="b">
        <f t="shared" si="21"/>
        <v>0</v>
      </c>
      <c r="AD42" s="48" t="b">
        <f t="shared" si="22"/>
        <v>0</v>
      </c>
      <c r="AE42" s="48" t="b">
        <f t="shared" si="23"/>
        <v>0</v>
      </c>
      <c r="AF42" s="48" t="b">
        <f t="shared" si="24"/>
        <v>0</v>
      </c>
      <c r="AG42" s="48" t="b">
        <f t="shared" si="25"/>
        <v>0</v>
      </c>
      <c r="AH42" s="48" t="b">
        <f t="shared" si="26"/>
        <v>0</v>
      </c>
      <c r="AI42" s="48" t="b">
        <f t="shared" si="27"/>
        <v>0</v>
      </c>
      <c r="AJ42" s="48" t="b">
        <f t="shared" si="28"/>
        <v>0</v>
      </c>
      <c r="AK42" s="48" t="b">
        <f t="shared" si="29"/>
        <v>0</v>
      </c>
      <c r="AL42" s="48" t="b">
        <f t="shared" si="30"/>
        <v>0</v>
      </c>
      <c r="AM42" s="48" t="b">
        <f t="shared" si="31"/>
        <v>0</v>
      </c>
      <c r="AN42" s="48" t="b">
        <f t="shared" si="32"/>
        <v>0</v>
      </c>
      <c r="AO42" s="48"/>
      <c r="AQ42" s="47">
        <f t="shared" si="33"/>
        <v>0</v>
      </c>
      <c r="AR42" s="47">
        <f t="shared" si="34"/>
        <v>0</v>
      </c>
      <c r="AS42" s="47">
        <f t="shared" si="35"/>
        <v>0</v>
      </c>
      <c r="AT42" s="47">
        <f t="shared" si="36"/>
        <v>0</v>
      </c>
      <c r="AU42" s="47">
        <f t="shared" si="37"/>
        <v>0</v>
      </c>
      <c r="AV42" s="47">
        <f t="shared" si="38"/>
        <v>0</v>
      </c>
      <c r="AW42" s="47">
        <f t="shared" si="39"/>
        <v>0</v>
      </c>
      <c r="AX42" s="47">
        <f t="shared" si="40"/>
        <v>0</v>
      </c>
      <c r="AY42" s="47">
        <f t="shared" si="41"/>
        <v>0</v>
      </c>
      <c r="AZ42" s="47">
        <f t="shared" si="42"/>
        <v>0</v>
      </c>
      <c r="BA42" s="47">
        <f t="shared" si="43"/>
        <v>0</v>
      </c>
      <c r="BB42" s="47">
        <f t="shared" si="44"/>
        <v>0</v>
      </c>
      <c r="BC42" s="47">
        <f t="shared" si="45"/>
        <v>0</v>
      </c>
      <c r="BD42" s="47">
        <f t="shared" si="46"/>
        <v>0</v>
      </c>
      <c r="BE42" s="47">
        <f t="shared" si="47"/>
        <v>0</v>
      </c>
      <c r="BF42" s="47">
        <f t="shared" si="48"/>
        <v>-183516</v>
      </c>
      <c r="BG42" s="47" t="b">
        <f t="shared" si="49"/>
        <v>0</v>
      </c>
      <c r="BH42" s="47" t="b">
        <f t="shared" si="50"/>
        <v>0</v>
      </c>
      <c r="BI42" s="47" t="b">
        <f t="shared" si="51"/>
        <v>0</v>
      </c>
      <c r="BJ42" s="47" t="b">
        <f t="shared" si="52"/>
        <v>0</v>
      </c>
      <c r="BK42" s="69" t="b">
        <f t="shared" si="53"/>
        <v>0</v>
      </c>
      <c r="BL42" s="69" t="b">
        <f t="shared" si="54"/>
        <v>0</v>
      </c>
      <c r="BM42" s="69" t="b">
        <f t="shared" si="55"/>
        <v>0</v>
      </c>
      <c r="BN42" s="69" t="b">
        <f t="shared" si="56"/>
        <v>0</v>
      </c>
      <c r="BO42" s="69" t="b">
        <f t="shared" si="57"/>
        <v>0</v>
      </c>
      <c r="BP42" s="69" t="b">
        <f t="shared" si="58"/>
        <v>0</v>
      </c>
      <c r="BQ42" s="69" t="b">
        <f t="shared" si="59"/>
        <v>0</v>
      </c>
      <c r="BR42" s="69" t="b">
        <f t="shared" si="60"/>
        <v>0</v>
      </c>
      <c r="BS42" s="37" t="b">
        <f t="shared" si="61"/>
        <v>0</v>
      </c>
      <c r="BT42" s="37" t="b">
        <f t="shared" si="62"/>
        <v>0</v>
      </c>
    </row>
    <row r="43" spans="1:72" x14ac:dyDescent="0.25">
      <c r="A43" s="8">
        <v>42</v>
      </c>
      <c r="B43">
        <v>63441</v>
      </c>
      <c r="C43" s="7">
        <v>4650000</v>
      </c>
      <c r="D43" s="7">
        <v>-4649000</v>
      </c>
      <c r="K43" s="47">
        <f t="shared" si="3"/>
        <v>0</v>
      </c>
      <c r="L43" s="47">
        <f t="shared" si="4"/>
        <v>0</v>
      </c>
      <c r="M43" s="47">
        <f t="shared" si="5"/>
        <v>0</v>
      </c>
      <c r="N43" s="48">
        <f t="shared" si="6"/>
        <v>0</v>
      </c>
      <c r="O43" s="48">
        <f t="shared" si="7"/>
        <v>0</v>
      </c>
      <c r="P43" s="48">
        <f t="shared" si="8"/>
        <v>0</v>
      </c>
      <c r="Q43" s="48">
        <f t="shared" si="9"/>
        <v>0</v>
      </c>
      <c r="R43" s="48">
        <f t="shared" si="10"/>
        <v>0</v>
      </c>
      <c r="S43" s="48">
        <f t="shared" si="11"/>
        <v>0</v>
      </c>
      <c r="T43" s="48">
        <f t="shared" si="12"/>
        <v>0</v>
      </c>
      <c r="U43" s="48">
        <f t="shared" si="13"/>
        <v>0</v>
      </c>
      <c r="V43" s="48">
        <f t="shared" si="14"/>
        <v>0</v>
      </c>
      <c r="W43" s="48">
        <f t="shared" si="15"/>
        <v>0</v>
      </c>
      <c r="X43" s="48">
        <f t="shared" si="16"/>
        <v>0</v>
      </c>
      <c r="Y43" s="48">
        <f t="shared" si="17"/>
        <v>0</v>
      </c>
      <c r="Z43" s="48">
        <f t="shared" si="18"/>
        <v>0</v>
      </c>
      <c r="AA43" s="48">
        <f t="shared" si="19"/>
        <v>0</v>
      </c>
      <c r="AB43" s="48">
        <f t="shared" si="20"/>
        <v>4650000</v>
      </c>
      <c r="AC43" s="48" t="b">
        <f t="shared" si="21"/>
        <v>0</v>
      </c>
      <c r="AD43" s="48" t="b">
        <f t="shared" si="22"/>
        <v>0</v>
      </c>
      <c r="AE43" s="48" t="b">
        <f t="shared" si="23"/>
        <v>0</v>
      </c>
      <c r="AF43" s="48" t="b">
        <f t="shared" si="24"/>
        <v>0</v>
      </c>
      <c r="AG43" s="48" t="b">
        <f t="shared" si="25"/>
        <v>0</v>
      </c>
      <c r="AH43" s="48" t="b">
        <f t="shared" si="26"/>
        <v>0</v>
      </c>
      <c r="AI43" s="48" t="b">
        <f t="shared" si="27"/>
        <v>0</v>
      </c>
      <c r="AJ43" s="48" t="b">
        <f t="shared" si="28"/>
        <v>0</v>
      </c>
      <c r="AK43" s="48" t="b">
        <f t="shared" si="29"/>
        <v>0</v>
      </c>
      <c r="AL43" s="48" t="b">
        <f t="shared" si="30"/>
        <v>0</v>
      </c>
      <c r="AM43" s="48" t="b">
        <f t="shared" si="31"/>
        <v>0</v>
      </c>
      <c r="AN43" s="48" t="b">
        <f t="shared" si="32"/>
        <v>0</v>
      </c>
      <c r="AO43" s="48"/>
      <c r="AQ43" s="47">
        <f t="shared" si="33"/>
        <v>0</v>
      </c>
      <c r="AR43" s="47">
        <f t="shared" si="34"/>
        <v>0</v>
      </c>
      <c r="AS43" s="47">
        <f t="shared" si="35"/>
        <v>0</v>
      </c>
      <c r="AT43" s="47">
        <f t="shared" si="36"/>
        <v>0</v>
      </c>
      <c r="AU43" s="47">
        <f t="shared" si="37"/>
        <v>0</v>
      </c>
      <c r="AV43" s="47">
        <f t="shared" si="38"/>
        <v>0</v>
      </c>
      <c r="AW43" s="47">
        <f t="shared" si="39"/>
        <v>0</v>
      </c>
      <c r="AX43" s="47">
        <f t="shared" si="40"/>
        <v>0</v>
      </c>
      <c r="AY43" s="47">
        <f t="shared" si="41"/>
        <v>0</v>
      </c>
      <c r="AZ43" s="47">
        <f t="shared" si="42"/>
        <v>0</v>
      </c>
      <c r="BA43" s="47">
        <f t="shared" si="43"/>
        <v>0</v>
      </c>
      <c r="BB43" s="47">
        <f t="shared" si="44"/>
        <v>0</v>
      </c>
      <c r="BC43" s="47">
        <f t="shared" si="45"/>
        <v>0</v>
      </c>
      <c r="BD43" s="47">
        <f t="shared" si="46"/>
        <v>0</v>
      </c>
      <c r="BE43" s="47">
        <f t="shared" si="47"/>
        <v>0</v>
      </c>
      <c r="BF43" s="47">
        <f t="shared" si="48"/>
        <v>0</v>
      </c>
      <c r="BG43" s="47">
        <f t="shared" si="49"/>
        <v>0</v>
      </c>
      <c r="BH43" s="47">
        <f t="shared" si="50"/>
        <v>-4649000</v>
      </c>
      <c r="BI43" s="47" t="b">
        <f t="shared" si="51"/>
        <v>0</v>
      </c>
      <c r="BJ43" s="47" t="b">
        <f t="shared" si="52"/>
        <v>0</v>
      </c>
      <c r="BK43" s="69" t="b">
        <f t="shared" si="53"/>
        <v>0</v>
      </c>
      <c r="BL43" s="69" t="b">
        <f t="shared" si="54"/>
        <v>0</v>
      </c>
      <c r="BM43" s="69" t="b">
        <f t="shared" si="55"/>
        <v>0</v>
      </c>
      <c r="BN43" s="69" t="b">
        <f t="shared" si="56"/>
        <v>0</v>
      </c>
      <c r="BO43" s="69" t="b">
        <f t="shared" si="57"/>
        <v>0</v>
      </c>
      <c r="BP43" s="69" t="b">
        <f t="shared" si="58"/>
        <v>0</v>
      </c>
      <c r="BQ43" s="69" t="b">
        <f t="shared" si="59"/>
        <v>0</v>
      </c>
      <c r="BR43" s="69" t="b">
        <f t="shared" si="60"/>
        <v>0</v>
      </c>
      <c r="BS43" s="37" t="b">
        <f t="shared" si="61"/>
        <v>0</v>
      </c>
      <c r="BT43" s="37" t="b">
        <f t="shared" si="62"/>
        <v>0</v>
      </c>
    </row>
    <row r="44" spans="1:72" x14ac:dyDescent="0.25">
      <c r="A44" s="8">
        <v>43</v>
      </c>
      <c r="B44">
        <v>63740</v>
      </c>
      <c r="C44" s="7">
        <v>-98000</v>
      </c>
      <c r="D44" s="7">
        <v>98000</v>
      </c>
      <c r="K44" s="47">
        <f t="shared" si="3"/>
        <v>0</v>
      </c>
      <c r="L44" s="47">
        <f t="shared" si="4"/>
        <v>0</v>
      </c>
      <c r="M44" s="47">
        <f t="shared" si="5"/>
        <v>0</v>
      </c>
      <c r="N44" s="48">
        <f t="shared" si="6"/>
        <v>0</v>
      </c>
      <c r="O44" s="48">
        <f t="shared" si="7"/>
        <v>0</v>
      </c>
      <c r="P44" s="48">
        <f t="shared" si="8"/>
        <v>0</v>
      </c>
      <c r="Q44" s="48">
        <f t="shared" si="9"/>
        <v>0</v>
      </c>
      <c r="R44" s="48">
        <f t="shared" si="10"/>
        <v>0</v>
      </c>
      <c r="S44" s="48">
        <f t="shared" si="11"/>
        <v>0</v>
      </c>
      <c r="T44" s="48">
        <f t="shared" si="12"/>
        <v>0</v>
      </c>
      <c r="U44" s="48">
        <f t="shared" si="13"/>
        <v>0</v>
      </c>
      <c r="V44" s="48">
        <f t="shared" si="14"/>
        <v>0</v>
      </c>
      <c r="W44" s="48">
        <f t="shared" si="15"/>
        <v>0</v>
      </c>
      <c r="X44" s="48">
        <f t="shared" si="16"/>
        <v>0</v>
      </c>
      <c r="Y44" s="48">
        <f t="shared" si="17"/>
        <v>0</v>
      </c>
      <c r="Z44" s="48">
        <f t="shared" si="18"/>
        <v>0</v>
      </c>
      <c r="AA44" s="48">
        <f t="shared" si="19"/>
        <v>0</v>
      </c>
      <c r="AB44" s="48">
        <f t="shared" si="20"/>
        <v>0</v>
      </c>
      <c r="AC44" s="48">
        <f t="shared" si="21"/>
        <v>-98000</v>
      </c>
      <c r="AD44" s="48" t="b">
        <f t="shared" si="22"/>
        <v>0</v>
      </c>
      <c r="AE44" s="48" t="b">
        <f t="shared" si="23"/>
        <v>0</v>
      </c>
      <c r="AF44" s="48" t="b">
        <f t="shared" si="24"/>
        <v>0</v>
      </c>
      <c r="AG44" s="48" t="b">
        <f t="shared" si="25"/>
        <v>0</v>
      </c>
      <c r="AH44" s="48" t="b">
        <f t="shared" si="26"/>
        <v>0</v>
      </c>
      <c r="AI44" s="48" t="b">
        <f t="shared" si="27"/>
        <v>0</v>
      </c>
      <c r="AJ44" s="48" t="b">
        <f t="shared" si="28"/>
        <v>0</v>
      </c>
      <c r="AK44" s="48" t="b">
        <f t="shared" si="29"/>
        <v>0</v>
      </c>
      <c r="AL44" s="48" t="b">
        <f t="shared" si="30"/>
        <v>0</v>
      </c>
      <c r="AM44" s="48" t="b">
        <f t="shared" si="31"/>
        <v>0</v>
      </c>
      <c r="AN44" s="48" t="b">
        <f t="shared" si="32"/>
        <v>0</v>
      </c>
      <c r="AO44" s="48"/>
      <c r="AQ44" s="47">
        <f t="shared" si="33"/>
        <v>0</v>
      </c>
      <c r="AR44" s="47">
        <f t="shared" si="34"/>
        <v>0</v>
      </c>
      <c r="AS44" s="47">
        <f t="shared" si="35"/>
        <v>0</v>
      </c>
      <c r="AT44" s="47">
        <f t="shared" si="36"/>
        <v>0</v>
      </c>
      <c r="AU44" s="47">
        <f t="shared" si="37"/>
        <v>0</v>
      </c>
      <c r="AV44" s="47">
        <f t="shared" si="38"/>
        <v>0</v>
      </c>
      <c r="AW44" s="47">
        <f t="shared" si="39"/>
        <v>0</v>
      </c>
      <c r="AX44" s="47">
        <f t="shared" si="40"/>
        <v>0</v>
      </c>
      <c r="AY44" s="47">
        <f t="shared" si="41"/>
        <v>0</v>
      </c>
      <c r="AZ44" s="47">
        <f t="shared" si="42"/>
        <v>0</v>
      </c>
      <c r="BA44" s="47">
        <f t="shared" si="43"/>
        <v>0</v>
      </c>
      <c r="BB44" s="47">
        <f t="shared" si="44"/>
        <v>0</v>
      </c>
      <c r="BC44" s="47">
        <f t="shared" si="45"/>
        <v>0</v>
      </c>
      <c r="BD44" s="47">
        <f t="shared" si="46"/>
        <v>0</v>
      </c>
      <c r="BE44" s="47">
        <f t="shared" si="47"/>
        <v>0</v>
      </c>
      <c r="BF44" s="47">
        <f t="shared" si="48"/>
        <v>0</v>
      </c>
      <c r="BG44" s="47">
        <f t="shared" si="49"/>
        <v>0</v>
      </c>
      <c r="BH44" s="47">
        <f t="shared" si="50"/>
        <v>0</v>
      </c>
      <c r="BI44" s="47">
        <f t="shared" si="51"/>
        <v>98000</v>
      </c>
      <c r="BJ44" s="47" t="b">
        <f t="shared" si="52"/>
        <v>0</v>
      </c>
      <c r="BK44" s="69" t="b">
        <f t="shared" si="53"/>
        <v>0</v>
      </c>
      <c r="BL44" s="69" t="b">
        <f t="shared" si="54"/>
        <v>0</v>
      </c>
      <c r="BM44" s="69" t="b">
        <f t="shared" si="55"/>
        <v>0</v>
      </c>
      <c r="BN44" s="69" t="b">
        <f t="shared" si="56"/>
        <v>0</v>
      </c>
      <c r="BO44" s="69" t="b">
        <f t="shared" si="57"/>
        <v>0</v>
      </c>
      <c r="BP44" s="69" t="b">
        <f t="shared" si="58"/>
        <v>0</v>
      </c>
      <c r="BQ44" s="69" t="b">
        <f t="shared" si="59"/>
        <v>0</v>
      </c>
      <c r="BR44" s="69" t="b">
        <f t="shared" si="60"/>
        <v>0</v>
      </c>
      <c r="BS44" s="37" t="b">
        <f t="shared" si="61"/>
        <v>0</v>
      </c>
      <c r="BT44" s="37" t="b">
        <f t="shared" si="62"/>
        <v>0</v>
      </c>
    </row>
    <row r="45" spans="1:72" x14ac:dyDescent="0.25">
      <c r="A45" s="8">
        <v>44</v>
      </c>
      <c r="B45">
        <v>66400</v>
      </c>
      <c r="C45" s="7">
        <v>-664974</v>
      </c>
      <c r="D45" s="7">
        <v>664800</v>
      </c>
      <c r="K45" s="47">
        <f t="shared" si="3"/>
        <v>0</v>
      </c>
      <c r="L45" s="47">
        <f t="shared" si="4"/>
        <v>0</v>
      </c>
      <c r="M45" s="47">
        <f t="shared" si="5"/>
        <v>0</v>
      </c>
      <c r="N45" s="48">
        <f t="shared" si="6"/>
        <v>0</v>
      </c>
      <c r="O45" s="48">
        <f t="shared" si="7"/>
        <v>0</v>
      </c>
      <c r="P45" s="48">
        <f t="shared" si="8"/>
        <v>0</v>
      </c>
      <c r="Q45" s="48">
        <f t="shared" si="9"/>
        <v>0</v>
      </c>
      <c r="R45" s="48">
        <f t="shared" si="10"/>
        <v>0</v>
      </c>
      <c r="S45" s="48">
        <f t="shared" si="11"/>
        <v>0</v>
      </c>
      <c r="T45" s="48">
        <f t="shared" si="12"/>
        <v>0</v>
      </c>
      <c r="U45" s="48">
        <f t="shared" si="13"/>
        <v>0</v>
      </c>
      <c r="V45" s="48">
        <f t="shared" si="14"/>
        <v>0</v>
      </c>
      <c r="W45" s="48">
        <f t="shared" si="15"/>
        <v>0</v>
      </c>
      <c r="X45" s="48">
        <f t="shared" si="16"/>
        <v>0</v>
      </c>
      <c r="Y45" s="48">
        <f t="shared" si="17"/>
        <v>0</v>
      </c>
      <c r="Z45" s="48">
        <f t="shared" si="18"/>
        <v>0</v>
      </c>
      <c r="AA45" s="48">
        <f t="shared" si="19"/>
        <v>0</v>
      </c>
      <c r="AB45" s="48">
        <f t="shared" si="20"/>
        <v>0</v>
      </c>
      <c r="AC45" s="48">
        <f t="shared" si="21"/>
        <v>0</v>
      </c>
      <c r="AD45" s="48">
        <f t="shared" si="22"/>
        <v>0</v>
      </c>
      <c r="AE45" s="48">
        <f t="shared" si="23"/>
        <v>-664974</v>
      </c>
      <c r="AF45" s="48" t="b">
        <f t="shared" si="24"/>
        <v>0</v>
      </c>
      <c r="AG45" s="48" t="b">
        <f t="shared" si="25"/>
        <v>0</v>
      </c>
      <c r="AH45" s="48" t="b">
        <f t="shared" si="26"/>
        <v>0</v>
      </c>
      <c r="AI45" s="48" t="b">
        <f t="shared" si="27"/>
        <v>0</v>
      </c>
      <c r="AJ45" s="48" t="b">
        <f t="shared" si="28"/>
        <v>0</v>
      </c>
      <c r="AK45" s="48" t="b">
        <f t="shared" si="29"/>
        <v>0</v>
      </c>
      <c r="AL45" s="48" t="b">
        <f t="shared" si="30"/>
        <v>0</v>
      </c>
      <c r="AM45" s="48" t="b">
        <f t="shared" si="31"/>
        <v>0</v>
      </c>
      <c r="AN45" s="48" t="b">
        <f t="shared" si="32"/>
        <v>0</v>
      </c>
      <c r="AO45" s="48"/>
      <c r="AQ45" s="47">
        <f t="shared" si="33"/>
        <v>0</v>
      </c>
      <c r="AR45" s="47">
        <f t="shared" si="34"/>
        <v>0</v>
      </c>
      <c r="AS45" s="47">
        <f t="shared" si="35"/>
        <v>0</v>
      </c>
      <c r="AT45" s="47">
        <f t="shared" si="36"/>
        <v>0</v>
      </c>
      <c r="AU45" s="47">
        <f t="shared" si="37"/>
        <v>0</v>
      </c>
      <c r="AV45" s="47">
        <f t="shared" si="38"/>
        <v>0</v>
      </c>
      <c r="AW45" s="47">
        <f t="shared" si="39"/>
        <v>0</v>
      </c>
      <c r="AX45" s="47">
        <f t="shared" si="40"/>
        <v>0</v>
      </c>
      <c r="AY45" s="47">
        <f t="shared" si="41"/>
        <v>0</v>
      </c>
      <c r="AZ45" s="47">
        <f t="shared" si="42"/>
        <v>0</v>
      </c>
      <c r="BA45" s="47">
        <f t="shared" si="43"/>
        <v>0</v>
      </c>
      <c r="BB45" s="47">
        <f t="shared" si="44"/>
        <v>0</v>
      </c>
      <c r="BC45" s="47">
        <f t="shared" si="45"/>
        <v>0</v>
      </c>
      <c r="BD45" s="47">
        <f t="shared" si="46"/>
        <v>0</v>
      </c>
      <c r="BE45" s="47">
        <f t="shared" si="47"/>
        <v>0</v>
      </c>
      <c r="BF45" s="47">
        <f t="shared" si="48"/>
        <v>0</v>
      </c>
      <c r="BG45" s="47">
        <f t="shared" si="49"/>
        <v>0</v>
      </c>
      <c r="BH45" s="47">
        <f t="shared" si="50"/>
        <v>0</v>
      </c>
      <c r="BI45" s="47">
        <f t="shared" si="51"/>
        <v>0</v>
      </c>
      <c r="BJ45" s="47">
        <f t="shared" si="52"/>
        <v>0</v>
      </c>
      <c r="BK45" s="69">
        <f t="shared" si="53"/>
        <v>664800</v>
      </c>
      <c r="BL45" s="69" t="b">
        <f t="shared" si="54"/>
        <v>0</v>
      </c>
      <c r="BM45" s="69" t="b">
        <f t="shared" si="55"/>
        <v>0</v>
      </c>
      <c r="BN45" s="69" t="b">
        <f t="shared" si="56"/>
        <v>0</v>
      </c>
      <c r="BO45" s="69" t="b">
        <f t="shared" si="57"/>
        <v>0</v>
      </c>
      <c r="BP45" s="69" t="b">
        <f t="shared" si="58"/>
        <v>0</v>
      </c>
      <c r="BQ45" s="69" t="b">
        <f t="shared" si="59"/>
        <v>0</v>
      </c>
      <c r="BR45" s="69" t="b">
        <f t="shared" si="60"/>
        <v>0</v>
      </c>
      <c r="BS45" s="37" t="b">
        <f t="shared" si="61"/>
        <v>0</v>
      </c>
      <c r="BT45" s="37" t="b">
        <f t="shared" si="62"/>
        <v>0</v>
      </c>
    </row>
    <row r="46" spans="1:72" x14ac:dyDescent="0.25">
      <c r="A46" s="8">
        <v>45</v>
      </c>
      <c r="B46">
        <v>66611</v>
      </c>
      <c r="C46" s="7">
        <v>4619000</v>
      </c>
      <c r="D46" s="7">
        <v>-4619000</v>
      </c>
      <c r="K46" s="47">
        <f t="shared" si="3"/>
        <v>0</v>
      </c>
      <c r="L46" s="47">
        <f t="shared" si="4"/>
        <v>0</v>
      </c>
      <c r="M46" s="47">
        <f t="shared" si="5"/>
        <v>0</v>
      </c>
      <c r="N46" s="48">
        <f t="shared" si="6"/>
        <v>0</v>
      </c>
      <c r="O46" s="48">
        <f t="shared" si="7"/>
        <v>0</v>
      </c>
      <c r="P46" s="48">
        <f t="shared" si="8"/>
        <v>0</v>
      </c>
      <c r="Q46" s="48">
        <f t="shared" si="9"/>
        <v>0</v>
      </c>
      <c r="R46" s="48">
        <f t="shared" si="10"/>
        <v>0</v>
      </c>
      <c r="S46" s="48">
        <f t="shared" si="11"/>
        <v>0</v>
      </c>
      <c r="T46" s="48">
        <f t="shared" si="12"/>
        <v>0</v>
      </c>
      <c r="U46" s="48">
        <f t="shared" si="13"/>
        <v>0</v>
      </c>
      <c r="V46" s="48">
        <f t="shared" si="14"/>
        <v>0</v>
      </c>
      <c r="W46" s="48">
        <f t="shared" si="15"/>
        <v>0</v>
      </c>
      <c r="X46" s="48">
        <f t="shared" si="16"/>
        <v>0</v>
      </c>
      <c r="Y46" s="48">
        <f t="shared" si="17"/>
        <v>0</v>
      </c>
      <c r="Z46" s="48">
        <f t="shared" si="18"/>
        <v>0</v>
      </c>
      <c r="AA46" s="48">
        <f t="shared" si="19"/>
        <v>0</v>
      </c>
      <c r="AB46" s="48">
        <f t="shared" si="20"/>
        <v>0</v>
      </c>
      <c r="AC46" s="48">
        <f t="shared" si="21"/>
        <v>0</v>
      </c>
      <c r="AD46" s="48">
        <f t="shared" si="22"/>
        <v>0</v>
      </c>
      <c r="AE46" s="48">
        <f t="shared" si="23"/>
        <v>4619000</v>
      </c>
      <c r="AF46" s="48" t="b">
        <f t="shared" si="24"/>
        <v>0</v>
      </c>
      <c r="AG46" s="48" t="b">
        <f t="shared" si="25"/>
        <v>0</v>
      </c>
      <c r="AH46" s="48" t="b">
        <f t="shared" si="26"/>
        <v>0</v>
      </c>
      <c r="AI46" s="48" t="b">
        <f t="shared" si="27"/>
        <v>0</v>
      </c>
      <c r="AJ46" s="48" t="b">
        <f t="shared" si="28"/>
        <v>0</v>
      </c>
      <c r="AK46" s="48" t="b">
        <f t="shared" si="29"/>
        <v>0</v>
      </c>
      <c r="AL46" s="48" t="b">
        <f t="shared" si="30"/>
        <v>0</v>
      </c>
      <c r="AM46" s="48" t="b">
        <f t="shared" si="31"/>
        <v>0</v>
      </c>
      <c r="AN46" s="48" t="b">
        <f t="shared" si="32"/>
        <v>0</v>
      </c>
      <c r="AO46" s="48"/>
      <c r="AQ46" s="47">
        <f t="shared" si="33"/>
        <v>0</v>
      </c>
      <c r="AR46" s="47">
        <f t="shared" si="34"/>
        <v>0</v>
      </c>
      <c r="AS46" s="47">
        <f t="shared" si="35"/>
        <v>0</v>
      </c>
      <c r="AT46" s="47">
        <f t="shared" si="36"/>
        <v>0</v>
      </c>
      <c r="AU46" s="47">
        <f t="shared" si="37"/>
        <v>0</v>
      </c>
      <c r="AV46" s="47">
        <f t="shared" si="38"/>
        <v>0</v>
      </c>
      <c r="AW46" s="47">
        <f t="shared" si="39"/>
        <v>0</v>
      </c>
      <c r="AX46" s="47">
        <f t="shared" si="40"/>
        <v>0</v>
      </c>
      <c r="AY46" s="47">
        <f t="shared" si="41"/>
        <v>0</v>
      </c>
      <c r="AZ46" s="47">
        <f t="shared" si="42"/>
        <v>0</v>
      </c>
      <c r="BA46" s="47">
        <f t="shared" si="43"/>
        <v>0</v>
      </c>
      <c r="BB46" s="47">
        <f t="shared" si="44"/>
        <v>0</v>
      </c>
      <c r="BC46" s="47">
        <f t="shared" si="45"/>
        <v>0</v>
      </c>
      <c r="BD46" s="47">
        <f t="shared" si="46"/>
        <v>0</v>
      </c>
      <c r="BE46" s="47">
        <f t="shared" si="47"/>
        <v>0</v>
      </c>
      <c r="BF46" s="47">
        <f t="shared" si="48"/>
        <v>0</v>
      </c>
      <c r="BG46" s="47">
        <f t="shared" si="49"/>
        <v>0</v>
      </c>
      <c r="BH46" s="47">
        <f t="shared" si="50"/>
        <v>0</v>
      </c>
      <c r="BI46" s="47">
        <f t="shared" si="51"/>
        <v>0</v>
      </c>
      <c r="BJ46" s="47">
        <f t="shared" si="52"/>
        <v>0</v>
      </c>
      <c r="BK46" s="69">
        <f t="shared" si="53"/>
        <v>-4619000</v>
      </c>
      <c r="BL46" s="69" t="b">
        <f t="shared" si="54"/>
        <v>0</v>
      </c>
      <c r="BM46" s="69" t="b">
        <f t="shared" si="55"/>
        <v>0</v>
      </c>
      <c r="BN46" s="69" t="b">
        <f t="shared" si="56"/>
        <v>0</v>
      </c>
      <c r="BO46" s="69" t="b">
        <f t="shared" si="57"/>
        <v>0</v>
      </c>
      <c r="BP46" s="69" t="b">
        <f t="shared" si="58"/>
        <v>0</v>
      </c>
      <c r="BQ46" s="69" t="b">
        <f t="shared" si="59"/>
        <v>0</v>
      </c>
      <c r="BR46" s="69" t="b">
        <f t="shared" si="60"/>
        <v>0</v>
      </c>
      <c r="BS46" s="37" t="b">
        <f t="shared" si="61"/>
        <v>0</v>
      </c>
      <c r="BT46" s="37" t="b">
        <f t="shared" si="62"/>
        <v>0</v>
      </c>
    </row>
    <row r="47" spans="1:72" x14ac:dyDescent="0.25">
      <c r="A47" s="8">
        <v>46</v>
      </c>
      <c r="B47">
        <v>69018</v>
      </c>
      <c r="C47" s="7">
        <v>-372000</v>
      </c>
      <c r="D47" s="7">
        <v>373000</v>
      </c>
      <c r="K47" s="47">
        <f t="shared" si="3"/>
        <v>0</v>
      </c>
      <c r="L47" s="47">
        <f t="shared" si="4"/>
        <v>0</v>
      </c>
      <c r="M47" s="47">
        <f t="shared" si="5"/>
        <v>0</v>
      </c>
      <c r="N47" s="48">
        <f t="shared" si="6"/>
        <v>0</v>
      </c>
      <c r="O47" s="48">
        <f t="shared" si="7"/>
        <v>0</v>
      </c>
      <c r="P47" s="48">
        <f t="shared" si="8"/>
        <v>0</v>
      </c>
      <c r="Q47" s="48">
        <f t="shared" si="9"/>
        <v>0</v>
      </c>
      <c r="R47" s="48">
        <f t="shared" si="10"/>
        <v>0</v>
      </c>
      <c r="S47" s="48">
        <f t="shared" si="11"/>
        <v>0</v>
      </c>
      <c r="T47" s="48">
        <f t="shared" si="12"/>
        <v>0</v>
      </c>
      <c r="U47" s="48">
        <f t="shared" si="13"/>
        <v>0</v>
      </c>
      <c r="V47" s="48">
        <f t="shared" si="14"/>
        <v>0</v>
      </c>
      <c r="W47" s="48">
        <f t="shared" si="15"/>
        <v>0</v>
      </c>
      <c r="X47" s="48">
        <f t="shared" si="16"/>
        <v>0</v>
      </c>
      <c r="Y47" s="48">
        <f t="shared" si="17"/>
        <v>0</v>
      </c>
      <c r="Z47" s="48">
        <f t="shared" si="18"/>
        <v>0</v>
      </c>
      <c r="AA47" s="48">
        <f t="shared" si="19"/>
        <v>0</v>
      </c>
      <c r="AB47" s="48">
        <f t="shared" si="20"/>
        <v>0</v>
      </c>
      <c r="AC47" s="48">
        <f t="shared" si="21"/>
        <v>0</v>
      </c>
      <c r="AD47" s="48">
        <f t="shared" si="22"/>
        <v>0</v>
      </c>
      <c r="AE47" s="48">
        <f t="shared" si="23"/>
        <v>0</v>
      </c>
      <c r="AF47" s="48">
        <f t="shared" si="24"/>
        <v>0</v>
      </c>
      <c r="AG47" s="48">
        <f t="shared" si="25"/>
        <v>0</v>
      </c>
      <c r="AH47" s="48">
        <f t="shared" si="26"/>
        <v>-372000</v>
      </c>
      <c r="AI47" s="48" t="b">
        <f t="shared" si="27"/>
        <v>0</v>
      </c>
      <c r="AJ47" s="48" t="b">
        <f t="shared" si="28"/>
        <v>0</v>
      </c>
      <c r="AK47" s="48" t="b">
        <f t="shared" si="29"/>
        <v>0</v>
      </c>
      <c r="AL47" s="48" t="b">
        <f t="shared" si="30"/>
        <v>0</v>
      </c>
      <c r="AM47" s="48" t="b">
        <f t="shared" si="31"/>
        <v>0</v>
      </c>
      <c r="AN47" s="48" t="b">
        <f t="shared" si="32"/>
        <v>0</v>
      </c>
      <c r="AO47" s="48"/>
      <c r="AQ47" s="47">
        <f t="shared" si="33"/>
        <v>0</v>
      </c>
      <c r="AR47" s="47">
        <f t="shared" si="34"/>
        <v>0</v>
      </c>
      <c r="AS47" s="47">
        <f t="shared" si="35"/>
        <v>0</v>
      </c>
      <c r="AT47" s="47">
        <f t="shared" si="36"/>
        <v>0</v>
      </c>
      <c r="AU47" s="47">
        <f t="shared" si="37"/>
        <v>0</v>
      </c>
      <c r="AV47" s="47">
        <f t="shared" si="38"/>
        <v>0</v>
      </c>
      <c r="AW47" s="47">
        <f t="shared" si="39"/>
        <v>0</v>
      </c>
      <c r="AX47" s="47">
        <f t="shared" si="40"/>
        <v>0</v>
      </c>
      <c r="AY47" s="47">
        <f t="shared" si="41"/>
        <v>0</v>
      </c>
      <c r="AZ47" s="47">
        <f t="shared" si="42"/>
        <v>0</v>
      </c>
      <c r="BA47" s="47">
        <f t="shared" si="43"/>
        <v>0</v>
      </c>
      <c r="BB47" s="47">
        <f t="shared" si="44"/>
        <v>0</v>
      </c>
      <c r="BC47" s="47">
        <f t="shared" si="45"/>
        <v>0</v>
      </c>
      <c r="BD47" s="47">
        <f t="shared" si="46"/>
        <v>0</v>
      </c>
      <c r="BE47" s="47">
        <f t="shared" si="47"/>
        <v>0</v>
      </c>
      <c r="BF47" s="47">
        <f t="shared" si="48"/>
        <v>0</v>
      </c>
      <c r="BG47" s="47">
        <f t="shared" si="49"/>
        <v>0</v>
      </c>
      <c r="BH47" s="47">
        <f t="shared" si="50"/>
        <v>0</v>
      </c>
      <c r="BI47" s="47">
        <f t="shared" si="51"/>
        <v>0</v>
      </c>
      <c r="BJ47" s="47">
        <f t="shared" si="52"/>
        <v>0</v>
      </c>
      <c r="BK47" s="69">
        <f t="shared" si="53"/>
        <v>0</v>
      </c>
      <c r="BL47" s="69">
        <f t="shared" si="54"/>
        <v>0</v>
      </c>
      <c r="BM47" s="69">
        <f t="shared" si="55"/>
        <v>0</v>
      </c>
      <c r="BN47" s="69">
        <f t="shared" si="56"/>
        <v>373000</v>
      </c>
      <c r="BO47" s="69" t="b">
        <f t="shared" si="57"/>
        <v>0</v>
      </c>
      <c r="BP47" s="69" t="b">
        <f t="shared" si="58"/>
        <v>0</v>
      </c>
      <c r="BQ47" s="69" t="b">
        <f t="shared" si="59"/>
        <v>0</v>
      </c>
      <c r="BR47" s="69" t="b">
        <f t="shared" si="60"/>
        <v>0</v>
      </c>
      <c r="BS47" s="37" t="b">
        <f t="shared" si="61"/>
        <v>0</v>
      </c>
      <c r="BT47" s="37" t="b">
        <f t="shared" si="62"/>
        <v>0</v>
      </c>
    </row>
    <row r="48" spans="1:72" x14ac:dyDescent="0.25">
      <c r="A48" s="8">
        <v>47</v>
      </c>
      <c r="B48">
        <v>69398</v>
      </c>
      <c r="C48" s="7">
        <v>-1607000</v>
      </c>
      <c r="D48" s="7">
        <v>1606646</v>
      </c>
      <c r="K48" s="47">
        <f t="shared" si="3"/>
        <v>0</v>
      </c>
      <c r="L48" s="47">
        <f t="shared" si="4"/>
        <v>0</v>
      </c>
      <c r="M48" s="47">
        <f t="shared" si="5"/>
        <v>0</v>
      </c>
      <c r="N48" s="48">
        <f t="shared" si="6"/>
        <v>0</v>
      </c>
      <c r="O48" s="48">
        <f t="shared" si="7"/>
        <v>0</v>
      </c>
      <c r="P48" s="48">
        <f t="shared" si="8"/>
        <v>0</v>
      </c>
      <c r="Q48" s="48">
        <f t="shared" si="9"/>
        <v>0</v>
      </c>
      <c r="R48" s="48">
        <f t="shared" si="10"/>
        <v>0</v>
      </c>
      <c r="S48" s="48">
        <f t="shared" si="11"/>
        <v>0</v>
      </c>
      <c r="T48" s="48">
        <f t="shared" si="12"/>
        <v>0</v>
      </c>
      <c r="U48" s="48">
        <f t="shared" si="13"/>
        <v>0</v>
      </c>
      <c r="V48" s="48">
        <f t="shared" si="14"/>
        <v>0</v>
      </c>
      <c r="W48" s="48">
        <f t="shared" si="15"/>
        <v>0</v>
      </c>
      <c r="X48" s="48">
        <f t="shared" si="16"/>
        <v>0</v>
      </c>
      <c r="Y48" s="48">
        <f t="shared" si="17"/>
        <v>0</v>
      </c>
      <c r="Z48" s="48">
        <f t="shared" si="18"/>
        <v>0</v>
      </c>
      <c r="AA48" s="48">
        <f t="shared" si="19"/>
        <v>0</v>
      </c>
      <c r="AB48" s="48">
        <f t="shared" si="20"/>
        <v>0</v>
      </c>
      <c r="AC48" s="48">
        <f t="shared" si="21"/>
        <v>0</v>
      </c>
      <c r="AD48" s="48">
        <f t="shared" si="22"/>
        <v>0</v>
      </c>
      <c r="AE48" s="48">
        <f t="shared" si="23"/>
        <v>0</v>
      </c>
      <c r="AF48" s="48">
        <f t="shared" si="24"/>
        <v>0</v>
      </c>
      <c r="AG48" s="48">
        <f t="shared" si="25"/>
        <v>0</v>
      </c>
      <c r="AH48" s="48">
        <f t="shared" si="26"/>
        <v>-1607000</v>
      </c>
      <c r="AI48" s="48" t="b">
        <f t="shared" si="27"/>
        <v>0</v>
      </c>
      <c r="AJ48" s="48" t="b">
        <f t="shared" si="28"/>
        <v>0</v>
      </c>
      <c r="AK48" s="48" t="b">
        <f t="shared" si="29"/>
        <v>0</v>
      </c>
      <c r="AL48" s="48" t="b">
        <f t="shared" si="30"/>
        <v>0</v>
      </c>
      <c r="AM48" s="48" t="b">
        <f t="shared" si="31"/>
        <v>0</v>
      </c>
      <c r="AN48" s="48" t="b">
        <f t="shared" si="32"/>
        <v>0</v>
      </c>
      <c r="AO48" s="48"/>
      <c r="AQ48" s="47">
        <f t="shared" si="33"/>
        <v>0</v>
      </c>
      <c r="AR48" s="47">
        <f t="shared" si="34"/>
        <v>0</v>
      </c>
      <c r="AS48" s="47">
        <f t="shared" si="35"/>
        <v>0</v>
      </c>
      <c r="AT48" s="47">
        <f t="shared" si="36"/>
        <v>0</v>
      </c>
      <c r="AU48" s="47">
        <f t="shared" si="37"/>
        <v>0</v>
      </c>
      <c r="AV48" s="47">
        <f t="shared" si="38"/>
        <v>0</v>
      </c>
      <c r="AW48" s="47">
        <f t="shared" si="39"/>
        <v>0</v>
      </c>
      <c r="AX48" s="47">
        <f t="shared" si="40"/>
        <v>0</v>
      </c>
      <c r="AY48" s="47">
        <f t="shared" si="41"/>
        <v>0</v>
      </c>
      <c r="AZ48" s="47">
        <f t="shared" si="42"/>
        <v>0</v>
      </c>
      <c r="BA48" s="47">
        <f t="shared" si="43"/>
        <v>0</v>
      </c>
      <c r="BB48" s="47">
        <f t="shared" si="44"/>
        <v>0</v>
      </c>
      <c r="BC48" s="47">
        <f t="shared" si="45"/>
        <v>0</v>
      </c>
      <c r="BD48" s="47">
        <f t="shared" si="46"/>
        <v>0</v>
      </c>
      <c r="BE48" s="47">
        <f t="shared" si="47"/>
        <v>0</v>
      </c>
      <c r="BF48" s="47">
        <f t="shared" si="48"/>
        <v>0</v>
      </c>
      <c r="BG48" s="47">
        <f t="shared" si="49"/>
        <v>0</v>
      </c>
      <c r="BH48" s="47">
        <f t="shared" si="50"/>
        <v>0</v>
      </c>
      <c r="BI48" s="47">
        <f t="shared" si="51"/>
        <v>0</v>
      </c>
      <c r="BJ48" s="47">
        <f t="shared" si="52"/>
        <v>0</v>
      </c>
      <c r="BK48" s="69">
        <f t="shared" si="53"/>
        <v>0</v>
      </c>
      <c r="BL48" s="69">
        <f t="shared" si="54"/>
        <v>0</v>
      </c>
      <c r="BM48" s="69">
        <f t="shared" si="55"/>
        <v>0</v>
      </c>
      <c r="BN48" s="69">
        <f t="shared" si="56"/>
        <v>1606646</v>
      </c>
      <c r="BO48" s="69" t="b">
        <f t="shared" si="57"/>
        <v>0</v>
      </c>
      <c r="BP48" s="69" t="b">
        <f t="shared" si="58"/>
        <v>0</v>
      </c>
      <c r="BQ48" s="69" t="b">
        <f t="shared" si="59"/>
        <v>0</v>
      </c>
      <c r="BR48" s="69" t="b">
        <f t="shared" si="60"/>
        <v>0</v>
      </c>
      <c r="BS48" s="37" t="b">
        <f t="shared" si="61"/>
        <v>0</v>
      </c>
      <c r="BT48" s="37" t="b">
        <f t="shared" si="62"/>
        <v>0</v>
      </c>
    </row>
    <row r="49" spans="1:72" x14ac:dyDescent="0.25">
      <c r="A49" s="8">
        <v>48</v>
      </c>
      <c r="B49">
        <v>69775</v>
      </c>
      <c r="C49" s="7">
        <v>-725000</v>
      </c>
      <c r="D49" s="7">
        <v>725878</v>
      </c>
      <c r="K49" s="47">
        <f t="shared" si="3"/>
        <v>0</v>
      </c>
      <c r="L49" s="47">
        <f t="shared" si="4"/>
        <v>0</v>
      </c>
      <c r="M49" s="47">
        <f t="shared" si="5"/>
        <v>0</v>
      </c>
      <c r="N49" s="48">
        <f t="shared" si="6"/>
        <v>0</v>
      </c>
      <c r="O49" s="48">
        <f t="shared" si="7"/>
        <v>0</v>
      </c>
      <c r="P49" s="48">
        <f t="shared" si="8"/>
        <v>0</v>
      </c>
      <c r="Q49" s="48">
        <f t="shared" si="9"/>
        <v>0</v>
      </c>
      <c r="R49" s="48">
        <f t="shared" si="10"/>
        <v>0</v>
      </c>
      <c r="S49" s="48">
        <f t="shared" si="11"/>
        <v>0</v>
      </c>
      <c r="T49" s="48">
        <f t="shared" si="12"/>
        <v>0</v>
      </c>
      <c r="U49" s="48">
        <f t="shared" si="13"/>
        <v>0</v>
      </c>
      <c r="V49" s="48">
        <f t="shared" si="14"/>
        <v>0</v>
      </c>
      <c r="W49" s="48">
        <f t="shared" si="15"/>
        <v>0</v>
      </c>
      <c r="X49" s="48">
        <f t="shared" si="16"/>
        <v>0</v>
      </c>
      <c r="Y49" s="48">
        <f t="shared" si="17"/>
        <v>0</v>
      </c>
      <c r="Z49" s="48">
        <f t="shared" si="18"/>
        <v>0</v>
      </c>
      <c r="AA49" s="48">
        <f t="shared" si="19"/>
        <v>0</v>
      </c>
      <c r="AB49" s="48">
        <f t="shared" si="20"/>
        <v>0</v>
      </c>
      <c r="AC49" s="48">
        <f t="shared" si="21"/>
        <v>0</v>
      </c>
      <c r="AD49" s="48">
        <f t="shared" si="22"/>
        <v>0</v>
      </c>
      <c r="AE49" s="48">
        <f t="shared" si="23"/>
        <v>0</v>
      </c>
      <c r="AF49" s="48">
        <f t="shared" si="24"/>
        <v>0</v>
      </c>
      <c r="AG49" s="48">
        <f t="shared" si="25"/>
        <v>0</v>
      </c>
      <c r="AH49" s="48">
        <f t="shared" si="26"/>
        <v>-725000</v>
      </c>
      <c r="AI49" s="48" t="b">
        <f t="shared" si="27"/>
        <v>0</v>
      </c>
      <c r="AJ49" s="48" t="b">
        <f t="shared" si="28"/>
        <v>0</v>
      </c>
      <c r="AK49" s="48" t="b">
        <f t="shared" si="29"/>
        <v>0</v>
      </c>
      <c r="AL49" s="48" t="b">
        <f t="shared" si="30"/>
        <v>0</v>
      </c>
      <c r="AM49" s="48" t="b">
        <f t="shared" si="31"/>
        <v>0</v>
      </c>
      <c r="AN49" s="48" t="b">
        <f t="shared" si="32"/>
        <v>0</v>
      </c>
      <c r="AO49" s="48"/>
      <c r="AQ49" s="47">
        <f t="shared" si="33"/>
        <v>0</v>
      </c>
      <c r="AR49" s="47">
        <f t="shared" si="34"/>
        <v>0</v>
      </c>
      <c r="AS49" s="47">
        <f t="shared" si="35"/>
        <v>0</v>
      </c>
      <c r="AT49" s="47">
        <f t="shared" si="36"/>
        <v>0</v>
      </c>
      <c r="AU49" s="47">
        <f t="shared" si="37"/>
        <v>0</v>
      </c>
      <c r="AV49" s="47">
        <f t="shared" si="38"/>
        <v>0</v>
      </c>
      <c r="AW49" s="47">
        <f t="shared" si="39"/>
        <v>0</v>
      </c>
      <c r="AX49" s="47">
        <f t="shared" si="40"/>
        <v>0</v>
      </c>
      <c r="AY49" s="47">
        <f t="shared" si="41"/>
        <v>0</v>
      </c>
      <c r="AZ49" s="47">
        <f t="shared" si="42"/>
        <v>0</v>
      </c>
      <c r="BA49" s="47">
        <f t="shared" si="43"/>
        <v>0</v>
      </c>
      <c r="BB49" s="47">
        <f t="shared" si="44"/>
        <v>0</v>
      </c>
      <c r="BC49" s="47">
        <f t="shared" si="45"/>
        <v>0</v>
      </c>
      <c r="BD49" s="47">
        <f t="shared" si="46"/>
        <v>0</v>
      </c>
      <c r="BE49" s="47">
        <f t="shared" si="47"/>
        <v>0</v>
      </c>
      <c r="BF49" s="47">
        <f t="shared" si="48"/>
        <v>0</v>
      </c>
      <c r="BG49" s="47">
        <f t="shared" si="49"/>
        <v>0</v>
      </c>
      <c r="BH49" s="47">
        <f t="shared" si="50"/>
        <v>0</v>
      </c>
      <c r="BI49" s="47">
        <f t="shared" si="51"/>
        <v>0</v>
      </c>
      <c r="BJ49" s="47">
        <f t="shared" si="52"/>
        <v>0</v>
      </c>
      <c r="BK49" s="69">
        <f t="shared" si="53"/>
        <v>0</v>
      </c>
      <c r="BL49" s="69">
        <f t="shared" si="54"/>
        <v>0</v>
      </c>
      <c r="BM49" s="69">
        <f t="shared" si="55"/>
        <v>0</v>
      </c>
      <c r="BN49" s="69">
        <f t="shared" si="56"/>
        <v>725878</v>
      </c>
      <c r="BO49" s="69" t="b">
        <f t="shared" si="57"/>
        <v>0</v>
      </c>
      <c r="BP49" s="69" t="b">
        <f t="shared" si="58"/>
        <v>0</v>
      </c>
      <c r="BQ49" s="69" t="b">
        <f t="shared" si="59"/>
        <v>0</v>
      </c>
      <c r="BR49" s="69" t="b">
        <f t="shared" si="60"/>
        <v>0</v>
      </c>
      <c r="BS49" s="37" t="b">
        <f t="shared" si="61"/>
        <v>0</v>
      </c>
      <c r="BT49" s="37" t="b">
        <f t="shared" si="62"/>
        <v>0</v>
      </c>
    </row>
    <row r="50" spans="1:72" x14ac:dyDescent="0.25">
      <c r="A50" s="8">
        <v>49</v>
      </c>
      <c r="B50">
        <v>69894</v>
      </c>
      <c r="C50" s="7">
        <v>-300000</v>
      </c>
      <c r="D50" s="7">
        <v>300000</v>
      </c>
      <c r="K50" s="47">
        <f t="shared" si="3"/>
        <v>0</v>
      </c>
      <c r="L50" s="47">
        <f t="shared" si="4"/>
        <v>0</v>
      </c>
      <c r="M50" s="47">
        <f t="shared" si="5"/>
        <v>0</v>
      </c>
      <c r="N50" s="48">
        <f t="shared" si="6"/>
        <v>0</v>
      </c>
      <c r="O50" s="48">
        <f t="shared" si="7"/>
        <v>0</v>
      </c>
      <c r="P50" s="48">
        <f t="shared" si="8"/>
        <v>0</v>
      </c>
      <c r="Q50" s="48">
        <f t="shared" si="9"/>
        <v>0</v>
      </c>
      <c r="R50" s="48">
        <f t="shared" si="10"/>
        <v>0</v>
      </c>
      <c r="S50" s="48">
        <f t="shared" si="11"/>
        <v>0</v>
      </c>
      <c r="T50" s="48">
        <f t="shared" si="12"/>
        <v>0</v>
      </c>
      <c r="U50" s="48">
        <f t="shared" si="13"/>
        <v>0</v>
      </c>
      <c r="V50" s="48">
        <f t="shared" si="14"/>
        <v>0</v>
      </c>
      <c r="W50" s="48">
        <f t="shared" si="15"/>
        <v>0</v>
      </c>
      <c r="X50" s="48">
        <f t="shared" si="16"/>
        <v>0</v>
      </c>
      <c r="Y50" s="48">
        <f t="shared" si="17"/>
        <v>0</v>
      </c>
      <c r="Z50" s="48">
        <f t="shared" si="18"/>
        <v>0</v>
      </c>
      <c r="AA50" s="48">
        <f t="shared" si="19"/>
        <v>0</v>
      </c>
      <c r="AB50" s="48">
        <f t="shared" si="20"/>
        <v>0</v>
      </c>
      <c r="AC50" s="48">
        <f t="shared" si="21"/>
        <v>0</v>
      </c>
      <c r="AD50" s="48">
        <f t="shared" si="22"/>
        <v>0</v>
      </c>
      <c r="AE50" s="48">
        <f t="shared" si="23"/>
        <v>0</v>
      </c>
      <c r="AF50" s="48">
        <f t="shared" si="24"/>
        <v>0</v>
      </c>
      <c r="AG50" s="48">
        <f t="shared" si="25"/>
        <v>0</v>
      </c>
      <c r="AH50" s="48">
        <f t="shared" si="26"/>
        <v>-300000</v>
      </c>
      <c r="AI50" s="48" t="b">
        <f t="shared" si="27"/>
        <v>0</v>
      </c>
      <c r="AJ50" s="48" t="b">
        <f t="shared" si="28"/>
        <v>0</v>
      </c>
      <c r="AK50" s="48" t="b">
        <f t="shared" si="29"/>
        <v>0</v>
      </c>
      <c r="AL50" s="48" t="b">
        <f t="shared" si="30"/>
        <v>0</v>
      </c>
      <c r="AM50" s="48" t="b">
        <f t="shared" si="31"/>
        <v>0</v>
      </c>
      <c r="AN50" s="48" t="b">
        <f t="shared" si="32"/>
        <v>0</v>
      </c>
      <c r="AO50" s="48"/>
      <c r="AQ50" s="47">
        <f t="shared" si="33"/>
        <v>0</v>
      </c>
      <c r="AR50" s="47">
        <f t="shared" si="34"/>
        <v>0</v>
      </c>
      <c r="AS50" s="47">
        <f t="shared" si="35"/>
        <v>0</v>
      </c>
      <c r="AT50" s="47">
        <f t="shared" si="36"/>
        <v>0</v>
      </c>
      <c r="AU50" s="47">
        <f t="shared" si="37"/>
        <v>0</v>
      </c>
      <c r="AV50" s="47">
        <f t="shared" si="38"/>
        <v>0</v>
      </c>
      <c r="AW50" s="47">
        <f t="shared" si="39"/>
        <v>0</v>
      </c>
      <c r="AX50" s="47">
        <f t="shared" si="40"/>
        <v>0</v>
      </c>
      <c r="AY50" s="47">
        <f t="shared" si="41"/>
        <v>0</v>
      </c>
      <c r="AZ50" s="47">
        <f t="shared" si="42"/>
        <v>0</v>
      </c>
      <c r="BA50" s="47">
        <f t="shared" si="43"/>
        <v>0</v>
      </c>
      <c r="BB50" s="47">
        <f t="shared" si="44"/>
        <v>0</v>
      </c>
      <c r="BC50" s="47">
        <f t="shared" si="45"/>
        <v>0</v>
      </c>
      <c r="BD50" s="47">
        <f t="shared" si="46"/>
        <v>0</v>
      </c>
      <c r="BE50" s="47">
        <f t="shared" si="47"/>
        <v>0</v>
      </c>
      <c r="BF50" s="47">
        <f t="shared" si="48"/>
        <v>0</v>
      </c>
      <c r="BG50" s="47">
        <f t="shared" si="49"/>
        <v>0</v>
      </c>
      <c r="BH50" s="47">
        <f t="shared" si="50"/>
        <v>0</v>
      </c>
      <c r="BI50" s="47">
        <f t="shared" si="51"/>
        <v>0</v>
      </c>
      <c r="BJ50" s="47">
        <f t="shared" si="52"/>
        <v>0</v>
      </c>
      <c r="BK50" s="69">
        <f t="shared" si="53"/>
        <v>0</v>
      </c>
      <c r="BL50" s="69">
        <f t="shared" si="54"/>
        <v>0</v>
      </c>
      <c r="BM50" s="69">
        <f t="shared" si="55"/>
        <v>0</v>
      </c>
      <c r="BN50" s="69">
        <f t="shared" si="56"/>
        <v>300000</v>
      </c>
      <c r="BO50" s="69" t="b">
        <f t="shared" si="57"/>
        <v>0</v>
      </c>
      <c r="BP50" s="69" t="b">
        <f t="shared" si="58"/>
        <v>0</v>
      </c>
      <c r="BQ50" s="69" t="b">
        <f t="shared" si="59"/>
        <v>0</v>
      </c>
      <c r="BR50" s="69" t="b">
        <f t="shared" si="60"/>
        <v>0</v>
      </c>
      <c r="BS50" s="37" t="b">
        <f t="shared" si="61"/>
        <v>0</v>
      </c>
      <c r="BT50" s="37" t="b">
        <f t="shared" si="62"/>
        <v>0</v>
      </c>
    </row>
    <row r="51" spans="1:72" x14ac:dyDescent="0.25">
      <c r="A51" s="8">
        <v>50</v>
      </c>
      <c r="B51">
        <v>70550</v>
      </c>
      <c r="C51" s="7">
        <v>-1149000</v>
      </c>
      <c r="D51" s="7">
        <v>1149013</v>
      </c>
      <c r="K51" s="47">
        <f t="shared" si="3"/>
        <v>0</v>
      </c>
      <c r="L51" s="47">
        <f t="shared" si="4"/>
        <v>0</v>
      </c>
      <c r="M51" s="47">
        <f t="shared" si="5"/>
        <v>0</v>
      </c>
      <c r="N51" s="48">
        <f t="shared" si="6"/>
        <v>0</v>
      </c>
      <c r="O51" s="48">
        <f t="shared" si="7"/>
        <v>0</v>
      </c>
      <c r="P51" s="48">
        <f t="shared" si="8"/>
        <v>0</v>
      </c>
      <c r="Q51" s="48">
        <f t="shared" si="9"/>
        <v>0</v>
      </c>
      <c r="R51" s="48">
        <f t="shared" si="10"/>
        <v>0</v>
      </c>
      <c r="S51" s="48">
        <f t="shared" si="11"/>
        <v>0</v>
      </c>
      <c r="T51" s="48">
        <f t="shared" si="12"/>
        <v>0</v>
      </c>
      <c r="U51" s="48">
        <f t="shared" si="13"/>
        <v>0</v>
      </c>
      <c r="V51" s="48">
        <f t="shared" si="14"/>
        <v>0</v>
      </c>
      <c r="W51" s="48">
        <f t="shared" si="15"/>
        <v>0</v>
      </c>
      <c r="X51" s="48">
        <f t="shared" si="16"/>
        <v>0</v>
      </c>
      <c r="Y51" s="48">
        <f t="shared" si="17"/>
        <v>0</v>
      </c>
      <c r="Z51" s="48">
        <f t="shared" si="18"/>
        <v>0</v>
      </c>
      <c r="AA51" s="48">
        <f t="shared" si="19"/>
        <v>0</v>
      </c>
      <c r="AB51" s="48">
        <f t="shared" si="20"/>
        <v>0</v>
      </c>
      <c r="AC51" s="48">
        <f t="shared" si="21"/>
        <v>0</v>
      </c>
      <c r="AD51" s="48">
        <f t="shared" si="22"/>
        <v>0</v>
      </c>
      <c r="AE51" s="48">
        <f t="shared" si="23"/>
        <v>0</v>
      </c>
      <c r="AF51" s="48">
        <f t="shared" si="24"/>
        <v>0</v>
      </c>
      <c r="AG51" s="48">
        <f t="shared" si="25"/>
        <v>0</v>
      </c>
      <c r="AH51" s="48">
        <f t="shared" si="26"/>
        <v>0</v>
      </c>
      <c r="AI51" s="48">
        <f t="shared" si="27"/>
        <v>-1149000</v>
      </c>
      <c r="AJ51" s="48" t="b">
        <f t="shared" si="28"/>
        <v>0</v>
      </c>
      <c r="AK51" s="48" t="b">
        <f t="shared" si="29"/>
        <v>0</v>
      </c>
      <c r="AL51" s="48" t="b">
        <f t="shared" si="30"/>
        <v>0</v>
      </c>
      <c r="AM51" s="48" t="b">
        <f t="shared" si="31"/>
        <v>0</v>
      </c>
      <c r="AN51" s="48" t="b">
        <f t="shared" si="32"/>
        <v>0</v>
      </c>
      <c r="AO51" s="48"/>
      <c r="AQ51" s="47">
        <f t="shared" si="33"/>
        <v>0</v>
      </c>
      <c r="AR51" s="47">
        <f t="shared" si="34"/>
        <v>0</v>
      </c>
      <c r="AS51" s="47">
        <f t="shared" si="35"/>
        <v>0</v>
      </c>
      <c r="AT51" s="47">
        <f t="shared" si="36"/>
        <v>0</v>
      </c>
      <c r="AU51" s="47">
        <f t="shared" si="37"/>
        <v>0</v>
      </c>
      <c r="AV51" s="47">
        <f t="shared" si="38"/>
        <v>0</v>
      </c>
      <c r="AW51" s="47">
        <f t="shared" si="39"/>
        <v>0</v>
      </c>
      <c r="AX51" s="47">
        <f t="shared" si="40"/>
        <v>0</v>
      </c>
      <c r="AY51" s="47">
        <f t="shared" si="41"/>
        <v>0</v>
      </c>
      <c r="AZ51" s="47">
        <f t="shared" si="42"/>
        <v>0</v>
      </c>
      <c r="BA51" s="47">
        <f t="shared" si="43"/>
        <v>0</v>
      </c>
      <c r="BB51" s="47">
        <f t="shared" si="44"/>
        <v>0</v>
      </c>
      <c r="BC51" s="47">
        <f t="shared" si="45"/>
        <v>0</v>
      </c>
      <c r="BD51" s="47">
        <f t="shared" si="46"/>
        <v>0</v>
      </c>
      <c r="BE51" s="47">
        <f t="shared" si="47"/>
        <v>0</v>
      </c>
      <c r="BF51" s="47">
        <f t="shared" si="48"/>
        <v>0</v>
      </c>
      <c r="BG51" s="47">
        <f t="shared" si="49"/>
        <v>0</v>
      </c>
      <c r="BH51" s="47">
        <f t="shared" si="50"/>
        <v>0</v>
      </c>
      <c r="BI51" s="47">
        <f t="shared" si="51"/>
        <v>0</v>
      </c>
      <c r="BJ51" s="47">
        <f t="shared" si="52"/>
        <v>0</v>
      </c>
      <c r="BK51" s="69">
        <f t="shared" si="53"/>
        <v>0</v>
      </c>
      <c r="BL51" s="69">
        <f t="shared" si="54"/>
        <v>0</v>
      </c>
      <c r="BM51" s="69">
        <f t="shared" si="55"/>
        <v>0</v>
      </c>
      <c r="BN51" s="69">
        <f t="shared" si="56"/>
        <v>0</v>
      </c>
      <c r="BO51" s="69">
        <f t="shared" si="57"/>
        <v>1149013</v>
      </c>
      <c r="BP51" s="69" t="b">
        <f t="shared" si="58"/>
        <v>0</v>
      </c>
      <c r="BQ51" s="69" t="b">
        <f t="shared" si="59"/>
        <v>0</v>
      </c>
      <c r="BR51" s="69" t="b">
        <f t="shared" si="60"/>
        <v>0</v>
      </c>
      <c r="BS51" s="37" t="b">
        <f t="shared" si="61"/>
        <v>0</v>
      </c>
      <c r="BT51" s="37" t="b">
        <f t="shared" si="62"/>
        <v>0</v>
      </c>
    </row>
    <row r="52" spans="1:72" x14ac:dyDescent="0.25">
      <c r="A52" s="8">
        <v>51</v>
      </c>
      <c r="B52">
        <v>71124</v>
      </c>
      <c r="C52" s="7">
        <v>-564000</v>
      </c>
      <c r="D52" s="7">
        <v>563941</v>
      </c>
      <c r="K52" s="47">
        <f t="shared" si="3"/>
        <v>0</v>
      </c>
      <c r="L52" s="47">
        <f t="shared" si="4"/>
        <v>0</v>
      </c>
      <c r="M52" s="47">
        <f t="shared" si="5"/>
        <v>0</v>
      </c>
      <c r="N52" s="48">
        <f t="shared" si="6"/>
        <v>0</v>
      </c>
      <c r="O52" s="48">
        <f t="shared" si="7"/>
        <v>0</v>
      </c>
      <c r="P52" s="48">
        <f t="shared" si="8"/>
        <v>0</v>
      </c>
      <c r="Q52" s="48">
        <f t="shared" si="9"/>
        <v>0</v>
      </c>
      <c r="R52" s="48">
        <f t="shared" si="10"/>
        <v>0</v>
      </c>
      <c r="S52" s="48">
        <f t="shared" si="11"/>
        <v>0</v>
      </c>
      <c r="T52" s="48">
        <f t="shared" si="12"/>
        <v>0</v>
      </c>
      <c r="U52" s="48">
        <f t="shared" si="13"/>
        <v>0</v>
      </c>
      <c r="V52" s="48">
        <f t="shared" si="14"/>
        <v>0</v>
      </c>
      <c r="W52" s="48">
        <f t="shared" si="15"/>
        <v>0</v>
      </c>
      <c r="X52" s="48">
        <f t="shared" si="16"/>
        <v>0</v>
      </c>
      <c r="Y52" s="48">
        <f t="shared" si="17"/>
        <v>0</v>
      </c>
      <c r="Z52" s="48">
        <f t="shared" si="18"/>
        <v>0</v>
      </c>
      <c r="AA52" s="48">
        <f t="shared" si="19"/>
        <v>0</v>
      </c>
      <c r="AB52" s="48">
        <f t="shared" si="20"/>
        <v>0</v>
      </c>
      <c r="AC52" s="48">
        <f t="shared" si="21"/>
        <v>0</v>
      </c>
      <c r="AD52" s="48">
        <f t="shared" si="22"/>
        <v>0</v>
      </c>
      <c r="AE52" s="48">
        <f t="shared" si="23"/>
        <v>0</v>
      </c>
      <c r="AF52" s="48">
        <f t="shared" si="24"/>
        <v>0</v>
      </c>
      <c r="AG52" s="48">
        <f t="shared" si="25"/>
        <v>0</v>
      </c>
      <c r="AH52" s="48">
        <f t="shared" si="26"/>
        <v>0</v>
      </c>
      <c r="AI52" s="48">
        <f t="shared" si="27"/>
        <v>0</v>
      </c>
      <c r="AJ52" s="48">
        <f t="shared" si="28"/>
        <v>-564000</v>
      </c>
      <c r="AK52" s="48" t="b">
        <f t="shared" si="29"/>
        <v>0</v>
      </c>
      <c r="AL52" s="48" t="b">
        <f t="shared" si="30"/>
        <v>0</v>
      </c>
      <c r="AM52" s="48" t="b">
        <f t="shared" si="31"/>
        <v>0</v>
      </c>
      <c r="AN52" s="48" t="b">
        <f t="shared" si="32"/>
        <v>0</v>
      </c>
      <c r="AO52" s="48"/>
      <c r="AQ52" s="47">
        <f t="shared" si="33"/>
        <v>0</v>
      </c>
      <c r="AR52" s="47">
        <f t="shared" si="34"/>
        <v>0</v>
      </c>
      <c r="AS52" s="47">
        <f t="shared" si="35"/>
        <v>0</v>
      </c>
      <c r="AT52" s="47">
        <f t="shared" si="36"/>
        <v>0</v>
      </c>
      <c r="AU52" s="47">
        <f t="shared" si="37"/>
        <v>0</v>
      </c>
      <c r="AV52" s="47">
        <f t="shared" si="38"/>
        <v>0</v>
      </c>
      <c r="AW52" s="47">
        <f t="shared" si="39"/>
        <v>0</v>
      </c>
      <c r="AX52" s="47">
        <f t="shared" si="40"/>
        <v>0</v>
      </c>
      <c r="AY52" s="47">
        <f t="shared" si="41"/>
        <v>0</v>
      </c>
      <c r="AZ52" s="47">
        <f t="shared" si="42"/>
        <v>0</v>
      </c>
      <c r="BA52" s="47">
        <f t="shared" si="43"/>
        <v>0</v>
      </c>
      <c r="BB52" s="47">
        <f t="shared" si="44"/>
        <v>0</v>
      </c>
      <c r="BC52" s="47">
        <f t="shared" si="45"/>
        <v>0</v>
      </c>
      <c r="BD52" s="47">
        <f t="shared" si="46"/>
        <v>0</v>
      </c>
      <c r="BE52" s="47">
        <f t="shared" si="47"/>
        <v>0</v>
      </c>
      <c r="BF52" s="47">
        <f t="shared" si="48"/>
        <v>0</v>
      </c>
      <c r="BG52" s="47">
        <f t="shared" si="49"/>
        <v>0</v>
      </c>
      <c r="BH52" s="47">
        <f t="shared" si="50"/>
        <v>0</v>
      </c>
      <c r="BI52" s="47">
        <f t="shared" si="51"/>
        <v>0</v>
      </c>
      <c r="BJ52" s="47">
        <f t="shared" si="52"/>
        <v>0</v>
      </c>
      <c r="BK52" s="69">
        <f t="shared" si="53"/>
        <v>0</v>
      </c>
      <c r="BL52" s="69">
        <f t="shared" si="54"/>
        <v>0</v>
      </c>
      <c r="BM52" s="69">
        <f t="shared" si="55"/>
        <v>0</v>
      </c>
      <c r="BN52" s="69">
        <f t="shared" si="56"/>
        <v>0</v>
      </c>
      <c r="BO52" s="69">
        <f t="shared" si="57"/>
        <v>0</v>
      </c>
      <c r="BP52" s="69">
        <f t="shared" si="58"/>
        <v>563941</v>
      </c>
      <c r="BQ52" s="69" t="b">
        <f t="shared" si="59"/>
        <v>0</v>
      </c>
      <c r="BR52" s="69" t="b">
        <f t="shared" si="60"/>
        <v>0</v>
      </c>
      <c r="BS52" s="37" t="b">
        <f t="shared" si="61"/>
        <v>0</v>
      </c>
      <c r="BT52" s="37" t="b">
        <f t="shared" si="62"/>
        <v>0</v>
      </c>
    </row>
    <row r="53" spans="1:72" x14ac:dyDescent="0.25">
      <c r="A53" s="8">
        <v>52</v>
      </c>
      <c r="B53">
        <v>72095</v>
      </c>
      <c r="C53" s="7">
        <v>72000</v>
      </c>
      <c r="D53" s="7">
        <v>-72017</v>
      </c>
      <c r="K53" s="47">
        <f t="shared" si="3"/>
        <v>0</v>
      </c>
      <c r="L53" s="47">
        <f t="shared" si="4"/>
        <v>0</v>
      </c>
      <c r="M53" s="47">
        <f t="shared" si="5"/>
        <v>0</v>
      </c>
      <c r="N53" s="48">
        <f t="shared" si="6"/>
        <v>0</v>
      </c>
      <c r="O53" s="48">
        <f t="shared" si="7"/>
        <v>0</v>
      </c>
      <c r="P53" s="48">
        <f t="shared" si="8"/>
        <v>0</v>
      </c>
      <c r="Q53" s="48">
        <f t="shared" si="9"/>
        <v>0</v>
      </c>
      <c r="R53" s="48">
        <f t="shared" si="10"/>
        <v>0</v>
      </c>
      <c r="S53" s="48">
        <f t="shared" si="11"/>
        <v>0</v>
      </c>
      <c r="T53" s="48">
        <f t="shared" si="12"/>
        <v>0</v>
      </c>
      <c r="U53" s="48">
        <f t="shared" si="13"/>
        <v>0</v>
      </c>
      <c r="V53" s="48">
        <f t="shared" si="14"/>
        <v>0</v>
      </c>
      <c r="W53" s="48">
        <f t="shared" si="15"/>
        <v>0</v>
      </c>
      <c r="X53" s="48">
        <f t="shared" si="16"/>
        <v>0</v>
      </c>
      <c r="Y53" s="48">
        <f t="shared" si="17"/>
        <v>0</v>
      </c>
      <c r="Z53" s="48">
        <f t="shared" si="18"/>
        <v>0</v>
      </c>
      <c r="AA53" s="48">
        <f t="shared" si="19"/>
        <v>0</v>
      </c>
      <c r="AB53" s="48">
        <f t="shared" si="20"/>
        <v>0</v>
      </c>
      <c r="AC53" s="48">
        <f t="shared" si="21"/>
        <v>0</v>
      </c>
      <c r="AD53" s="48">
        <f t="shared" si="22"/>
        <v>0</v>
      </c>
      <c r="AE53" s="48">
        <f t="shared" si="23"/>
        <v>0</v>
      </c>
      <c r="AF53" s="48">
        <f t="shared" si="24"/>
        <v>0</v>
      </c>
      <c r="AG53" s="48">
        <f t="shared" si="25"/>
        <v>0</v>
      </c>
      <c r="AH53" s="48">
        <f t="shared" si="26"/>
        <v>0</v>
      </c>
      <c r="AI53" s="48">
        <f t="shared" si="27"/>
        <v>0</v>
      </c>
      <c r="AJ53" s="48">
        <f t="shared" si="28"/>
        <v>0</v>
      </c>
      <c r="AK53" s="48">
        <f t="shared" si="29"/>
        <v>72000</v>
      </c>
      <c r="AL53" s="48" t="b">
        <f t="shared" si="30"/>
        <v>0</v>
      </c>
      <c r="AM53" s="48" t="b">
        <f t="shared" si="31"/>
        <v>0</v>
      </c>
      <c r="AN53" s="48" t="b">
        <f t="shared" si="32"/>
        <v>0</v>
      </c>
      <c r="AO53" s="48"/>
      <c r="AQ53" s="47">
        <f t="shared" si="33"/>
        <v>0</v>
      </c>
      <c r="AR53" s="47">
        <f t="shared" si="34"/>
        <v>0</v>
      </c>
      <c r="AS53" s="47">
        <f t="shared" si="35"/>
        <v>0</v>
      </c>
      <c r="AT53" s="47">
        <f t="shared" si="36"/>
        <v>0</v>
      </c>
      <c r="AU53" s="47">
        <f t="shared" si="37"/>
        <v>0</v>
      </c>
      <c r="AV53" s="47">
        <f t="shared" si="38"/>
        <v>0</v>
      </c>
      <c r="AW53" s="47">
        <f t="shared" si="39"/>
        <v>0</v>
      </c>
      <c r="AX53" s="47">
        <f t="shared" si="40"/>
        <v>0</v>
      </c>
      <c r="AY53" s="47">
        <f t="shared" si="41"/>
        <v>0</v>
      </c>
      <c r="AZ53" s="47">
        <f t="shared" si="42"/>
        <v>0</v>
      </c>
      <c r="BA53" s="47">
        <f t="shared" si="43"/>
        <v>0</v>
      </c>
      <c r="BB53" s="47">
        <f t="shared" si="44"/>
        <v>0</v>
      </c>
      <c r="BC53" s="47">
        <f t="shared" si="45"/>
        <v>0</v>
      </c>
      <c r="BD53" s="47">
        <f t="shared" si="46"/>
        <v>0</v>
      </c>
      <c r="BE53" s="47">
        <f t="shared" si="47"/>
        <v>0</v>
      </c>
      <c r="BF53" s="47">
        <f t="shared" si="48"/>
        <v>0</v>
      </c>
      <c r="BG53" s="47">
        <f t="shared" si="49"/>
        <v>0</v>
      </c>
      <c r="BH53" s="47">
        <f t="shared" si="50"/>
        <v>0</v>
      </c>
      <c r="BI53" s="47">
        <f t="shared" si="51"/>
        <v>0</v>
      </c>
      <c r="BJ53" s="47">
        <f t="shared" si="52"/>
        <v>0</v>
      </c>
      <c r="BK53" s="69">
        <f t="shared" si="53"/>
        <v>0</v>
      </c>
      <c r="BL53" s="69">
        <f t="shared" si="54"/>
        <v>0</v>
      </c>
      <c r="BM53" s="69">
        <f t="shared" si="55"/>
        <v>0</v>
      </c>
      <c r="BN53" s="69">
        <f t="shared" si="56"/>
        <v>0</v>
      </c>
      <c r="BO53" s="69">
        <f t="shared" si="57"/>
        <v>0</v>
      </c>
      <c r="BP53" s="69">
        <f t="shared" si="58"/>
        <v>0</v>
      </c>
      <c r="BQ53" s="69">
        <f t="shared" si="59"/>
        <v>-72017</v>
      </c>
      <c r="BR53" s="69" t="b">
        <f t="shared" si="60"/>
        <v>0</v>
      </c>
      <c r="BS53" s="37" t="b">
        <f t="shared" si="61"/>
        <v>0</v>
      </c>
      <c r="BT53" s="37" t="b">
        <f t="shared" si="62"/>
        <v>0</v>
      </c>
    </row>
    <row r="54" spans="1:72" x14ac:dyDescent="0.25">
      <c r="A54" s="8">
        <v>53</v>
      </c>
      <c r="B54">
        <v>72119</v>
      </c>
      <c r="C54" s="7">
        <v>-960000</v>
      </c>
      <c r="D54" s="7">
        <v>958902</v>
      </c>
      <c r="K54" s="47">
        <f t="shared" si="3"/>
        <v>0</v>
      </c>
      <c r="L54" s="47">
        <f t="shared" si="4"/>
        <v>0</v>
      </c>
      <c r="M54" s="47">
        <f t="shared" si="5"/>
        <v>0</v>
      </c>
      <c r="N54" s="48">
        <f t="shared" si="6"/>
        <v>0</v>
      </c>
      <c r="O54" s="48">
        <f t="shared" si="7"/>
        <v>0</v>
      </c>
      <c r="P54" s="48">
        <f t="shared" si="8"/>
        <v>0</v>
      </c>
      <c r="Q54" s="48">
        <f t="shared" si="9"/>
        <v>0</v>
      </c>
      <c r="R54" s="48">
        <f t="shared" si="10"/>
        <v>0</v>
      </c>
      <c r="S54" s="48">
        <f t="shared" si="11"/>
        <v>0</v>
      </c>
      <c r="T54" s="48">
        <f t="shared" si="12"/>
        <v>0</v>
      </c>
      <c r="U54" s="48">
        <f t="shared" si="13"/>
        <v>0</v>
      </c>
      <c r="V54" s="48">
        <f t="shared" si="14"/>
        <v>0</v>
      </c>
      <c r="W54" s="48">
        <f t="shared" si="15"/>
        <v>0</v>
      </c>
      <c r="X54" s="48">
        <f t="shared" si="16"/>
        <v>0</v>
      </c>
      <c r="Y54" s="48">
        <f t="shared" si="17"/>
        <v>0</v>
      </c>
      <c r="Z54" s="48">
        <f t="shared" si="18"/>
        <v>0</v>
      </c>
      <c r="AA54" s="48">
        <f t="shared" si="19"/>
        <v>0</v>
      </c>
      <c r="AB54" s="48">
        <f t="shared" si="20"/>
        <v>0</v>
      </c>
      <c r="AC54" s="48">
        <f t="shared" si="21"/>
        <v>0</v>
      </c>
      <c r="AD54" s="48">
        <f t="shared" si="22"/>
        <v>0</v>
      </c>
      <c r="AE54" s="48">
        <f t="shared" si="23"/>
        <v>0</v>
      </c>
      <c r="AF54" s="48">
        <f t="shared" si="24"/>
        <v>0</v>
      </c>
      <c r="AG54" s="48">
        <f t="shared" si="25"/>
        <v>0</v>
      </c>
      <c r="AH54" s="48">
        <f t="shared" si="26"/>
        <v>0</v>
      </c>
      <c r="AI54" s="48">
        <f t="shared" si="27"/>
        <v>0</v>
      </c>
      <c r="AJ54" s="48">
        <f t="shared" si="28"/>
        <v>0</v>
      </c>
      <c r="AK54" s="48">
        <f t="shared" si="29"/>
        <v>-960000</v>
      </c>
      <c r="AL54" s="48" t="b">
        <f t="shared" si="30"/>
        <v>0</v>
      </c>
      <c r="AM54" s="48" t="b">
        <f t="shared" si="31"/>
        <v>0</v>
      </c>
      <c r="AN54" s="48" t="b">
        <f t="shared" si="32"/>
        <v>0</v>
      </c>
      <c r="AO54" s="48"/>
      <c r="AQ54" s="47">
        <f t="shared" si="33"/>
        <v>0</v>
      </c>
      <c r="AR54" s="47">
        <f t="shared" si="34"/>
        <v>0</v>
      </c>
      <c r="AS54" s="47">
        <f t="shared" si="35"/>
        <v>0</v>
      </c>
      <c r="AT54" s="47">
        <f t="shared" si="36"/>
        <v>0</v>
      </c>
      <c r="AU54" s="47">
        <f t="shared" si="37"/>
        <v>0</v>
      </c>
      <c r="AV54" s="47">
        <f t="shared" si="38"/>
        <v>0</v>
      </c>
      <c r="AW54" s="47">
        <f t="shared" si="39"/>
        <v>0</v>
      </c>
      <c r="AX54" s="47">
        <f t="shared" si="40"/>
        <v>0</v>
      </c>
      <c r="AY54" s="47">
        <f t="shared" si="41"/>
        <v>0</v>
      </c>
      <c r="AZ54" s="47">
        <f t="shared" si="42"/>
        <v>0</v>
      </c>
      <c r="BA54" s="47">
        <f t="shared" si="43"/>
        <v>0</v>
      </c>
      <c r="BB54" s="47">
        <f t="shared" si="44"/>
        <v>0</v>
      </c>
      <c r="BC54" s="47">
        <f t="shared" si="45"/>
        <v>0</v>
      </c>
      <c r="BD54" s="47">
        <f t="shared" si="46"/>
        <v>0</v>
      </c>
      <c r="BE54" s="47">
        <f t="shared" si="47"/>
        <v>0</v>
      </c>
      <c r="BF54" s="47">
        <f t="shared" si="48"/>
        <v>0</v>
      </c>
      <c r="BG54" s="47">
        <f t="shared" si="49"/>
        <v>0</v>
      </c>
      <c r="BH54" s="47">
        <f t="shared" si="50"/>
        <v>0</v>
      </c>
      <c r="BI54" s="47">
        <f t="shared" si="51"/>
        <v>0</v>
      </c>
      <c r="BJ54" s="47">
        <f t="shared" si="52"/>
        <v>0</v>
      </c>
      <c r="BK54" s="69">
        <f t="shared" si="53"/>
        <v>0</v>
      </c>
      <c r="BL54" s="69">
        <f t="shared" si="54"/>
        <v>0</v>
      </c>
      <c r="BM54" s="69">
        <f t="shared" si="55"/>
        <v>0</v>
      </c>
      <c r="BN54" s="69">
        <f t="shared" si="56"/>
        <v>0</v>
      </c>
      <c r="BO54" s="69">
        <f t="shared" si="57"/>
        <v>0</v>
      </c>
      <c r="BP54" s="69">
        <f t="shared" si="58"/>
        <v>0</v>
      </c>
      <c r="BQ54" s="69">
        <f t="shared" si="59"/>
        <v>958902</v>
      </c>
      <c r="BR54" s="69" t="b">
        <f t="shared" si="60"/>
        <v>0</v>
      </c>
      <c r="BS54" s="37" t="b">
        <f t="shared" si="61"/>
        <v>0</v>
      </c>
      <c r="BT54" s="37" t="b">
        <f t="shared" si="62"/>
        <v>0</v>
      </c>
    </row>
    <row r="55" spans="1:72" x14ac:dyDescent="0.25">
      <c r="A55" s="8">
        <v>54</v>
      </c>
      <c r="B55">
        <v>74238</v>
      </c>
      <c r="C55" s="7">
        <v>-1116000</v>
      </c>
      <c r="D55" s="7">
        <v>1115529</v>
      </c>
      <c r="K55" s="47">
        <f t="shared" si="3"/>
        <v>0</v>
      </c>
      <c r="L55" s="47">
        <f t="shared" si="4"/>
        <v>0</v>
      </c>
      <c r="M55" s="47">
        <f t="shared" si="5"/>
        <v>0</v>
      </c>
      <c r="N55" s="48">
        <f t="shared" si="6"/>
        <v>0</v>
      </c>
      <c r="O55" s="48">
        <f t="shared" si="7"/>
        <v>0</v>
      </c>
      <c r="P55" s="48">
        <f t="shared" si="8"/>
        <v>0</v>
      </c>
      <c r="Q55" s="48">
        <f t="shared" si="9"/>
        <v>0</v>
      </c>
      <c r="R55" s="48">
        <f t="shared" si="10"/>
        <v>0</v>
      </c>
      <c r="S55" s="48">
        <f t="shared" si="11"/>
        <v>0</v>
      </c>
      <c r="T55" s="48">
        <f t="shared" si="12"/>
        <v>0</v>
      </c>
      <c r="U55" s="48">
        <f t="shared" si="13"/>
        <v>0</v>
      </c>
      <c r="V55" s="48">
        <f t="shared" si="14"/>
        <v>0</v>
      </c>
      <c r="W55" s="48">
        <f t="shared" si="15"/>
        <v>0</v>
      </c>
      <c r="X55" s="48">
        <f t="shared" si="16"/>
        <v>0</v>
      </c>
      <c r="Y55" s="48">
        <f t="shared" si="17"/>
        <v>0</v>
      </c>
      <c r="Z55" s="48">
        <f t="shared" si="18"/>
        <v>0</v>
      </c>
      <c r="AA55" s="48">
        <f t="shared" si="19"/>
        <v>0</v>
      </c>
      <c r="AB55" s="48">
        <f t="shared" si="20"/>
        <v>0</v>
      </c>
      <c r="AC55" s="48">
        <f t="shared" si="21"/>
        <v>0</v>
      </c>
      <c r="AD55" s="48">
        <f t="shared" si="22"/>
        <v>0</v>
      </c>
      <c r="AE55" s="48">
        <f t="shared" si="23"/>
        <v>0</v>
      </c>
      <c r="AF55" s="48">
        <f t="shared" si="24"/>
        <v>0</v>
      </c>
      <c r="AG55" s="48">
        <f t="shared" si="25"/>
        <v>0</v>
      </c>
      <c r="AH55" s="48">
        <f t="shared" si="26"/>
        <v>0</v>
      </c>
      <c r="AI55" s="48">
        <f t="shared" si="27"/>
        <v>0</v>
      </c>
      <c r="AJ55" s="48">
        <f t="shared" si="28"/>
        <v>0</v>
      </c>
      <c r="AK55" s="48">
        <f t="shared" si="29"/>
        <v>0</v>
      </c>
      <c r="AL55" s="48">
        <f t="shared" si="30"/>
        <v>0</v>
      </c>
      <c r="AM55" s="48">
        <f t="shared" si="31"/>
        <v>-1116000</v>
      </c>
      <c r="AN55" s="48" t="b">
        <f t="shared" si="32"/>
        <v>0</v>
      </c>
      <c r="AO55" s="48"/>
      <c r="AQ55" s="47">
        <f t="shared" si="33"/>
        <v>0</v>
      </c>
      <c r="AR55" s="47">
        <f t="shared" si="34"/>
        <v>0</v>
      </c>
      <c r="AS55" s="47">
        <f t="shared" si="35"/>
        <v>0</v>
      </c>
      <c r="AT55" s="47">
        <f t="shared" si="36"/>
        <v>0</v>
      </c>
      <c r="AU55" s="47">
        <f t="shared" si="37"/>
        <v>0</v>
      </c>
      <c r="AV55" s="47">
        <f t="shared" si="38"/>
        <v>0</v>
      </c>
      <c r="AW55" s="47">
        <f t="shared" si="39"/>
        <v>0</v>
      </c>
      <c r="AX55" s="47">
        <f t="shared" si="40"/>
        <v>0</v>
      </c>
      <c r="AY55" s="47">
        <f t="shared" si="41"/>
        <v>0</v>
      </c>
      <c r="AZ55" s="47">
        <f t="shared" si="42"/>
        <v>0</v>
      </c>
      <c r="BA55" s="47">
        <f t="shared" si="43"/>
        <v>0</v>
      </c>
      <c r="BB55" s="47">
        <f t="shared" si="44"/>
        <v>0</v>
      </c>
      <c r="BC55" s="47">
        <f t="shared" si="45"/>
        <v>0</v>
      </c>
      <c r="BD55" s="47">
        <f t="shared" si="46"/>
        <v>0</v>
      </c>
      <c r="BE55" s="47">
        <f t="shared" si="47"/>
        <v>0</v>
      </c>
      <c r="BF55" s="47">
        <f t="shared" si="48"/>
        <v>0</v>
      </c>
      <c r="BG55" s="47">
        <f t="shared" si="49"/>
        <v>0</v>
      </c>
      <c r="BH55" s="47">
        <f t="shared" si="50"/>
        <v>0</v>
      </c>
      <c r="BI55" s="47">
        <f t="shared" si="51"/>
        <v>0</v>
      </c>
      <c r="BJ55" s="47">
        <f t="shared" si="52"/>
        <v>0</v>
      </c>
      <c r="BK55" s="69">
        <f t="shared" si="53"/>
        <v>0</v>
      </c>
      <c r="BL55" s="69">
        <f t="shared" si="54"/>
        <v>0</v>
      </c>
      <c r="BM55" s="69">
        <f t="shared" si="55"/>
        <v>0</v>
      </c>
      <c r="BN55" s="69">
        <f t="shared" si="56"/>
        <v>0</v>
      </c>
      <c r="BO55" s="69">
        <f t="shared" si="57"/>
        <v>0</v>
      </c>
      <c r="BP55" s="69">
        <f t="shared" si="58"/>
        <v>0</v>
      </c>
      <c r="BQ55" s="69">
        <f t="shared" si="59"/>
        <v>0</v>
      </c>
      <c r="BR55" s="69">
        <f t="shared" si="60"/>
        <v>0</v>
      </c>
      <c r="BS55" s="37">
        <f t="shared" si="61"/>
        <v>1115529</v>
      </c>
      <c r="BT55" s="37" t="b">
        <f t="shared" si="62"/>
        <v>0</v>
      </c>
    </row>
    <row r="56" spans="1:72" x14ac:dyDescent="0.25">
      <c r="A56" s="8">
        <v>55</v>
      </c>
      <c r="B56">
        <v>74297</v>
      </c>
      <c r="C56" s="7">
        <v>777000</v>
      </c>
      <c r="D56" s="7">
        <v>-777000</v>
      </c>
      <c r="K56" s="47">
        <f t="shared" si="3"/>
        <v>0</v>
      </c>
      <c r="L56" s="47">
        <f t="shared" si="4"/>
        <v>0</v>
      </c>
      <c r="M56" s="47">
        <f t="shared" si="5"/>
        <v>0</v>
      </c>
      <c r="N56" s="48">
        <f t="shared" si="6"/>
        <v>0</v>
      </c>
      <c r="O56" s="48">
        <f t="shared" si="7"/>
        <v>0</v>
      </c>
      <c r="P56" s="48">
        <f t="shared" si="8"/>
        <v>0</v>
      </c>
      <c r="Q56" s="48">
        <f t="shared" si="9"/>
        <v>0</v>
      </c>
      <c r="R56" s="48">
        <f t="shared" si="10"/>
        <v>0</v>
      </c>
      <c r="S56" s="48">
        <f t="shared" si="11"/>
        <v>0</v>
      </c>
      <c r="T56" s="48">
        <f t="shared" si="12"/>
        <v>0</v>
      </c>
      <c r="U56" s="48">
        <f t="shared" si="13"/>
        <v>0</v>
      </c>
      <c r="V56" s="48">
        <f t="shared" si="14"/>
        <v>0</v>
      </c>
      <c r="W56" s="48">
        <f t="shared" si="15"/>
        <v>0</v>
      </c>
      <c r="X56" s="48">
        <f t="shared" si="16"/>
        <v>0</v>
      </c>
      <c r="Y56" s="48">
        <f t="shared" si="17"/>
        <v>0</v>
      </c>
      <c r="Z56" s="48">
        <f t="shared" si="18"/>
        <v>0</v>
      </c>
      <c r="AA56" s="48">
        <f t="shared" si="19"/>
        <v>0</v>
      </c>
      <c r="AB56" s="48">
        <f t="shared" si="20"/>
        <v>0</v>
      </c>
      <c r="AC56" s="48">
        <f t="shared" si="21"/>
        <v>0</v>
      </c>
      <c r="AD56" s="48">
        <f t="shared" si="22"/>
        <v>0</v>
      </c>
      <c r="AE56" s="48">
        <f t="shared" si="23"/>
        <v>0</v>
      </c>
      <c r="AF56" s="48">
        <f t="shared" si="24"/>
        <v>0</v>
      </c>
      <c r="AG56" s="48">
        <f t="shared" si="25"/>
        <v>0</v>
      </c>
      <c r="AH56" s="48">
        <f t="shared" si="26"/>
        <v>0</v>
      </c>
      <c r="AI56" s="48">
        <f t="shared" si="27"/>
        <v>0</v>
      </c>
      <c r="AJ56" s="48">
        <f t="shared" si="28"/>
        <v>0</v>
      </c>
      <c r="AK56" s="48">
        <f t="shared" si="29"/>
        <v>0</v>
      </c>
      <c r="AL56" s="48">
        <f t="shared" si="30"/>
        <v>0</v>
      </c>
      <c r="AM56" s="48">
        <f t="shared" si="31"/>
        <v>777000</v>
      </c>
      <c r="AN56" s="48" t="b">
        <f t="shared" si="32"/>
        <v>0</v>
      </c>
      <c r="AO56" s="48"/>
      <c r="AQ56" s="47">
        <f t="shared" si="33"/>
        <v>0</v>
      </c>
      <c r="AR56" s="47">
        <f t="shared" si="34"/>
        <v>0</v>
      </c>
      <c r="AS56" s="47">
        <f t="shared" si="35"/>
        <v>0</v>
      </c>
      <c r="AT56" s="47">
        <f t="shared" si="36"/>
        <v>0</v>
      </c>
      <c r="AU56" s="47">
        <f t="shared" si="37"/>
        <v>0</v>
      </c>
      <c r="AV56" s="47">
        <f t="shared" si="38"/>
        <v>0</v>
      </c>
      <c r="AW56" s="47">
        <f t="shared" si="39"/>
        <v>0</v>
      </c>
      <c r="AX56" s="47">
        <f t="shared" si="40"/>
        <v>0</v>
      </c>
      <c r="AY56" s="47">
        <f t="shared" si="41"/>
        <v>0</v>
      </c>
      <c r="AZ56" s="47">
        <f t="shared" si="42"/>
        <v>0</v>
      </c>
      <c r="BA56" s="47">
        <f t="shared" si="43"/>
        <v>0</v>
      </c>
      <c r="BB56" s="47">
        <f t="shared" si="44"/>
        <v>0</v>
      </c>
      <c r="BC56" s="47">
        <f t="shared" si="45"/>
        <v>0</v>
      </c>
      <c r="BD56" s="47">
        <f t="shared" si="46"/>
        <v>0</v>
      </c>
      <c r="BE56" s="47">
        <f t="shared" si="47"/>
        <v>0</v>
      </c>
      <c r="BF56" s="47">
        <f t="shared" si="48"/>
        <v>0</v>
      </c>
      <c r="BG56" s="47">
        <f t="shared" si="49"/>
        <v>0</v>
      </c>
      <c r="BH56" s="47">
        <f t="shared" si="50"/>
        <v>0</v>
      </c>
      <c r="BI56" s="47">
        <f t="shared" si="51"/>
        <v>0</v>
      </c>
      <c r="BJ56" s="47">
        <f t="shared" si="52"/>
        <v>0</v>
      </c>
      <c r="BK56" s="69">
        <f t="shared" si="53"/>
        <v>0</v>
      </c>
      <c r="BL56" s="69">
        <f t="shared" si="54"/>
        <v>0</v>
      </c>
      <c r="BM56" s="69">
        <f t="shared" si="55"/>
        <v>0</v>
      </c>
      <c r="BN56" s="69">
        <f t="shared" si="56"/>
        <v>0</v>
      </c>
      <c r="BO56" s="69">
        <f t="shared" si="57"/>
        <v>0</v>
      </c>
      <c r="BP56" s="69">
        <f t="shared" si="58"/>
        <v>0</v>
      </c>
      <c r="BQ56" s="69">
        <f t="shared" si="59"/>
        <v>0</v>
      </c>
      <c r="BR56" s="69">
        <f t="shared" si="60"/>
        <v>0</v>
      </c>
      <c r="BS56" s="37">
        <f t="shared" si="61"/>
        <v>-777000</v>
      </c>
      <c r="BT56" s="37" t="b">
        <f t="shared" si="62"/>
        <v>0</v>
      </c>
    </row>
    <row r="57" spans="1:72" x14ac:dyDescent="0.25">
      <c r="A57" s="8">
        <v>56</v>
      </c>
      <c r="B57">
        <v>74474</v>
      </c>
      <c r="C57" s="7">
        <v>-154000</v>
      </c>
      <c r="D57" s="7">
        <v>154000</v>
      </c>
      <c r="K57" s="47">
        <f t="shared" si="3"/>
        <v>0</v>
      </c>
      <c r="L57" s="47">
        <f t="shared" si="4"/>
        <v>0</v>
      </c>
      <c r="M57" s="47">
        <f t="shared" si="5"/>
        <v>0</v>
      </c>
      <c r="N57" s="48">
        <f t="shared" si="6"/>
        <v>0</v>
      </c>
      <c r="O57" s="48">
        <f t="shared" si="7"/>
        <v>0</v>
      </c>
      <c r="P57" s="48">
        <f t="shared" si="8"/>
        <v>0</v>
      </c>
      <c r="Q57" s="48">
        <f t="shared" si="9"/>
        <v>0</v>
      </c>
      <c r="R57" s="48">
        <f t="shared" si="10"/>
        <v>0</v>
      </c>
      <c r="S57" s="48">
        <f t="shared" si="11"/>
        <v>0</v>
      </c>
      <c r="T57" s="48">
        <f t="shared" si="12"/>
        <v>0</v>
      </c>
      <c r="U57" s="48">
        <f t="shared" si="13"/>
        <v>0</v>
      </c>
      <c r="V57" s="48">
        <f t="shared" si="14"/>
        <v>0</v>
      </c>
      <c r="W57" s="48">
        <f t="shared" si="15"/>
        <v>0</v>
      </c>
      <c r="X57" s="48">
        <f t="shared" si="16"/>
        <v>0</v>
      </c>
      <c r="Y57" s="48">
        <f t="shared" si="17"/>
        <v>0</v>
      </c>
      <c r="Z57" s="48">
        <f t="shared" si="18"/>
        <v>0</v>
      </c>
      <c r="AA57" s="48">
        <f t="shared" si="19"/>
        <v>0</v>
      </c>
      <c r="AB57" s="48">
        <f t="shared" si="20"/>
        <v>0</v>
      </c>
      <c r="AC57" s="48">
        <f t="shared" si="21"/>
        <v>0</v>
      </c>
      <c r="AD57" s="48">
        <f t="shared" si="22"/>
        <v>0</v>
      </c>
      <c r="AE57" s="48">
        <f t="shared" si="23"/>
        <v>0</v>
      </c>
      <c r="AF57" s="48">
        <f t="shared" si="24"/>
        <v>0</v>
      </c>
      <c r="AG57" s="48">
        <f t="shared" si="25"/>
        <v>0</v>
      </c>
      <c r="AH57" s="48">
        <f t="shared" si="26"/>
        <v>0</v>
      </c>
      <c r="AI57" s="48">
        <f t="shared" si="27"/>
        <v>0</v>
      </c>
      <c r="AJ57" s="48">
        <f t="shared" si="28"/>
        <v>0</v>
      </c>
      <c r="AK57" s="48">
        <f t="shared" si="29"/>
        <v>0</v>
      </c>
      <c r="AL57" s="48">
        <f t="shared" si="30"/>
        <v>0</v>
      </c>
      <c r="AM57" s="48">
        <f t="shared" si="31"/>
        <v>-154000</v>
      </c>
      <c r="AN57" s="48" t="b">
        <f t="shared" si="32"/>
        <v>0</v>
      </c>
      <c r="AO57" s="48"/>
      <c r="AQ57" s="47">
        <f t="shared" si="33"/>
        <v>0</v>
      </c>
      <c r="AR57" s="47">
        <f t="shared" si="34"/>
        <v>0</v>
      </c>
      <c r="AS57" s="47">
        <f t="shared" si="35"/>
        <v>0</v>
      </c>
      <c r="AT57" s="47">
        <f t="shared" si="36"/>
        <v>0</v>
      </c>
      <c r="AU57" s="47">
        <f t="shared" si="37"/>
        <v>0</v>
      </c>
      <c r="AV57" s="47">
        <f t="shared" si="38"/>
        <v>0</v>
      </c>
      <c r="AW57" s="47">
        <f t="shared" si="39"/>
        <v>0</v>
      </c>
      <c r="AX57" s="47">
        <f t="shared" si="40"/>
        <v>0</v>
      </c>
      <c r="AY57" s="47">
        <f t="shared" si="41"/>
        <v>0</v>
      </c>
      <c r="AZ57" s="47">
        <f t="shared" si="42"/>
        <v>0</v>
      </c>
      <c r="BA57" s="47">
        <f t="shared" si="43"/>
        <v>0</v>
      </c>
      <c r="BB57" s="47">
        <f t="shared" si="44"/>
        <v>0</v>
      </c>
      <c r="BC57" s="47">
        <f t="shared" si="45"/>
        <v>0</v>
      </c>
      <c r="BD57" s="47">
        <f t="shared" si="46"/>
        <v>0</v>
      </c>
      <c r="BE57" s="47">
        <f t="shared" si="47"/>
        <v>0</v>
      </c>
      <c r="BF57" s="47">
        <f t="shared" si="48"/>
        <v>0</v>
      </c>
      <c r="BG57" s="47">
        <f t="shared" si="49"/>
        <v>0</v>
      </c>
      <c r="BH57" s="47">
        <f t="shared" si="50"/>
        <v>0</v>
      </c>
      <c r="BI57" s="47">
        <f t="shared" si="51"/>
        <v>0</v>
      </c>
      <c r="BJ57" s="47">
        <f t="shared" si="52"/>
        <v>0</v>
      </c>
      <c r="BK57" s="69">
        <f t="shared" si="53"/>
        <v>0</v>
      </c>
      <c r="BL57" s="69">
        <f t="shared" si="54"/>
        <v>0</v>
      </c>
      <c r="BM57" s="69">
        <f t="shared" si="55"/>
        <v>0</v>
      </c>
      <c r="BN57" s="69">
        <f t="shared" si="56"/>
        <v>0</v>
      </c>
      <c r="BO57" s="69">
        <f t="shared" si="57"/>
        <v>0</v>
      </c>
      <c r="BP57" s="69">
        <f t="shared" si="58"/>
        <v>0</v>
      </c>
      <c r="BQ57" s="69">
        <f t="shared" si="59"/>
        <v>0</v>
      </c>
      <c r="BR57" s="69">
        <f t="shared" si="60"/>
        <v>0</v>
      </c>
      <c r="BS57" s="37">
        <f t="shared" si="61"/>
        <v>154000</v>
      </c>
      <c r="BT57" s="37" t="b">
        <f t="shared" si="62"/>
        <v>0</v>
      </c>
    </row>
    <row r="58" spans="1:72" x14ac:dyDescent="0.25">
      <c r="A58" s="8">
        <v>57</v>
      </c>
      <c r="B58">
        <v>75693</v>
      </c>
      <c r="C58" s="7">
        <v>190000</v>
      </c>
      <c r="D58" s="7">
        <v>-189605</v>
      </c>
      <c r="K58" s="47">
        <f t="shared" si="3"/>
        <v>0</v>
      </c>
      <c r="L58" s="47">
        <f t="shared" si="4"/>
        <v>0</v>
      </c>
      <c r="M58" s="47">
        <f t="shared" si="5"/>
        <v>0</v>
      </c>
      <c r="N58" s="48">
        <f t="shared" si="6"/>
        <v>0</v>
      </c>
      <c r="O58" s="48">
        <f t="shared" si="7"/>
        <v>0</v>
      </c>
      <c r="P58" s="48">
        <f t="shared" si="8"/>
        <v>0</v>
      </c>
      <c r="Q58" s="48">
        <f t="shared" si="9"/>
        <v>0</v>
      </c>
      <c r="R58" s="48">
        <f t="shared" si="10"/>
        <v>0</v>
      </c>
      <c r="S58" s="48">
        <f t="shared" si="11"/>
        <v>0</v>
      </c>
      <c r="T58" s="48">
        <f t="shared" si="12"/>
        <v>0</v>
      </c>
      <c r="U58" s="48">
        <f t="shared" si="13"/>
        <v>0</v>
      </c>
      <c r="V58" s="48">
        <f t="shared" si="14"/>
        <v>0</v>
      </c>
      <c r="W58" s="48">
        <f t="shared" si="15"/>
        <v>0</v>
      </c>
      <c r="X58" s="48">
        <f t="shared" si="16"/>
        <v>0</v>
      </c>
      <c r="Y58" s="48">
        <f t="shared" si="17"/>
        <v>0</v>
      </c>
      <c r="Z58" s="48">
        <f t="shared" si="18"/>
        <v>0</v>
      </c>
      <c r="AA58" s="48">
        <f t="shared" si="19"/>
        <v>0</v>
      </c>
      <c r="AB58" s="48">
        <f t="shared" si="20"/>
        <v>0</v>
      </c>
      <c r="AC58" s="48">
        <f t="shared" si="21"/>
        <v>0</v>
      </c>
      <c r="AD58" s="48">
        <f t="shared" si="22"/>
        <v>0</v>
      </c>
      <c r="AE58" s="48">
        <f t="shared" si="23"/>
        <v>0</v>
      </c>
      <c r="AF58" s="48">
        <f t="shared" si="24"/>
        <v>0</v>
      </c>
      <c r="AG58" s="48">
        <f t="shared" si="25"/>
        <v>0</v>
      </c>
      <c r="AH58" s="48">
        <f t="shared" si="26"/>
        <v>0</v>
      </c>
      <c r="AI58" s="48">
        <f t="shared" si="27"/>
        <v>0</v>
      </c>
      <c r="AJ58" s="48">
        <f t="shared" si="28"/>
        <v>0</v>
      </c>
      <c r="AK58" s="48">
        <f t="shared" si="29"/>
        <v>0</v>
      </c>
      <c r="AL58" s="48">
        <f t="shared" si="30"/>
        <v>0</v>
      </c>
      <c r="AM58" s="48">
        <f t="shared" si="31"/>
        <v>0</v>
      </c>
      <c r="AN58" s="48">
        <f t="shared" si="32"/>
        <v>190000</v>
      </c>
      <c r="AO58" s="48"/>
      <c r="AQ58" s="47">
        <f t="shared" si="33"/>
        <v>0</v>
      </c>
      <c r="AR58" s="47">
        <f t="shared" si="34"/>
        <v>0</v>
      </c>
      <c r="AS58" s="47">
        <f t="shared" si="35"/>
        <v>0</v>
      </c>
      <c r="AT58" s="47">
        <f t="shared" si="36"/>
        <v>0</v>
      </c>
      <c r="AU58" s="47">
        <f t="shared" si="37"/>
        <v>0</v>
      </c>
      <c r="AV58" s="47">
        <f t="shared" si="38"/>
        <v>0</v>
      </c>
      <c r="AW58" s="47">
        <f t="shared" si="39"/>
        <v>0</v>
      </c>
      <c r="AX58" s="47">
        <f t="shared" si="40"/>
        <v>0</v>
      </c>
      <c r="AY58" s="47">
        <f t="shared" si="41"/>
        <v>0</v>
      </c>
      <c r="AZ58" s="47">
        <f t="shared" si="42"/>
        <v>0</v>
      </c>
      <c r="BA58" s="47">
        <f t="shared" si="43"/>
        <v>0</v>
      </c>
      <c r="BB58" s="47">
        <f t="shared" si="44"/>
        <v>0</v>
      </c>
      <c r="BC58" s="47">
        <f t="shared" si="45"/>
        <v>0</v>
      </c>
      <c r="BD58" s="47">
        <f t="shared" si="46"/>
        <v>0</v>
      </c>
      <c r="BE58" s="47">
        <f t="shared" si="47"/>
        <v>0</v>
      </c>
      <c r="BF58" s="47">
        <f t="shared" si="48"/>
        <v>0</v>
      </c>
      <c r="BG58" s="47">
        <f t="shared" si="49"/>
        <v>0</v>
      </c>
      <c r="BH58" s="47">
        <f t="shared" si="50"/>
        <v>0</v>
      </c>
      <c r="BI58" s="47">
        <f t="shared" si="51"/>
        <v>0</v>
      </c>
      <c r="BJ58" s="47">
        <f t="shared" si="52"/>
        <v>0</v>
      </c>
      <c r="BK58" s="69">
        <f t="shared" si="53"/>
        <v>0</v>
      </c>
      <c r="BL58" s="69">
        <f t="shared" si="54"/>
        <v>0</v>
      </c>
      <c r="BM58" s="69">
        <f t="shared" si="55"/>
        <v>0</v>
      </c>
      <c r="BN58" s="69">
        <f t="shared" si="56"/>
        <v>0</v>
      </c>
      <c r="BO58" s="69">
        <f t="shared" si="57"/>
        <v>0</v>
      </c>
      <c r="BP58" s="69">
        <f t="shared" si="58"/>
        <v>0</v>
      </c>
      <c r="BQ58" s="69">
        <f t="shared" si="59"/>
        <v>0</v>
      </c>
      <c r="BR58" s="69">
        <f t="shared" si="60"/>
        <v>0</v>
      </c>
      <c r="BS58" s="37">
        <f t="shared" si="61"/>
        <v>0</v>
      </c>
      <c r="BT58" s="37">
        <f t="shared" si="62"/>
        <v>-189605</v>
      </c>
    </row>
    <row r="59" spans="1:72" x14ac:dyDescent="0.25">
      <c r="A59" s="8">
        <v>58</v>
      </c>
      <c r="B59">
        <v>75901</v>
      </c>
      <c r="C59" s="7">
        <v>-616000</v>
      </c>
      <c r="D59" s="7">
        <v>616000</v>
      </c>
      <c r="K59" s="47">
        <f t="shared" si="3"/>
        <v>0</v>
      </c>
      <c r="L59" s="47">
        <f t="shared" si="4"/>
        <v>0</v>
      </c>
      <c r="M59" s="47">
        <f t="shared" si="5"/>
        <v>0</v>
      </c>
      <c r="N59" s="48">
        <f t="shared" si="6"/>
        <v>0</v>
      </c>
      <c r="O59" s="48">
        <f t="shared" si="7"/>
        <v>0</v>
      </c>
      <c r="P59" s="48">
        <f t="shared" si="8"/>
        <v>0</v>
      </c>
      <c r="Q59" s="48">
        <f t="shared" si="9"/>
        <v>0</v>
      </c>
      <c r="R59" s="48">
        <f t="shared" si="10"/>
        <v>0</v>
      </c>
      <c r="S59" s="48">
        <f t="shared" si="11"/>
        <v>0</v>
      </c>
      <c r="T59" s="48">
        <f t="shared" si="12"/>
        <v>0</v>
      </c>
      <c r="U59" s="48">
        <f t="shared" si="13"/>
        <v>0</v>
      </c>
      <c r="V59" s="48">
        <f t="shared" si="14"/>
        <v>0</v>
      </c>
      <c r="W59" s="48">
        <f t="shared" si="15"/>
        <v>0</v>
      </c>
      <c r="X59" s="48">
        <f t="shared" si="16"/>
        <v>0</v>
      </c>
      <c r="Y59" s="48">
        <f t="shared" si="17"/>
        <v>0</v>
      </c>
      <c r="Z59" s="48">
        <f t="shared" si="18"/>
        <v>0</v>
      </c>
      <c r="AA59" s="48">
        <f t="shared" si="19"/>
        <v>0</v>
      </c>
      <c r="AB59" s="48">
        <f t="shared" si="20"/>
        <v>0</v>
      </c>
      <c r="AC59" s="48">
        <f t="shared" si="21"/>
        <v>0</v>
      </c>
      <c r="AD59" s="48">
        <f t="shared" si="22"/>
        <v>0</v>
      </c>
      <c r="AE59" s="48">
        <f t="shared" si="23"/>
        <v>0</v>
      </c>
      <c r="AF59" s="48">
        <f t="shared" si="24"/>
        <v>0</v>
      </c>
      <c r="AG59" s="48">
        <f t="shared" si="25"/>
        <v>0</v>
      </c>
      <c r="AH59" s="48">
        <f t="shared" si="26"/>
        <v>0</v>
      </c>
      <c r="AI59" s="48">
        <f t="shared" si="27"/>
        <v>0</v>
      </c>
      <c r="AJ59" s="48">
        <f t="shared" si="28"/>
        <v>0</v>
      </c>
      <c r="AK59" s="48">
        <f t="shared" si="29"/>
        <v>0</v>
      </c>
      <c r="AL59" s="48">
        <f t="shared" si="30"/>
        <v>0</v>
      </c>
      <c r="AM59" s="48">
        <f t="shared" si="31"/>
        <v>0</v>
      </c>
      <c r="AN59" s="48">
        <f t="shared" si="32"/>
        <v>-616000</v>
      </c>
      <c r="AO59" s="48"/>
      <c r="AQ59" s="47">
        <f t="shared" si="33"/>
        <v>0</v>
      </c>
      <c r="AR59" s="47">
        <f t="shared" si="34"/>
        <v>0</v>
      </c>
      <c r="AS59" s="47">
        <f t="shared" si="35"/>
        <v>0</v>
      </c>
      <c r="AT59" s="47">
        <f t="shared" si="36"/>
        <v>0</v>
      </c>
      <c r="AU59" s="47">
        <f t="shared" si="37"/>
        <v>0</v>
      </c>
      <c r="AV59" s="47">
        <f t="shared" si="38"/>
        <v>0</v>
      </c>
      <c r="AW59" s="47">
        <f t="shared" si="39"/>
        <v>0</v>
      </c>
      <c r="AX59" s="47">
        <f t="shared" si="40"/>
        <v>0</v>
      </c>
      <c r="AY59" s="47">
        <f t="shared" si="41"/>
        <v>0</v>
      </c>
      <c r="AZ59" s="47">
        <f t="shared" si="42"/>
        <v>0</v>
      </c>
      <c r="BA59" s="47">
        <f t="shared" si="43"/>
        <v>0</v>
      </c>
      <c r="BB59" s="47">
        <f t="shared" si="44"/>
        <v>0</v>
      </c>
      <c r="BC59" s="47">
        <f t="shared" si="45"/>
        <v>0</v>
      </c>
      <c r="BD59" s="47">
        <f t="shared" si="46"/>
        <v>0</v>
      </c>
      <c r="BE59" s="47">
        <f t="shared" si="47"/>
        <v>0</v>
      </c>
      <c r="BF59" s="47">
        <f t="shared" si="48"/>
        <v>0</v>
      </c>
      <c r="BG59" s="47">
        <f t="shared" si="49"/>
        <v>0</v>
      </c>
      <c r="BH59" s="47">
        <f t="shared" si="50"/>
        <v>0</v>
      </c>
      <c r="BI59" s="47">
        <f t="shared" si="51"/>
        <v>0</v>
      </c>
      <c r="BJ59" s="47">
        <f t="shared" si="52"/>
        <v>0</v>
      </c>
      <c r="BK59" s="69">
        <f t="shared" si="53"/>
        <v>0</v>
      </c>
      <c r="BL59" s="69">
        <f t="shared" si="54"/>
        <v>0</v>
      </c>
      <c r="BM59" s="69">
        <f t="shared" si="55"/>
        <v>0</v>
      </c>
      <c r="BN59" s="69">
        <f t="shared" si="56"/>
        <v>0</v>
      </c>
      <c r="BO59" s="69">
        <f t="shared" si="57"/>
        <v>0</v>
      </c>
      <c r="BP59" s="69">
        <f t="shared" si="58"/>
        <v>0</v>
      </c>
      <c r="BQ59" s="69">
        <f t="shared" si="59"/>
        <v>0</v>
      </c>
      <c r="BR59" s="69">
        <f t="shared" si="60"/>
        <v>0</v>
      </c>
      <c r="BS59" s="37">
        <f t="shared" si="61"/>
        <v>0</v>
      </c>
      <c r="BT59" s="37">
        <f t="shared" si="62"/>
        <v>616000</v>
      </c>
    </row>
    <row r="60" spans="1:72" x14ac:dyDescent="0.25">
      <c r="A60" s="8">
        <v>59</v>
      </c>
      <c r="B60">
        <v>76199</v>
      </c>
      <c r="C60" s="7">
        <v>-343000</v>
      </c>
      <c r="D60" s="7">
        <v>342868</v>
      </c>
      <c r="K60" s="47">
        <f t="shared" si="3"/>
        <v>0</v>
      </c>
      <c r="L60" s="47">
        <f t="shared" si="4"/>
        <v>0</v>
      </c>
      <c r="M60" s="47">
        <f t="shared" si="5"/>
        <v>0</v>
      </c>
      <c r="N60" s="48">
        <f t="shared" si="6"/>
        <v>0</v>
      </c>
      <c r="O60" s="48">
        <f t="shared" si="7"/>
        <v>0</v>
      </c>
      <c r="P60" s="48">
        <f t="shared" si="8"/>
        <v>0</v>
      </c>
      <c r="Q60" s="48">
        <f t="shared" si="9"/>
        <v>0</v>
      </c>
      <c r="R60" s="48">
        <f t="shared" si="10"/>
        <v>0</v>
      </c>
      <c r="S60" s="48">
        <f t="shared" si="11"/>
        <v>0</v>
      </c>
      <c r="T60" s="48">
        <f t="shared" si="12"/>
        <v>0</v>
      </c>
      <c r="U60" s="48">
        <f t="shared" si="13"/>
        <v>0</v>
      </c>
      <c r="V60" s="48">
        <f t="shared" si="14"/>
        <v>0</v>
      </c>
      <c r="W60" s="48">
        <f t="shared" si="15"/>
        <v>0</v>
      </c>
      <c r="X60" s="48">
        <f t="shared" si="16"/>
        <v>0</v>
      </c>
      <c r="Y60" s="48">
        <f t="shared" si="17"/>
        <v>0</v>
      </c>
      <c r="Z60" s="48">
        <f t="shared" si="18"/>
        <v>0</v>
      </c>
      <c r="AA60" s="48">
        <f t="shared" si="19"/>
        <v>0</v>
      </c>
      <c r="AB60" s="48">
        <f t="shared" si="20"/>
        <v>0</v>
      </c>
      <c r="AC60" s="48">
        <f t="shared" si="21"/>
        <v>0</v>
      </c>
      <c r="AD60" s="48">
        <f t="shared" si="22"/>
        <v>0</v>
      </c>
      <c r="AE60" s="48">
        <f t="shared" si="23"/>
        <v>0</v>
      </c>
      <c r="AF60" s="48">
        <f t="shared" si="24"/>
        <v>0</v>
      </c>
      <c r="AG60" s="48">
        <f t="shared" si="25"/>
        <v>0</v>
      </c>
      <c r="AH60" s="48">
        <f t="shared" si="26"/>
        <v>0</v>
      </c>
      <c r="AI60" s="48">
        <f t="shared" si="27"/>
        <v>0</v>
      </c>
      <c r="AJ60" s="48">
        <f t="shared" si="28"/>
        <v>0</v>
      </c>
      <c r="AK60" s="48">
        <f t="shared" si="29"/>
        <v>0</v>
      </c>
      <c r="AL60" s="48">
        <f t="shared" si="30"/>
        <v>0</v>
      </c>
      <c r="AM60" s="48">
        <f t="shared" si="31"/>
        <v>0</v>
      </c>
      <c r="AN60" s="48">
        <f t="shared" si="32"/>
        <v>-343000</v>
      </c>
      <c r="AO60" s="48"/>
      <c r="AQ60" s="47">
        <f t="shared" si="33"/>
        <v>0</v>
      </c>
      <c r="AR60" s="47">
        <f t="shared" si="34"/>
        <v>0</v>
      </c>
      <c r="AS60" s="47">
        <f t="shared" si="35"/>
        <v>0</v>
      </c>
      <c r="AT60" s="47">
        <f t="shared" si="36"/>
        <v>0</v>
      </c>
      <c r="AU60" s="47">
        <f t="shared" si="37"/>
        <v>0</v>
      </c>
      <c r="AV60" s="47">
        <f t="shared" si="38"/>
        <v>0</v>
      </c>
      <c r="AW60" s="47">
        <f t="shared" si="39"/>
        <v>0</v>
      </c>
      <c r="AX60" s="47">
        <f t="shared" si="40"/>
        <v>0</v>
      </c>
      <c r="AY60" s="47">
        <f t="shared" si="41"/>
        <v>0</v>
      </c>
      <c r="AZ60" s="47">
        <f t="shared" si="42"/>
        <v>0</v>
      </c>
      <c r="BA60" s="47">
        <f t="shared" si="43"/>
        <v>0</v>
      </c>
      <c r="BB60" s="47">
        <f t="shared" si="44"/>
        <v>0</v>
      </c>
      <c r="BC60" s="47">
        <f t="shared" si="45"/>
        <v>0</v>
      </c>
      <c r="BD60" s="47">
        <f t="shared" si="46"/>
        <v>0</v>
      </c>
      <c r="BE60" s="47">
        <f t="shared" si="47"/>
        <v>0</v>
      </c>
      <c r="BF60" s="47">
        <f t="shared" si="48"/>
        <v>0</v>
      </c>
      <c r="BG60" s="47">
        <f t="shared" si="49"/>
        <v>0</v>
      </c>
      <c r="BH60" s="47">
        <f t="shared" si="50"/>
        <v>0</v>
      </c>
      <c r="BI60" s="47">
        <f t="shared" si="51"/>
        <v>0</v>
      </c>
      <c r="BJ60" s="47">
        <f t="shared" si="52"/>
        <v>0</v>
      </c>
      <c r="BK60" s="69">
        <f t="shared" si="53"/>
        <v>0</v>
      </c>
      <c r="BL60" s="69">
        <f t="shared" si="54"/>
        <v>0</v>
      </c>
      <c r="BM60" s="69">
        <f t="shared" si="55"/>
        <v>0</v>
      </c>
      <c r="BN60" s="69">
        <f t="shared" si="56"/>
        <v>0</v>
      </c>
      <c r="BO60" s="69">
        <f t="shared" si="57"/>
        <v>0</v>
      </c>
      <c r="BP60" s="69">
        <f t="shared" si="58"/>
        <v>0</v>
      </c>
      <c r="BQ60" s="69">
        <f t="shared" si="59"/>
        <v>0</v>
      </c>
      <c r="BR60" s="69">
        <f t="shared" si="60"/>
        <v>0</v>
      </c>
      <c r="BS60" s="37">
        <f t="shared" si="61"/>
        <v>0</v>
      </c>
      <c r="BT60" s="37">
        <f t="shared" si="62"/>
        <v>342868</v>
      </c>
    </row>
    <row r="61" spans="1:72" x14ac:dyDescent="0.25">
      <c r="A61" s="8">
        <v>60</v>
      </c>
      <c r="B61">
        <v>76259</v>
      </c>
      <c r="C61" s="7">
        <v>807541</v>
      </c>
      <c r="D61" s="7">
        <v>-807167</v>
      </c>
      <c r="K61" s="47">
        <f t="shared" si="3"/>
        <v>0</v>
      </c>
      <c r="L61" s="47">
        <f t="shared" si="4"/>
        <v>0</v>
      </c>
      <c r="M61" s="47">
        <f t="shared" si="5"/>
        <v>0</v>
      </c>
      <c r="N61" s="48">
        <f t="shared" si="6"/>
        <v>0</v>
      </c>
      <c r="O61" s="48">
        <f t="shared" si="7"/>
        <v>0</v>
      </c>
      <c r="P61" s="48">
        <f t="shared" si="8"/>
        <v>0</v>
      </c>
      <c r="Q61" s="48">
        <f t="shared" si="9"/>
        <v>0</v>
      </c>
      <c r="R61" s="48">
        <f t="shared" si="10"/>
        <v>0</v>
      </c>
      <c r="S61" s="48">
        <f t="shared" si="11"/>
        <v>0</v>
      </c>
      <c r="T61" s="48">
        <f t="shared" si="12"/>
        <v>0</v>
      </c>
      <c r="U61" s="48">
        <f t="shared" si="13"/>
        <v>0</v>
      </c>
      <c r="V61" s="48">
        <f t="shared" si="14"/>
        <v>0</v>
      </c>
      <c r="W61" s="48">
        <f t="shared" si="15"/>
        <v>0</v>
      </c>
      <c r="X61" s="48">
        <f t="shared" si="16"/>
        <v>0</v>
      </c>
      <c r="Y61" s="48">
        <f t="shared" si="17"/>
        <v>0</v>
      </c>
      <c r="Z61" s="48">
        <f t="shared" si="18"/>
        <v>0</v>
      </c>
      <c r="AA61" s="48">
        <f t="shared" si="19"/>
        <v>0</v>
      </c>
      <c r="AB61" s="48">
        <f t="shared" si="20"/>
        <v>0</v>
      </c>
      <c r="AC61" s="48">
        <f t="shared" si="21"/>
        <v>0</v>
      </c>
      <c r="AD61" s="48">
        <f t="shared" si="22"/>
        <v>0</v>
      </c>
      <c r="AE61" s="48">
        <f t="shared" si="23"/>
        <v>0</v>
      </c>
      <c r="AF61" s="48">
        <f t="shared" si="24"/>
        <v>0</v>
      </c>
      <c r="AG61" s="48">
        <f t="shared" si="25"/>
        <v>0</v>
      </c>
      <c r="AH61" s="48">
        <f t="shared" si="26"/>
        <v>0</v>
      </c>
      <c r="AI61" s="48">
        <f t="shared" si="27"/>
        <v>0</v>
      </c>
      <c r="AJ61" s="48">
        <f t="shared" si="28"/>
        <v>0</v>
      </c>
      <c r="AK61" s="48">
        <f t="shared" si="29"/>
        <v>0</v>
      </c>
      <c r="AL61" s="48">
        <f t="shared" si="30"/>
        <v>0</v>
      </c>
      <c r="AM61" s="48">
        <f t="shared" si="31"/>
        <v>0</v>
      </c>
      <c r="AN61" s="48">
        <f t="shared" si="32"/>
        <v>807541</v>
      </c>
      <c r="AO61" s="48"/>
      <c r="AQ61" s="47">
        <f t="shared" si="33"/>
        <v>0</v>
      </c>
      <c r="AR61" s="47">
        <f t="shared" si="34"/>
        <v>0</v>
      </c>
      <c r="AS61" s="47">
        <f t="shared" si="35"/>
        <v>0</v>
      </c>
      <c r="AT61" s="47">
        <f t="shared" si="36"/>
        <v>0</v>
      </c>
      <c r="AU61" s="47">
        <f t="shared" si="37"/>
        <v>0</v>
      </c>
      <c r="AV61" s="47">
        <f t="shared" si="38"/>
        <v>0</v>
      </c>
      <c r="AW61" s="47">
        <f t="shared" si="39"/>
        <v>0</v>
      </c>
      <c r="AX61" s="47">
        <f t="shared" si="40"/>
        <v>0</v>
      </c>
      <c r="AY61" s="47">
        <f t="shared" si="41"/>
        <v>0</v>
      </c>
      <c r="AZ61" s="47">
        <f t="shared" si="42"/>
        <v>0</v>
      </c>
      <c r="BA61" s="47">
        <f t="shared" si="43"/>
        <v>0</v>
      </c>
      <c r="BB61" s="47">
        <f t="shared" si="44"/>
        <v>0</v>
      </c>
      <c r="BC61" s="47">
        <f t="shared" si="45"/>
        <v>0</v>
      </c>
      <c r="BD61" s="47">
        <f t="shared" si="46"/>
        <v>0</v>
      </c>
      <c r="BE61" s="47">
        <f t="shared" si="47"/>
        <v>0</v>
      </c>
      <c r="BF61" s="47">
        <f t="shared" si="48"/>
        <v>0</v>
      </c>
      <c r="BG61" s="47">
        <f t="shared" si="49"/>
        <v>0</v>
      </c>
      <c r="BH61" s="47">
        <f t="shared" si="50"/>
        <v>0</v>
      </c>
      <c r="BI61" s="47">
        <f t="shared" si="51"/>
        <v>0</v>
      </c>
      <c r="BJ61" s="47">
        <f t="shared" si="52"/>
        <v>0</v>
      </c>
      <c r="BK61" s="69">
        <f t="shared" si="53"/>
        <v>0</v>
      </c>
      <c r="BL61" s="69">
        <f t="shared" si="54"/>
        <v>0</v>
      </c>
      <c r="BM61" s="69">
        <f t="shared" si="55"/>
        <v>0</v>
      </c>
      <c r="BN61" s="69">
        <f t="shared" si="56"/>
        <v>0</v>
      </c>
      <c r="BO61" s="69">
        <f t="shared" si="57"/>
        <v>0</v>
      </c>
      <c r="BP61" s="69">
        <f t="shared" si="58"/>
        <v>0</v>
      </c>
      <c r="BQ61" s="69">
        <f t="shared" si="59"/>
        <v>0</v>
      </c>
      <c r="BR61" s="69">
        <f t="shared" si="60"/>
        <v>0</v>
      </c>
      <c r="BS61" s="37">
        <f t="shared" si="61"/>
        <v>0</v>
      </c>
      <c r="BT61" s="37">
        <f t="shared" si="62"/>
        <v>-807167</v>
      </c>
    </row>
    <row r="62" spans="1:72" x14ac:dyDescent="0.25">
      <c r="K62" s="50">
        <f>SUM(K2:K61)</f>
        <v>-4048000</v>
      </c>
      <c r="L62" s="50">
        <f t="shared" ref="L62:AN62" si="66">SUM(L2:L61)</f>
        <v>-782000</v>
      </c>
      <c r="M62" s="50">
        <f t="shared" si="66"/>
        <v>-3522000</v>
      </c>
      <c r="N62" s="50">
        <f t="shared" si="66"/>
        <v>-5863067</v>
      </c>
      <c r="O62" s="50">
        <f t="shared" si="66"/>
        <v>-1190000</v>
      </c>
      <c r="P62" s="50">
        <f t="shared" si="66"/>
        <v>-16288000</v>
      </c>
      <c r="Q62" s="50">
        <f t="shared" si="66"/>
        <v>-671197</v>
      </c>
      <c r="R62" s="50">
        <f t="shared" si="66"/>
        <v>0</v>
      </c>
      <c r="S62" s="50">
        <f t="shared" si="66"/>
        <v>1229341</v>
      </c>
      <c r="T62" s="50">
        <f t="shared" si="66"/>
        <v>0</v>
      </c>
      <c r="U62" s="50">
        <f t="shared" si="66"/>
        <v>4290000</v>
      </c>
      <c r="V62" s="50">
        <f t="shared" si="66"/>
        <v>-467000</v>
      </c>
      <c r="W62" s="50">
        <f t="shared" si="66"/>
        <v>650123</v>
      </c>
      <c r="X62" s="50">
        <f t="shared" si="66"/>
        <v>-2645000</v>
      </c>
      <c r="Y62" s="50">
        <f t="shared" si="66"/>
        <v>-1736000</v>
      </c>
      <c r="Z62" s="50">
        <f t="shared" si="66"/>
        <v>-409484</v>
      </c>
      <c r="AA62" s="50">
        <f t="shared" si="66"/>
        <v>0</v>
      </c>
      <c r="AB62" s="50">
        <f t="shared" si="66"/>
        <v>4650000</v>
      </c>
      <c r="AC62" s="50">
        <f t="shared" si="66"/>
        <v>-98000</v>
      </c>
      <c r="AD62" s="50">
        <f t="shared" si="66"/>
        <v>0</v>
      </c>
      <c r="AE62" s="50">
        <f t="shared" si="66"/>
        <v>3954026</v>
      </c>
      <c r="AF62" s="50">
        <f t="shared" si="66"/>
        <v>0</v>
      </c>
      <c r="AG62" s="50">
        <f t="shared" si="66"/>
        <v>0</v>
      </c>
      <c r="AH62" s="50">
        <f t="shared" si="66"/>
        <v>-3004000</v>
      </c>
      <c r="AI62" s="50">
        <f t="shared" si="66"/>
        <v>-1149000</v>
      </c>
      <c r="AJ62" s="50">
        <f t="shared" si="66"/>
        <v>-564000</v>
      </c>
      <c r="AK62" s="50">
        <f t="shared" si="66"/>
        <v>-888000</v>
      </c>
      <c r="AL62" s="50">
        <f t="shared" si="66"/>
        <v>0</v>
      </c>
      <c r="AM62" s="50">
        <f t="shared" si="66"/>
        <v>-493000</v>
      </c>
      <c r="AN62" s="50">
        <f t="shared" si="66"/>
        <v>38541</v>
      </c>
      <c r="AO62" s="50"/>
      <c r="AQ62" s="50">
        <f>SUM(AQ2:AQ61)</f>
        <v>4046466</v>
      </c>
      <c r="AR62" s="50">
        <f t="shared" ref="AR62" si="67">SUM(AR2:AR61)</f>
        <v>782738</v>
      </c>
      <c r="AS62" s="50">
        <f t="shared" ref="AS62" si="68">SUM(AS2:AS61)</f>
        <v>3521180</v>
      </c>
      <c r="AT62" s="50">
        <f t="shared" ref="AT62" si="69">SUM(AT2:AT61)</f>
        <v>5863816</v>
      </c>
      <c r="AU62" s="50">
        <f t="shared" ref="AU62" si="70">SUM(AU2:AU61)</f>
        <v>1190000</v>
      </c>
      <c r="AV62" s="50">
        <f t="shared" ref="AV62" si="71">SUM(AV2:AV61)</f>
        <v>16288800</v>
      </c>
      <c r="AW62" s="50">
        <f t="shared" ref="AW62" si="72">SUM(AW2:AW61)</f>
        <v>670763</v>
      </c>
      <c r="AX62" s="50">
        <f t="shared" ref="AX62" si="73">SUM(AX2:AX61)</f>
        <v>0</v>
      </c>
      <c r="AY62" s="50">
        <f t="shared" ref="AY62" si="74">SUM(AY2:AY61)</f>
        <v>-1229000</v>
      </c>
      <c r="AZ62" s="50">
        <f t="shared" ref="AZ62" si="75">SUM(AZ2:AZ61)</f>
        <v>0</v>
      </c>
      <c r="BA62" s="50">
        <f t="shared" ref="BA62" si="76">SUM(BA2:BA61)</f>
        <v>-4290047</v>
      </c>
      <c r="BB62" s="50">
        <f t="shared" ref="BB62" si="77">SUM(BB2:BB61)</f>
        <v>466749</v>
      </c>
      <c r="BC62" s="50">
        <f t="shared" ref="BC62" si="78">SUM(BC2:BC61)</f>
        <v>-649305</v>
      </c>
      <c r="BD62" s="50">
        <f t="shared" ref="BD62" si="79">SUM(BD2:BD61)</f>
        <v>2644695</v>
      </c>
      <c r="BE62" s="50">
        <f t="shared" ref="BE62" si="80">SUM(BE2:BE61)</f>
        <v>1737000</v>
      </c>
      <c r="BF62" s="50">
        <f t="shared" ref="BF62" si="81">SUM(BF2:BF61)</f>
        <v>409779</v>
      </c>
      <c r="BG62" s="50">
        <f t="shared" ref="BG62" si="82">SUM(BG2:BG61)</f>
        <v>0</v>
      </c>
      <c r="BH62" s="50">
        <f t="shared" ref="BH62" si="83">SUM(BH2:BH61)</f>
        <v>-4649000</v>
      </c>
      <c r="BI62" s="50">
        <f t="shared" ref="BI62" si="84">SUM(BI2:BI61)</f>
        <v>98000</v>
      </c>
      <c r="BJ62" s="50">
        <f t="shared" ref="BJ62:BT62" si="85">SUM(BJ2:BJ61)</f>
        <v>0</v>
      </c>
      <c r="BK62" s="50">
        <f t="shared" si="85"/>
        <v>-3954200</v>
      </c>
      <c r="BL62" s="50">
        <f t="shared" si="85"/>
        <v>0</v>
      </c>
      <c r="BM62" s="50">
        <f t="shared" si="85"/>
        <v>0</v>
      </c>
      <c r="BN62" s="50">
        <f t="shared" si="85"/>
        <v>3005524</v>
      </c>
      <c r="BO62" s="50">
        <f t="shared" si="85"/>
        <v>1149013</v>
      </c>
      <c r="BP62" s="50">
        <f t="shared" si="85"/>
        <v>563941</v>
      </c>
      <c r="BQ62" s="50">
        <f t="shared" si="85"/>
        <v>886885</v>
      </c>
      <c r="BR62" s="50">
        <f t="shared" si="85"/>
        <v>0</v>
      </c>
      <c r="BS62" s="50">
        <f t="shared" si="85"/>
        <v>492529</v>
      </c>
      <c r="BT62" s="50">
        <f t="shared" si="85"/>
        <v>-37904</v>
      </c>
    </row>
  </sheetData>
  <sortState ref="B2:D61">
    <sortCondition ref="B2:B61"/>
  </sortState>
  <mergeCells count="2">
    <mergeCell ref="K1:AN1"/>
    <mergeCell ref="AQ1:BT1"/>
  </mergeCells>
  <dataValidations count="1">
    <dataValidation type="whole" operator="greaterThan" allowBlank="1" showInputMessage="1" showErrorMessage="1" errorTitle="اشتباه در ورود اطلاعات" error="لطفا در قسمت قیمت پایانی عدد مثبت وارد نمایید" sqref="B2:B61" xr:uid="{00000000-0002-0000-0C00-000000000000}">
      <formula1>0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T62"/>
  <sheetViews>
    <sheetView zoomScale="70" zoomScaleNormal="70" workbookViewId="0">
      <pane ySplit="1" topLeftCell="A2" activePane="bottomLeft" state="frozen"/>
      <selection pane="bottomLeft" activeCell="B2" sqref="B2:D61"/>
    </sheetView>
  </sheetViews>
  <sheetFormatPr defaultRowHeight="15" x14ac:dyDescent="0.25"/>
  <cols>
    <col min="2" max="2" width="13.7109375" style="5" customWidth="1"/>
    <col min="3" max="4" width="15.42578125" style="7" customWidth="1"/>
    <col min="5" max="7" width="9.140625" style="27"/>
    <col min="8" max="9" width="16.28515625" style="27" customWidth="1"/>
    <col min="10" max="10" width="10.28515625" style="40" bestFit="1" customWidth="1"/>
    <col min="11" max="11" width="13" style="50" bestFit="1" customWidth="1"/>
    <col min="12" max="12" width="11.5703125" style="49" bestFit="1" customWidth="1"/>
    <col min="13" max="13" width="13" style="50" bestFit="1" customWidth="1"/>
    <col min="14" max="14" width="11.5703125" style="49" bestFit="1" customWidth="1"/>
    <col min="15" max="17" width="13" style="49" bestFit="1" customWidth="1"/>
    <col min="18" max="18" width="9.28515625" style="49" bestFit="1" customWidth="1"/>
    <col min="19" max="19" width="13" style="49" bestFit="1" customWidth="1"/>
    <col min="20" max="20" width="11.7109375" style="49" bestFit="1" customWidth="1"/>
    <col min="21" max="21" width="13" style="49" bestFit="1" customWidth="1"/>
    <col min="22" max="22" width="11.7109375" style="49" bestFit="1" customWidth="1"/>
    <col min="23" max="23" width="9.28515625" style="49" bestFit="1" customWidth="1"/>
    <col min="24" max="24" width="11.5703125" style="49" bestFit="1" customWidth="1"/>
    <col min="25" max="26" width="9.28515625" style="49" bestFit="1" customWidth="1"/>
    <col min="27" max="27" width="11.7109375" style="49" bestFit="1" customWidth="1"/>
    <col min="28" max="28" width="13" style="49" bestFit="1" customWidth="1"/>
    <col min="29" max="29" width="10.28515625" style="49" bestFit="1" customWidth="1"/>
    <col min="30" max="30" width="11.5703125" style="49" bestFit="1" customWidth="1"/>
    <col min="31" max="41" width="11.5703125" style="49" customWidth="1"/>
    <col min="42" max="42" width="9.140625" style="49"/>
    <col min="43" max="43" width="11.7109375" style="50" bestFit="1" customWidth="1"/>
    <col min="44" max="44" width="10.28515625" style="50" bestFit="1" customWidth="1"/>
    <col min="45" max="45" width="11.7109375" style="50" bestFit="1" customWidth="1"/>
    <col min="46" max="46" width="11.5703125" style="50" bestFit="1" customWidth="1"/>
    <col min="47" max="49" width="11.7109375" style="50" bestFit="1" customWidth="1"/>
    <col min="50" max="50" width="9.28515625" style="50" bestFit="1" customWidth="1"/>
    <col min="51" max="51" width="11.7109375" style="50" bestFit="1" customWidth="1"/>
    <col min="52" max="52" width="13" style="50" bestFit="1" customWidth="1"/>
    <col min="53" max="53" width="11.7109375" style="50" bestFit="1" customWidth="1"/>
    <col min="54" max="54" width="13" style="50" bestFit="1" customWidth="1"/>
    <col min="55" max="55" width="9.28515625" style="50" bestFit="1" customWidth="1"/>
    <col min="56" max="56" width="10.28515625" style="50" bestFit="1" customWidth="1"/>
    <col min="57" max="57" width="9.28515625" style="50" bestFit="1" customWidth="1"/>
    <col min="58" max="58" width="10.140625" style="50" bestFit="1" customWidth="1"/>
    <col min="59" max="59" width="13" style="50" bestFit="1" customWidth="1"/>
    <col min="60" max="60" width="11.7109375" style="50" bestFit="1" customWidth="1"/>
    <col min="61" max="61" width="11.5703125" style="50" bestFit="1" customWidth="1"/>
    <col min="62" max="62" width="10.28515625" style="50" bestFit="1" customWidth="1"/>
    <col min="63" max="70" width="9.140625" style="70"/>
    <col min="71" max="72" width="9.140625" style="5"/>
  </cols>
  <sheetData>
    <row r="1" spans="1:72" s="41" customFormat="1" x14ac:dyDescent="0.25">
      <c r="B1" s="89" t="s">
        <v>315</v>
      </c>
      <c r="C1" s="88" t="s">
        <v>480</v>
      </c>
      <c r="D1" s="88" t="s">
        <v>481</v>
      </c>
      <c r="E1" s="88" t="s">
        <v>319</v>
      </c>
      <c r="F1" s="88" t="s">
        <v>320</v>
      </c>
      <c r="G1" s="88" t="s">
        <v>345</v>
      </c>
      <c r="H1" s="88" t="s">
        <v>480</v>
      </c>
      <c r="I1" s="88" t="s">
        <v>481</v>
      </c>
      <c r="J1" s="44">
        <f>(MAX(PRICE)-MIN(PRICE))/30</f>
        <v>1058.1666666666667</v>
      </c>
      <c r="K1" s="125" t="s">
        <v>2</v>
      </c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90"/>
      <c r="AP1" s="46"/>
      <c r="AQ1" s="125" t="s">
        <v>3</v>
      </c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5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</row>
    <row r="2" spans="1:72" s="8" customFormat="1" x14ac:dyDescent="0.25">
      <c r="A2" s="8">
        <v>1</v>
      </c>
      <c r="B2">
        <v>44514</v>
      </c>
      <c r="C2" s="7">
        <f>DATA!C516-DATA!E516</f>
        <v>-1350</v>
      </c>
      <c r="D2" s="7">
        <f>DATA!D516-DATA!F516</f>
        <v>7</v>
      </c>
      <c r="E2" s="38">
        <f>B2</f>
        <v>44514</v>
      </c>
      <c r="F2" s="38">
        <f>E2+$J$1</f>
        <v>45572.166666666664</v>
      </c>
      <c r="G2" s="38">
        <f>(E2+F2)*0.5</f>
        <v>45043.083333333328</v>
      </c>
      <c r="H2" s="27">
        <f>K62</f>
        <v>-3026</v>
      </c>
      <c r="I2" s="38">
        <f>AQ62</f>
        <v>15</v>
      </c>
      <c r="J2" s="39"/>
      <c r="K2" s="47">
        <f>IF(B2&gt;=$E$2,IF(B2&lt;=$F$2,C2,0))</f>
        <v>-1350</v>
      </c>
      <c r="L2" s="48" t="b">
        <f>IF(B2&gt;=$E$3,IF(B2&lt;=$F$3,C2,0))</f>
        <v>0</v>
      </c>
      <c r="M2" s="47" t="b">
        <f>IF(B2&gt;=$E$4,IF(B2&lt;=$F$4,C2,0))</f>
        <v>0</v>
      </c>
      <c r="N2" s="48" t="b">
        <f>IF(B2&gt;=$E$5,IF(B2&lt;=$F$5,C2,0))</f>
        <v>0</v>
      </c>
      <c r="O2" s="48" t="b">
        <f>IF(B2&gt;$E$6,IF(B2&lt;=$F$6,C2,0))</f>
        <v>0</v>
      </c>
      <c r="P2" s="48" t="b">
        <f>IF(B2&gt;=$E$7,IF(B2&lt;=$F$7,C2,0))</f>
        <v>0</v>
      </c>
      <c r="Q2" s="48" t="b">
        <f>IF(B2&gt;=$E$8,IF(B2&lt;=$F$8,C2,0))</f>
        <v>0</v>
      </c>
      <c r="R2" s="48" t="b">
        <f>IF(B2&gt;=$E$9,IF(B2&lt;=$F$9,C2,0))</f>
        <v>0</v>
      </c>
      <c r="S2" s="48" t="b">
        <f>IF(B2&gt;=$E$10,IF(B2&lt;=$F$10,C2,0))</f>
        <v>0</v>
      </c>
      <c r="T2" s="48" t="b">
        <f>IF(B2&gt;=$E$11,IF(B2&lt;=$F$11,C2,0))</f>
        <v>0</v>
      </c>
      <c r="U2" s="48" t="b">
        <f>IF(B2&gt;=$E$12,IF(B2&lt;=$F$12,C2,0))</f>
        <v>0</v>
      </c>
      <c r="V2" s="48" t="b">
        <f>IF(B2&gt;=$E$13,IF(B2&lt;=$F$13,C2,0))</f>
        <v>0</v>
      </c>
      <c r="W2" s="48" t="b">
        <f>IF(B2&gt;=$E$14,IF(B2&lt;=$F$14,C2,0))</f>
        <v>0</v>
      </c>
      <c r="X2" s="48" t="b">
        <f>IF(B2&gt;=$E$15,IF(B2&lt;=$F$15,C2,0))</f>
        <v>0</v>
      </c>
      <c r="Y2" s="48" t="b">
        <f>IF(B2&gt;=$E$16,IF(B2&lt;=$F$16,C2,0))</f>
        <v>0</v>
      </c>
      <c r="Z2" s="48" t="b">
        <f>IF(B2&gt;=$E$17,IF(B2&lt;=$F$17,C2,0))</f>
        <v>0</v>
      </c>
      <c r="AA2" s="48" t="b">
        <f>IF(B2&gt;=$E$18,IF(B2&lt;=$F$18,C2,0))</f>
        <v>0</v>
      </c>
      <c r="AB2" s="48" t="b">
        <f>IF(B2&gt;=$E$19,IF(B2&lt;=$F$19,C2,0))</f>
        <v>0</v>
      </c>
      <c r="AC2" s="48" t="b">
        <f>IF(B2&gt;=$E$20,IF(B2&lt;=$F$20,C2,0))</f>
        <v>0</v>
      </c>
      <c r="AD2" s="48" t="b">
        <f>IF(B2&gt;=$E$21,IF(B2&lt;=$F$21,C2,0))</f>
        <v>0</v>
      </c>
      <c r="AE2" s="48" t="b">
        <f>IF(B2&gt;=$E$22,IF(B2&lt;=$F$22,C2,0))</f>
        <v>0</v>
      </c>
      <c r="AF2" s="48" t="b">
        <f>IF(B2&gt;=$E$23,IF(B2&lt;=$F$23,C2,0))</f>
        <v>0</v>
      </c>
      <c r="AG2" s="48" t="b">
        <f>IF(B2&gt;=$E$24,IF(B2&lt;=$F$24,C2,0))</f>
        <v>0</v>
      </c>
      <c r="AH2" s="48" t="b">
        <f>IF(B2&gt;=$E$25,IF(B2&lt;=$F$25,C2,0))</f>
        <v>0</v>
      </c>
      <c r="AI2" s="48" t="b">
        <f>IF(B2&gt;=$E$26,IF(B2&lt;=$F$26,C2,0))</f>
        <v>0</v>
      </c>
      <c r="AJ2" s="48" t="b">
        <f>IF(B2&gt;=$E$27,IF(B2&lt;=$F$27,C2,0))</f>
        <v>0</v>
      </c>
      <c r="AK2" s="48" t="b">
        <f>IF(B2&gt;=$E$28,IF(B2&lt;=$F$28,C2,0))</f>
        <v>0</v>
      </c>
      <c r="AL2" s="48" t="b">
        <f>IF(B2&gt;=$E$29,IF(B2&lt;=$F$29,C2,0))</f>
        <v>0</v>
      </c>
      <c r="AM2" s="48" t="b">
        <f>IF(B2&gt;=$E$30,IF(B2&lt;=$F$30,C2,0))</f>
        <v>0</v>
      </c>
      <c r="AN2" s="48" t="b">
        <f>IF(B2&gt;=$E$31,IF(B2&lt;=$F$31,C2,0))</f>
        <v>0</v>
      </c>
      <c r="AO2" s="48"/>
      <c r="AP2" s="48"/>
      <c r="AQ2" s="47">
        <f>IF(B2&gt;=$E$2,IF(B2&lt;=$F$2,D2,0))</f>
        <v>7</v>
      </c>
      <c r="AR2" s="47" t="b">
        <f>IF(B2&gt;=$E$3,IF(B2&lt;=$F$3,D2,0))</f>
        <v>0</v>
      </c>
      <c r="AS2" s="47" t="b">
        <f>IF(B2&gt;=$E$4,IF(B2&lt;=$F$4,D2,0))</f>
        <v>0</v>
      </c>
      <c r="AT2" s="47" t="b">
        <f>IF(B2&gt;=$E$5,IF(B2&lt;=$F$5,D2,0))</f>
        <v>0</v>
      </c>
      <c r="AU2" s="47" t="b">
        <f>IF(B2&gt;=$E$6,IF(B2&lt;=$F$6,D2,0))</f>
        <v>0</v>
      </c>
      <c r="AV2" s="47" t="b">
        <f>IF(B2&gt;=$E$7,IF(B2&lt;=$F$7,D2,0))</f>
        <v>0</v>
      </c>
      <c r="AW2" s="47" t="b">
        <f>IF(B2&gt;=$E$8,IF(B2&lt;=$F$8,D2,0))</f>
        <v>0</v>
      </c>
      <c r="AX2" s="47" t="b">
        <f>IF(B2&gt;=$E$9,IF(B2&lt;=$F$9,D2,0))</f>
        <v>0</v>
      </c>
      <c r="AY2" s="47" t="b">
        <f>IF(B2&gt;=$E$10,IF(B2&lt;=$F$10,D2,0))</f>
        <v>0</v>
      </c>
      <c r="AZ2" s="47" t="b">
        <f>IF(B2&gt;=$E$11,IF(B2&lt;=$F$11,D2,0))</f>
        <v>0</v>
      </c>
      <c r="BA2" s="47" t="b">
        <f>IF(B2&gt;=$E$12,IF(B2&lt;=$F$12,D2,0))</f>
        <v>0</v>
      </c>
      <c r="BB2" s="47" t="b">
        <f>IF(B2&gt;=$E$13,IF(B2&lt;=$F$13,D2,0))</f>
        <v>0</v>
      </c>
      <c r="BC2" s="47" t="b">
        <f>IF(B2&gt;=$E$14,IF(B2&lt;=$F$14,D2,0))</f>
        <v>0</v>
      </c>
      <c r="BD2" s="47" t="b">
        <f>IF(B2&gt;=$E$15,IF(B2&lt;=$F$15,D2,0))</f>
        <v>0</v>
      </c>
      <c r="BE2" s="47" t="b">
        <f>IF(B2&gt;=$E$16,IF(B2&lt;=$F$16,D2,0))</f>
        <v>0</v>
      </c>
      <c r="BF2" s="47" t="b">
        <f>IF(B2&gt;=$E$17,IF(B2&lt;=$F$17,D2,0))</f>
        <v>0</v>
      </c>
      <c r="BG2" s="47" t="b">
        <f>IF(B2&gt;=$E$18,IF(B2&lt;=$F$18,D2,0))</f>
        <v>0</v>
      </c>
      <c r="BH2" s="47" t="b">
        <f>IF(B2&gt;=$E$19,IF(B2&lt;=$F$19,D2,0))</f>
        <v>0</v>
      </c>
      <c r="BI2" s="47" t="b">
        <f>IF(B2&gt;=$E$20,IF(B2&lt;=$F$20,D2,0))</f>
        <v>0</v>
      </c>
      <c r="BJ2" s="47" t="b">
        <f>IF(B2&gt;=$E$21,IF(B2&lt;=$F$21,D2,0))</f>
        <v>0</v>
      </c>
      <c r="BK2" s="69" t="b">
        <f>IF(B2&gt;=$E$22,IF(B2&lt;=$F$22,D2,0))</f>
        <v>0</v>
      </c>
      <c r="BL2" s="69" t="b">
        <f>IF(B2&gt;=$E$23,IF(B2&lt;=$F$23,D2,0))</f>
        <v>0</v>
      </c>
      <c r="BM2" s="69" t="b">
        <f>IF(B2&gt;=$E$24,IF(B2&lt;=$F$24,D2,0))</f>
        <v>0</v>
      </c>
      <c r="BN2" s="69" t="b">
        <f>IF(B2&gt;=$E$25,IF(B2&lt;=$F$25,D2,0))</f>
        <v>0</v>
      </c>
      <c r="BO2" s="69" t="b">
        <f>IF(B2&gt;=$E$26,IF(B2&lt;=$F$26,D2,0))</f>
        <v>0</v>
      </c>
      <c r="BP2" s="69" t="b">
        <f>IF(B2&gt;=$E$27,IF(B2&lt;=$F$27,D2,0))</f>
        <v>0</v>
      </c>
      <c r="BQ2" s="69" t="b">
        <f>IF(B2&gt;=$E$28,IF(B2&lt;=$F$28,D2,0))</f>
        <v>0</v>
      </c>
      <c r="BR2" s="69" t="b">
        <f>IF(B2&gt;=$E$29,IF(B2&lt;=$F$29,D2,0))</f>
        <v>0</v>
      </c>
      <c r="BS2" s="37" t="b">
        <f>IF(B2&gt;=$E$30,IF(B2&lt;=$F$30,D2,0))</f>
        <v>0</v>
      </c>
      <c r="BT2" s="37" t="b">
        <f>IF(B2&gt;=$E$31,IF(B2&lt;=$F$31,D2,0))</f>
        <v>0</v>
      </c>
    </row>
    <row r="3" spans="1:72" s="8" customFormat="1" x14ac:dyDescent="0.25">
      <c r="A3" s="8">
        <v>2</v>
      </c>
      <c r="B3">
        <v>44993</v>
      </c>
      <c r="C3" s="7">
        <f>DATA!C534-DATA!E534</f>
        <v>-1491</v>
      </c>
      <c r="D3" s="7">
        <f>DATA!D534-DATA!F534</f>
        <v>-2</v>
      </c>
      <c r="E3" s="38">
        <f>F2</f>
        <v>45572.166666666664</v>
      </c>
      <c r="F3" s="38">
        <f>E3+$J$1</f>
        <v>46630.333333333328</v>
      </c>
      <c r="G3" s="38">
        <f t="shared" ref="G3:G31" si="0">(E3+F3)*0.5</f>
        <v>46101.25</v>
      </c>
      <c r="H3" s="27">
        <f>L62</f>
        <v>-1316</v>
      </c>
      <c r="I3" s="38">
        <f>AR62</f>
        <v>-2</v>
      </c>
      <c r="J3" s="39"/>
      <c r="K3" s="47">
        <f>IF(B3&gt;$E$2,IF(B3&lt;=$F$2,C3,0))</f>
        <v>-1491</v>
      </c>
      <c r="L3" s="47" t="b">
        <f>IF(B3&gt;$E$3,IF(B3&lt;=$F$3,C3,0))</f>
        <v>0</v>
      </c>
      <c r="M3" s="47" t="b">
        <f>IF(B3&gt;$E$4,IF(B3&lt;=$F$4,C3,0))</f>
        <v>0</v>
      </c>
      <c r="N3" s="48" t="b">
        <f>IF(B3&gt;$E$5,IF(B3&lt;=$F$5,C3,0))</f>
        <v>0</v>
      </c>
      <c r="O3" s="48" t="b">
        <f>IF(B3&gt;=$E$6,IF(B3&lt;=$F$6,C3,0))</f>
        <v>0</v>
      </c>
      <c r="P3" s="48" t="b">
        <f>IF(B3&gt;$E$7,IF(B3&lt;=$F$7,C3,0))</f>
        <v>0</v>
      </c>
      <c r="Q3" s="48" t="b">
        <f>IF(B3&gt;$E$8,IF(B3&lt;=$F$8,C3,0))</f>
        <v>0</v>
      </c>
      <c r="R3" s="48" t="b">
        <f>IF(B3&gt;$E$9,IF(B3&lt;=$F$9,C3,0))</f>
        <v>0</v>
      </c>
      <c r="S3" s="48" t="b">
        <f>IF(B3&gt;$E$10,IF(B3&lt;=$F$10,C3,0))</f>
        <v>0</v>
      </c>
      <c r="T3" s="48" t="b">
        <f>IF(B3&gt;$E$11,IF(B3&lt;=$F$11,C3,0))</f>
        <v>0</v>
      </c>
      <c r="U3" s="48" t="b">
        <f>IF(B3&gt;$E$12,IF(B3&lt;=$F$12,C3,0))</f>
        <v>0</v>
      </c>
      <c r="V3" s="48" t="b">
        <f>IF(B3&gt;$E$13,IF(B3&lt;=$F$13,C3,0))</f>
        <v>0</v>
      </c>
      <c r="W3" s="48" t="b">
        <f>IF(B3&gt;$E$14,IF(B3&lt;=$F$14,C3,0))</f>
        <v>0</v>
      </c>
      <c r="X3" s="48" t="b">
        <f>IF(B3&gt;$E$15,IF(B3&lt;=$F$15,C3,0))</f>
        <v>0</v>
      </c>
      <c r="Y3" s="48" t="b">
        <f>IF(B3&gt;$E$16,IF(B3&lt;=$F$16,C3,0))</f>
        <v>0</v>
      </c>
      <c r="Z3" s="48" t="b">
        <f>IF(B3&gt;$E$17,IF(B3&lt;=$F$17,C3,0))</f>
        <v>0</v>
      </c>
      <c r="AA3" s="48" t="b">
        <f>IF(B3&gt;$E$18,IF(B3&lt;=$F$18,C3,0))</f>
        <v>0</v>
      </c>
      <c r="AB3" s="48" t="b">
        <f>IF(B3&gt;$E$19,IF(B3&lt;=$F$19,C3,0))</f>
        <v>0</v>
      </c>
      <c r="AC3" s="48" t="b">
        <f>IF(B3&gt;$E$20,IF(B3&lt;=$F$20,C3,0))</f>
        <v>0</v>
      </c>
      <c r="AD3" s="48" t="b">
        <f>IF(B3&gt;$E$21,IF(B3&lt;=$F$21,C3,0))</f>
        <v>0</v>
      </c>
      <c r="AE3" s="48" t="b">
        <f>IF(B3&gt;$E$22,IF(B3&lt;=$F$22,C3,0))</f>
        <v>0</v>
      </c>
      <c r="AF3" s="48" t="b">
        <f>IF(B3&gt;$E$23,IF(B3&lt;=$F$23,C3,0))</f>
        <v>0</v>
      </c>
      <c r="AG3" s="48" t="b">
        <f>IF(B3&gt;$E$24,IF(B3&lt;=$F$24,C3,0))</f>
        <v>0</v>
      </c>
      <c r="AH3" s="48" t="b">
        <f>IF(B3&gt;$E$25,IF(B3&lt;=$F$25,C3,0))</f>
        <v>0</v>
      </c>
      <c r="AI3" s="48" t="b">
        <f>IF(B3&gt;$E$26,IF(B3&lt;=$F$26,C3,0))</f>
        <v>0</v>
      </c>
      <c r="AJ3" s="48" t="b">
        <f>IF(B3&gt;$E$27,IF(B3&lt;=$F$27,C3,0))</f>
        <v>0</v>
      </c>
      <c r="AK3" s="48" t="b">
        <f>IF(B3&gt;$E$28,IF(B3&lt;=$F$28,C3,0))</f>
        <v>0</v>
      </c>
      <c r="AL3" s="48" t="b">
        <f>IF(B3&gt;$E$29,IF(B3&lt;=$F$29,C3,0))</f>
        <v>0</v>
      </c>
      <c r="AM3" s="48" t="b">
        <f>IF(B3&gt;$E$30,IF(B3&lt;=$F$30,C3,0))</f>
        <v>0</v>
      </c>
      <c r="AN3" s="48" t="b">
        <f>IF(B3&gt;$E$31,IF(B3&lt;=$F$31,C3,0))</f>
        <v>0</v>
      </c>
      <c r="AO3" s="48"/>
      <c r="AP3" s="48"/>
      <c r="AQ3" s="47">
        <f>IF(B3&gt;$E$2,IF(B3&lt;=$F$2,D3,0))</f>
        <v>-2</v>
      </c>
      <c r="AR3" s="47" t="b">
        <f>IF(B3&gt;$E$3,IF(B3&lt;=$F$3,D3,0))</f>
        <v>0</v>
      </c>
      <c r="AS3" s="47" t="b">
        <f>IF(B3&gt;$E$4,IF(B3&lt;=$F$4,D3,0))</f>
        <v>0</v>
      </c>
      <c r="AT3" s="47" t="b">
        <f>IF(B3&gt;$E$5,IF(B3&lt;=$F$5,D3,0))</f>
        <v>0</v>
      </c>
      <c r="AU3" s="47" t="b">
        <f>IF(B3&gt;$E$6,IF(B3&lt;=$F$6,D3,0))</f>
        <v>0</v>
      </c>
      <c r="AV3" s="47" t="b">
        <f>IF(B3&gt;$E$7,IF(B3&lt;=$F$7,D3,0))</f>
        <v>0</v>
      </c>
      <c r="AW3" s="47" t="b">
        <f>IF(B3&gt;$E$8,IF(B3&lt;=$F$8,D3,0))</f>
        <v>0</v>
      </c>
      <c r="AX3" s="47" t="b">
        <f>IF(B3&gt;$E$9,IF(B3&lt;=$F$9,D3,0))</f>
        <v>0</v>
      </c>
      <c r="AY3" s="47" t="b">
        <f>IF(B3&gt;$E$10,IF(B3&lt;=$F$10,D3,0))</f>
        <v>0</v>
      </c>
      <c r="AZ3" s="47" t="b">
        <f>IF(B3&gt;$E$11,IF(B3&lt;=$F$11,D3,0))</f>
        <v>0</v>
      </c>
      <c r="BA3" s="47" t="b">
        <f>IF(B3&gt;$E$12,IF(B3&lt;=$F$12,D3,0))</f>
        <v>0</v>
      </c>
      <c r="BB3" s="47" t="b">
        <f>IF(B3&gt;$E$13,IF(B3&lt;=$F$13,D3,0))</f>
        <v>0</v>
      </c>
      <c r="BC3" s="47" t="b">
        <f>IF(B3&gt;$E$14,IF(B3&lt;=$F$14,D3,0))</f>
        <v>0</v>
      </c>
      <c r="BD3" s="47" t="b">
        <f>IF(B3&gt;$E$15,IF(B3&lt;=$F$15,D3,0))</f>
        <v>0</v>
      </c>
      <c r="BE3" s="47" t="b">
        <f>IF(B3&gt;$E$16,IF(B3&lt;=$F$16,D3,0))</f>
        <v>0</v>
      </c>
      <c r="BF3" s="47" t="b">
        <f>IF(B3&gt;$E$17,IF(B3&lt;=$F$17,D3,0))</f>
        <v>0</v>
      </c>
      <c r="BG3" s="47" t="b">
        <f>IF(B3&gt;$E$18,IF(B3&lt;=$F$18,D3,0))</f>
        <v>0</v>
      </c>
      <c r="BH3" s="47" t="b">
        <f>IF(B3&gt;$E$19,IF(B3&lt;=$F$19,D3,0))</f>
        <v>0</v>
      </c>
      <c r="BI3" s="47" t="b">
        <f>IF(B3&gt;$E$20,IF(B3&lt;=$F$20,D3,0))</f>
        <v>0</v>
      </c>
      <c r="BJ3" s="47" t="b">
        <f>IF(B3&gt;$E$21,IF(B3&lt;=$F$21,D3,0))</f>
        <v>0</v>
      </c>
      <c r="BK3" s="69" t="b">
        <f>IF(B3&gt;$E$22,IF(B3&lt;=$F$22,D3,0))</f>
        <v>0</v>
      </c>
      <c r="BL3" s="69" t="b">
        <f>IF(B3&gt;$E$23,IF(B3&lt;=$F$23,D3,0))</f>
        <v>0</v>
      </c>
      <c r="BM3" s="69" t="b">
        <f>IF(B3&gt;$E$24,IF(B3&lt;=$F$24,D3,0))</f>
        <v>0</v>
      </c>
      <c r="BN3" s="69" t="b">
        <f>IF(B3&gt;$E$25,IF(B3&lt;=$F$25,D3,0))</f>
        <v>0</v>
      </c>
      <c r="BO3" s="69" t="b">
        <f>IF(B3&gt;$E$26,IF(B3&lt;=$F$26,D3,0))</f>
        <v>0</v>
      </c>
      <c r="BP3" s="69" t="b">
        <f>IF(B3&gt;$E$27,IF(B3&lt;=$F$27,D3,0))</f>
        <v>0</v>
      </c>
      <c r="BQ3" s="69" t="b">
        <f>IF(B3&gt;$E$28,IF(B3&lt;=$F$28,D3,0))</f>
        <v>0</v>
      </c>
      <c r="BR3" s="69" t="b">
        <f>IF(B3&gt;$E$29,IF(B3&lt;=$F$29,D3,0))</f>
        <v>0</v>
      </c>
      <c r="BS3" s="37" t="b">
        <f>IF(B3&gt;$E$30,IF(B3&lt;=$F$30,D3,0))</f>
        <v>0</v>
      </c>
      <c r="BT3" s="37" t="b">
        <f>IF(B3&gt;$E$31,IF(B3&lt;=$F$31,D3,0))</f>
        <v>0</v>
      </c>
    </row>
    <row r="4" spans="1:72" s="8" customFormat="1" x14ac:dyDescent="0.25">
      <c r="A4" s="8">
        <v>3</v>
      </c>
      <c r="B4">
        <v>45474</v>
      </c>
      <c r="C4" s="7">
        <f>DATA!C525-DATA!E525</f>
        <v>-185</v>
      </c>
      <c r="D4" s="7">
        <f>DATA!D525-DATA!F525</f>
        <v>10</v>
      </c>
      <c r="E4" s="38">
        <f t="shared" ref="E4:E31" si="1">F3</f>
        <v>46630.333333333328</v>
      </c>
      <c r="F4" s="38">
        <f t="shared" ref="F4:F31" si="2">E4+$J$1</f>
        <v>47688.499999999993</v>
      </c>
      <c r="G4" s="38">
        <f t="shared" si="0"/>
        <v>47159.416666666657</v>
      </c>
      <c r="H4" s="27">
        <f>M62</f>
        <v>-2650</v>
      </c>
      <c r="I4" s="38">
        <f>AS62</f>
        <v>7</v>
      </c>
      <c r="J4" s="39"/>
      <c r="K4" s="47">
        <f t="shared" ref="K4:K61" si="3">IF(B4&gt;$E$2,IF(B4&lt;=$F$2,C4,0))</f>
        <v>-185</v>
      </c>
      <c r="L4" s="47" t="b">
        <f t="shared" ref="L4:L61" si="4">IF(B4&gt;$E$3,IF(B4&lt;=$F$3,C4,0))</f>
        <v>0</v>
      </c>
      <c r="M4" s="47" t="b">
        <f t="shared" ref="M4:M61" si="5">IF(B4&gt;$E$4,IF(B4&lt;=$F$4,C4,0))</f>
        <v>0</v>
      </c>
      <c r="N4" s="48" t="b">
        <f t="shared" ref="N4:N61" si="6">IF(B4&gt;$E$5,IF(B4&lt;=$F$5,C4,0))</f>
        <v>0</v>
      </c>
      <c r="O4" s="48" t="b">
        <f t="shared" ref="O4:O61" si="7">IF(B4&gt;=$E$6,IF(B4&lt;=$F$6,C4,0))</f>
        <v>0</v>
      </c>
      <c r="P4" s="48" t="b">
        <f t="shared" ref="P4:P61" si="8">IF(B4&gt;$E$7,IF(B4&lt;=$F$7,C4,0))</f>
        <v>0</v>
      </c>
      <c r="Q4" s="48" t="b">
        <f t="shared" ref="Q4:Q61" si="9">IF(B4&gt;$E$8,IF(B4&lt;=$F$8,C4,0))</f>
        <v>0</v>
      </c>
      <c r="R4" s="48" t="b">
        <f t="shared" ref="R4:R61" si="10">IF(B4&gt;$E$9,IF(B4&lt;=$F$9,C4,0))</f>
        <v>0</v>
      </c>
      <c r="S4" s="48" t="b">
        <f t="shared" ref="S4:S61" si="11">IF(B4&gt;$E$10,IF(B4&lt;=$F$10,C4,0))</f>
        <v>0</v>
      </c>
      <c r="T4" s="48" t="b">
        <f t="shared" ref="T4:T61" si="12">IF(B4&gt;$E$11,IF(B4&lt;=$F$11,C4,0))</f>
        <v>0</v>
      </c>
      <c r="U4" s="48" t="b">
        <f t="shared" ref="U4:U61" si="13">IF(B4&gt;$E$12,IF(B4&lt;=$F$12,C4,0))</f>
        <v>0</v>
      </c>
      <c r="V4" s="48" t="b">
        <f t="shared" ref="V4:V61" si="14">IF(B4&gt;$E$13,IF(B4&lt;=$F$13,C4,0))</f>
        <v>0</v>
      </c>
      <c r="W4" s="48" t="b">
        <f t="shared" ref="W4:W61" si="15">IF(B4&gt;$E$14,IF(B4&lt;=$F$14,C4,0))</f>
        <v>0</v>
      </c>
      <c r="X4" s="48" t="b">
        <f t="shared" ref="X4:X61" si="16">IF(B4&gt;$E$15,IF(B4&lt;=$F$15,C4,0))</f>
        <v>0</v>
      </c>
      <c r="Y4" s="48" t="b">
        <f t="shared" ref="Y4:Y61" si="17">IF(B4&gt;$E$16,IF(B4&lt;=$F$16,C4,0))</f>
        <v>0</v>
      </c>
      <c r="Z4" s="48" t="b">
        <f t="shared" ref="Z4:Z61" si="18">IF(B4&gt;$E$17,IF(B4&lt;=$F$17,C4,0))</f>
        <v>0</v>
      </c>
      <c r="AA4" s="48" t="b">
        <f t="shared" ref="AA4:AA61" si="19">IF(B4&gt;$E$18,IF(B4&lt;=$F$18,C4,0))</f>
        <v>0</v>
      </c>
      <c r="AB4" s="48" t="b">
        <f t="shared" ref="AB4:AB61" si="20">IF(B4&gt;$E$19,IF(B4&lt;=$F$19,C4,0))</f>
        <v>0</v>
      </c>
      <c r="AC4" s="48" t="b">
        <f t="shared" ref="AC4:AC61" si="21">IF(B4&gt;$E$20,IF(B4&lt;=$F$20,C4,0))</f>
        <v>0</v>
      </c>
      <c r="AD4" s="48" t="b">
        <f t="shared" ref="AD4:AD61" si="22">IF(B4&gt;$E$21,IF(B4&lt;=$F$21,C4,0))</f>
        <v>0</v>
      </c>
      <c r="AE4" s="48" t="b">
        <f t="shared" ref="AE4:AE61" si="23">IF(B4&gt;$E$22,IF(B4&lt;=$F$22,C4,0))</f>
        <v>0</v>
      </c>
      <c r="AF4" s="48" t="b">
        <f t="shared" ref="AF4:AF61" si="24">IF(B4&gt;$E$23,IF(B4&lt;=$F$23,C4,0))</f>
        <v>0</v>
      </c>
      <c r="AG4" s="48" t="b">
        <f t="shared" ref="AG4:AG61" si="25">IF(B4&gt;$E$24,IF(B4&lt;=$F$24,C4,0))</f>
        <v>0</v>
      </c>
      <c r="AH4" s="48" t="b">
        <f t="shared" ref="AH4:AH61" si="26">IF(B4&gt;$E$25,IF(B4&lt;=$F$25,C4,0))</f>
        <v>0</v>
      </c>
      <c r="AI4" s="48" t="b">
        <f t="shared" ref="AI4:AI61" si="27">IF(B4&gt;$E$26,IF(B4&lt;=$F$26,C4,0))</f>
        <v>0</v>
      </c>
      <c r="AJ4" s="48" t="b">
        <f t="shared" ref="AJ4:AJ61" si="28">IF(B4&gt;$E$27,IF(B4&lt;=$F$27,C4,0))</f>
        <v>0</v>
      </c>
      <c r="AK4" s="48" t="b">
        <f t="shared" ref="AK4:AK61" si="29">IF(B4&gt;$E$28,IF(B4&lt;=$F$28,C4,0))</f>
        <v>0</v>
      </c>
      <c r="AL4" s="48" t="b">
        <f t="shared" ref="AL4:AL61" si="30">IF(B4&gt;$E$29,IF(B4&lt;=$F$29,C4,0))</f>
        <v>0</v>
      </c>
      <c r="AM4" s="48" t="b">
        <f t="shared" ref="AM4:AM61" si="31">IF(B4&gt;$E$30,IF(B4&lt;=$F$30,C4,0))</f>
        <v>0</v>
      </c>
      <c r="AN4" s="48" t="b">
        <f t="shared" ref="AN4:AN61" si="32">IF(B4&gt;$E$31,IF(B4&lt;=$F$31,C4,0))</f>
        <v>0</v>
      </c>
      <c r="AO4" s="48"/>
      <c r="AP4" s="48"/>
      <c r="AQ4" s="47">
        <f t="shared" ref="AQ4:AQ61" si="33">IF(B4&gt;$E$2,IF(B4&lt;=$F$2,D4,0))</f>
        <v>10</v>
      </c>
      <c r="AR4" s="47" t="b">
        <f t="shared" ref="AR4:AR61" si="34">IF(B4&gt;$E$3,IF(B4&lt;=$F$3,D4,0))</f>
        <v>0</v>
      </c>
      <c r="AS4" s="47" t="b">
        <f t="shared" ref="AS4:AS61" si="35">IF(B4&gt;$E$4,IF(B4&lt;=$F$4,D4,0))</f>
        <v>0</v>
      </c>
      <c r="AT4" s="47" t="b">
        <f t="shared" ref="AT4:AT61" si="36">IF(B4&gt;$E$5,IF(B4&lt;=$F$5,D4,0))</f>
        <v>0</v>
      </c>
      <c r="AU4" s="47" t="b">
        <f t="shared" ref="AU4:AU61" si="37">IF(B4&gt;$E$6,IF(B4&lt;=$F$6,D4,0))</f>
        <v>0</v>
      </c>
      <c r="AV4" s="47" t="b">
        <f t="shared" ref="AV4:AV61" si="38">IF(B4&gt;$E$7,IF(B4&lt;=$F$7,D4,0))</f>
        <v>0</v>
      </c>
      <c r="AW4" s="47" t="b">
        <f t="shared" ref="AW4:AW61" si="39">IF(B4&gt;$E$8,IF(B4&lt;=$F$8,D4,0))</f>
        <v>0</v>
      </c>
      <c r="AX4" s="47" t="b">
        <f t="shared" ref="AX4:AX61" si="40">IF(B4&gt;$E$9,IF(B4&lt;=$F$9,D4,0))</f>
        <v>0</v>
      </c>
      <c r="AY4" s="47" t="b">
        <f t="shared" ref="AY4:AY61" si="41">IF(B4&gt;$E$10,IF(B4&lt;=$F$10,D4,0))</f>
        <v>0</v>
      </c>
      <c r="AZ4" s="47" t="b">
        <f t="shared" ref="AZ4:AZ61" si="42">IF(B4&gt;$E$11,IF(B4&lt;=$F$11,D4,0))</f>
        <v>0</v>
      </c>
      <c r="BA4" s="47" t="b">
        <f t="shared" ref="BA4:BA61" si="43">IF(B4&gt;$E$12,IF(B4&lt;=$F$12,D4,0))</f>
        <v>0</v>
      </c>
      <c r="BB4" s="47" t="b">
        <f t="shared" ref="BB4:BB61" si="44">IF(B4&gt;$E$13,IF(B4&lt;=$F$13,D4,0))</f>
        <v>0</v>
      </c>
      <c r="BC4" s="47" t="b">
        <f t="shared" ref="BC4:BC61" si="45">IF(B4&gt;$E$14,IF(B4&lt;=$F$14,D4,0))</f>
        <v>0</v>
      </c>
      <c r="BD4" s="47" t="b">
        <f t="shared" ref="BD4:BD61" si="46">IF(B4&gt;$E$15,IF(B4&lt;=$F$15,D4,0))</f>
        <v>0</v>
      </c>
      <c r="BE4" s="47" t="b">
        <f t="shared" ref="BE4:BE61" si="47">IF(B4&gt;$E$16,IF(B4&lt;=$F$16,D4,0))</f>
        <v>0</v>
      </c>
      <c r="BF4" s="47" t="b">
        <f t="shared" ref="BF4:BF61" si="48">IF(B4&gt;$E$17,IF(B4&lt;=$F$17,D4,0))</f>
        <v>0</v>
      </c>
      <c r="BG4" s="47" t="b">
        <f t="shared" ref="BG4:BG61" si="49">IF(B4&gt;$E$18,IF(B4&lt;=$F$18,D4,0))</f>
        <v>0</v>
      </c>
      <c r="BH4" s="47" t="b">
        <f t="shared" ref="BH4:BH61" si="50">IF(B4&gt;$E$19,IF(B4&lt;=$F$19,D4,0))</f>
        <v>0</v>
      </c>
      <c r="BI4" s="47" t="b">
        <f t="shared" ref="BI4:BI61" si="51">IF(B4&gt;$E$20,IF(B4&lt;=$F$20,D4,0))</f>
        <v>0</v>
      </c>
      <c r="BJ4" s="47" t="b">
        <f t="shared" ref="BJ4:BJ61" si="52">IF(B4&gt;$E$21,IF(B4&lt;=$F$21,D4,0))</f>
        <v>0</v>
      </c>
      <c r="BK4" s="69" t="b">
        <f t="shared" ref="BK4:BK61" si="53">IF(B4&gt;$E$22,IF(B4&lt;=$F$22,D4,0))</f>
        <v>0</v>
      </c>
      <c r="BL4" s="69" t="b">
        <f t="shared" ref="BL4:BL61" si="54">IF(B4&gt;$E$23,IF(B4&lt;=$F$23,D4,0))</f>
        <v>0</v>
      </c>
      <c r="BM4" s="69" t="b">
        <f t="shared" ref="BM4:BM61" si="55">IF(B4&gt;$E$24,IF(B4&lt;=$F$24,D4,0))</f>
        <v>0</v>
      </c>
      <c r="BN4" s="69" t="b">
        <f t="shared" ref="BN4:BN61" si="56">IF(B4&gt;$E$25,IF(B4&lt;=$F$25,D4,0))</f>
        <v>0</v>
      </c>
      <c r="BO4" s="69" t="b">
        <f t="shared" ref="BO4:BO61" si="57">IF(B4&gt;$E$26,IF(B4&lt;=$F$26,D4,0))</f>
        <v>0</v>
      </c>
      <c r="BP4" s="69" t="b">
        <f t="shared" ref="BP4:BP61" si="58">IF(B4&gt;$E$27,IF(B4&lt;=$F$27,D4,0))</f>
        <v>0</v>
      </c>
      <c r="BQ4" s="69" t="b">
        <f t="shared" ref="BQ4:BQ61" si="59">IF(B4&gt;$E$28,IF(B4&lt;=$F$28,D4,0))</f>
        <v>0</v>
      </c>
      <c r="BR4" s="69" t="b">
        <f t="shared" ref="BR4:BR61" si="60">IF(B4&gt;$E$29,IF(B4&lt;=$F$29,D4,0))</f>
        <v>0</v>
      </c>
      <c r="BS4" s="37" t="b">
        <f t="shared" ref="BS4:BS61" si="61">IF(B4&gt;$E$30,IF(B4&lt;=$F$30,D4,0))</f>
        <v>0</v>
      </c>
      <c r="BT4" s="37" t="b">
        <f t="shared" ref="BT4:BT61" si="62">IF(B4&gt;$E$31,IF(B4&lt;=$F$31,D4,0))</f>
        <v>0</v>
      </c>
    </row>
    <row r="5" spans="1:72" s="8" customFormat="1" x14ac:dyDescent="0.25">
      <c r="A5" s="8">
        <v>4</v>
      </c>
      <c r="B5">
        <v>46186</v>
      </c>
      <c r="C5" s="7">
        <f>DATA!C507-DATA!E507</f>
        <v>-1316</v>
      </c>
      <c r="D5" s="7">
        <f>DATA!D507-DATA!F507</f>
        <v>-2</v>
      </c>
      <c r="E5" s="38">
        <f t="shared" si="1"/>
        <v>47688.499999999993</v>
      </c>
      <c r="F5" s="38">
        <f t="shared" si="2"/>
        <v>48746.666666666657</v>
      </c>
      <c r="G5" s="38">
        <f t="shared" si="0"/>
        <v>48217.583333333328</v>
      </c>
      <c r="H5" s="27">
        <f>N62</f>
        <v>-1510</v>
      </c>
      <c r="I5" s="38">
        <f>AT62</f>
        <v>-4</v>
      </c>
      <c r="J5" s="39"/>
      <c r="K5" s="47">
        <f t="shared" si="3"/>
        <v>0</v>
      </c>
      <c r="L5" s="47">
        <f t="shared" si="4"/>
        <v>-1316</v>
      </c>
      <c r="M5" s="47" t="b">
        <f t="shared" si="5"/>
        <v>0</v>
      </c>
      <c r="N5" s="48" t="b">
        <f t="shared" si="6"/>
        <v>0</v>
      </c>
      <c r="O5" s="48" t="b">
        <f t="shared" si="7"/>
        <v>0</v>
      </c>
      <c r="P5" s="48" t="b">
        <f t="shared" si="8"/>
        <v>0</v>
      </c>
      <c r="Q5" s="48" t="b">
        <f t="shared" si="9"/>
        <v>0</v>
      </c>
      <c r="R5" s="48" t="b">
        <f t="shared" si="10"/>
        <v>0</v>
      </c>
      <c r="S5" s="48" t="b">
        <f t="shared" si="11"/>
        <v>0</v>
      </c>
      <c r="T5" s="48" t="b">
        <f t="shared" si="12"/>
        <v>0</v>
      </c>
      <c r="U5" s="48" t="b">
        <f t="shared" si="13"/>
        <v>0</v>
      </c>
      <c r="V5" s="48" t="b">
        <f t="shared" si="14"/>
        <v>0</v>
      </c>
      <c r="W5" s="48" t="b">
        <f t="shared" si="15"/>
        <v>0</v>
      </c>
      <c r="X5" s="48" t="b">
        <f t="shared" si="16"/>
        <v>0</v>
      </c>
      <c r="Y5" s="48" t="b">
        <f t="shared" si="17"/>
        <v>0</v>
      </c>
      <c r="Z5" s="48" t="b">
        <f t="shared" si="18"/>
        <v>0</v>
      </c>
      <c r="AA5" s="48" t="b">
        <f t="shared" si="19"/>
        <v>0</v>
      </c>
      <c r="AB5" s="48" t="b">
        <f t="shared" si="20"/>
        <v>0</v>
      </c>
      <c r="AC5" s="48" t="b">
        <f t="shared" si="21"/>
        <v>0</v>
      </c>
      <c r="AD5" s="48" t="b">
        <f t="shared" si="22"/>
        <v>0</v>
      </c>
      <c r="AE5" s="48" t="b">
        <f t="shared" si="23"/>
        <v>0</v>
      </c>
      <c r="AF5" s="48" t="b">
        <f t="shared" si="24"/>
        <v>0</v>
      </c>
      <c r="AG5" s="48" t="b">
        <f t="shared" si="25"/>
        <v>0</v>
      </c>
      <c r="AH5" s="48" t="b">
        <f t="shared" si="26"/>
        <v>0</v>
      </c>
      <c r="AI5" s="48" t="b">
        <f t="shared" si="27"/>
        <v>0</v>
      </c>
      <c r="AJ5" s="48" t="b">
        <f t="shared" si="28"/>
        <v>0</v>
      </c>
      <c r="AK5" s="48" t="b">
        <f t="shared" si="29"/>
        <v>0</v>
      </c>
      <c r="AL5" s="48" t="b">
        <f t="shared" si="30"/>
        <v>0</v>
      </c>
      <c r="AM5" s="48" t="b">
        <f t="shared" si="31"/>
        <v>0</v>
      </c>
      <c r="AN5" s="48" t="b">
        <f t="shared" si="32"/>
        <v>0</v>
      </c>
      <c r="AO5" s="48"/>
      <c r="AP5" s="48"/>
      <c r="AQ5" s="47">
        <f t="shared" si="33"/>
        <v>0</v>
      </c>
      <c r="AR5" s="47">
        <f t="shared" si="34"/>
        <v>-2</v>
      </c>
      <c r="AS5" s="47" t="b">
        <f t="shared" si="35"/>
        <v>0</v>
      </c>
      <c r="AT5" s="47" t="b">
        <f t="shared" si="36"/>
        <v>0</v>
      </c>
      <c r="AU5" s="47" t="b">
        <f t="shared" si="37"/>
        <v>0</v>
      </c>
      <c r="AV5" s="47" t="b">
        <f t="shared" si="38"/>
        <v>0</v>
      </c>
      <c r="AW5" s="47" t="b">
        <f t="shared" si="39"/>
        <v>0</v>
      </c>
      <c r="AX5" s="47" t="b">
        <f t="shared" si="40"/>
        <v>0</v>
      </c>
      <c r="AY5" s="47" t="b">
        <f t="shared" si="41"/>
        <v>0</v>
      </c>
      <c r="AZ5" s="47" t="b">
        <f t="shared" si="42"/>
        <v>0</v>
      </c>
      <c r="BA5" s="47" t="b">
        <f t="shared" si="43"/>
        <v>0</v>
      </c>
      <c r="BB5" s="47" t="b">
        <f t="shared" si="44"/>
        <v>0</v>
      </c>
      <c r="BC5" s="47" t="b">
        <f t="shared" si="45"/>
        <v>0</v>
      </c>
      <c r="BD5" s="47" t="b">
        <f t="shared" si="46"/>
        <v>0</v>
      </c>
      <c r="BE5" s="47" t="b">
        <f t="shared" si="47"/>
        <v>0</v>
      </c>
      <c r="BF5" s="47" t="b">
        <f t="shared" si="48"/>
        <v>0</v>
      </c>
      <c r="BG5" s="47" t="b">
        <f t="shared" si="49"/>
        <v>0</v>
      </c>
      <c r="BH5" s="47" t="b">
        <f t="shared" si="50"/>
        <v>0</v>
      </c>
      <c r="BI5" s="47" t="b">
        <f t="shared" si="51"/>
        <v>0</v>
      </c>
      <c r="BJ5" s="47" t="b">
        <f t="shared" si="52"/>
        <v>0</v>
      </c>
      <c r="BK5" s="69" t="b">
        <f t="shared" si="53"/>
        <v>0</v>
      </c>
      <c r="BL5" s="69" t="b">
        <f t="shared" si="54"/>
        <v>0</v>
      </c>
      <c r="BM5" s="69" t="b">
        <f t="shared" si="55"/>
        <v>0</v>
      </c>
      <c r="BN5" s="69" t="b">
        <f t="shared" si="56"/>
        <v>0</v>
      </c>
      <c r="BO5" s="69" t="b">
        <f t="shared" si="57"/>
        <v>0</v>
      </c>
      <c r="BP5" s="69" t="b">
        <f t="shared" si="58"/>
        <v>0</v>
      </c>
      <c r="BQ5" s="69" t="b">
        <f t="shared" si="59"/>
        <v>0</v>
      </c>
      <c r="BR5" s="69" t="b">
        <f t="shared" si="60"/>
        <v>0</v>
      </c>
      <c r="BS5" s="37" t="b">
        <f t="shared" si="61"/>
        <v>0</v>
      </c>
      <c r="BT5" s="37" t="b">
        <f t="shared" si="62"/>
        <v>0</v>
      </c>
    </row>
    <row r="6" spans="1:72" s="8" customFormat="1" x14ac:dyDescent="0.25">
      <c r="A6" s="8">
        <v>5</v>
      </c>
      <c r="B6">
        <v>47193</v>
      </c>
      <c r="C6" s="7">
        <f>DATA!C471-DATA!E471</f>
        <v>-365</v>
      </c>
      <c r="D6" s="7">
        <f>DATA!D471-DATA!F471</f>
        <v>-1</v>
      </c>
      <c r="E6" s="38">
        <f t="shared" si="1"/>
        <v>48746.666666666657</v>
      </c>
      <c r="F6" s="38">
        <f t="shared" si="2"/>
        <v>49804.833333333321</v>
      </c>
      <c r="G6" s="38">
        <f t="shared" si="0"/>
        <v>49275.749999999985</v>
      </c>
      <c r="H6" s="27">
        <f>O62</f>
        <v>-1273</v>
      </c>
      <c r="I6" s="38">
        <f>AU62</f>
        <v>-1</v>
      </c>
      <c r="J6" s="39"/>
      <c r="K6" s="47">
        <f t="shared" si="3"/>
        <v>0</v>
      </c>
      <c r="L6" s="47">
        <f t="shared" si="4"/>
        <v>0</v>
      </c>
      <c r="M6" s="47">
        <f t="shared" si="5"/>
        <v>-365</v>
      </c>
      <c r="N6" s="48" t="b">
        <f t="shared" si="6"/>
        <v>0</v>
      </c>
      <c r="O6" s="48" t="b">
        <f t="shared" si="7"/>
        <v>0</v>
      </c>
      <c r="P6" s="48" t="b">
        <f t="shared" si="8"/>
        <v>0</v>
      </c>
      <c r="Q6" s="48" t="b">
        <f t="shared" si="9"/>
        <v>0</v>
      </c>
      <c r="R6" s="48" t="b">
        <f t="shared" si="10"/>
        <v>0</v>
      </c>
      <c r="S6" s="48" t="b">
        <f t="shared" si="11"/>
        <v>0</v>
      </c>
      <c r="T6" s="48" t="b">
        <f t="shared" si="12"/>
        <v>0</v>
      </c>
      <c r="U6" s="48" t="b">
        <f t="shared" si="13"/>
        <v>0</v>
      </c>
      <c r="V6" s="48" t="b">
        <f t="shared" si="14"/>
        <v>0</v>
      </c>
      <c r="W6" s="48" t="b">
        <f t="shared" si="15"/>
        <v>0</v>
      </c>
      <c r="X6" s="48" t="b">
        <f t="shared" si="16"/>
        <v>0</v>
      </c>
      <c r="Y6" s="48" t="b">
        <f t="shared" si="17"/>
        <v>0</v>
      </c>
      <c r="Z6" s="48" t="b">
        <f t="shared" si="18"/>
        <v>0</v>
      </c>
      <c r="AA6" s="48" t="b">
        <f t="shared" si="19"/>
        <v>0</v>
      </c>
      <c r="AB6" s="48" t="b">
        <f t="shared" si="20"/>
        <v>0</v>
      </c>
      <c r="AC6" s="48" t="b">
        <f t="shared" si="21"/>
        <v>0</v>
      </c>
      <c r="AD6" s="48" t="b">
        <f t="shared" si="22"/>
        <v>0</v>
      </c>
      <c r="AE6" s="48" t="b">
        <f t="shared" si="23"/>
        <v>0</v>
      </c>
      <c r="AF6" s="48" t="b">
        <f t="shared" si="24"/>
        <v>0</v>
      </c>
      <c r="AG6" s="48" t="b">
        <f t="shared" si="25"/>
        <v>0</v>
      </c>
      <c r="AH6" s="48" t="b">
        <f t="shared" si="26"/>
        <v>0</v>
      </c>
      <c r="AI6" s="48" t="b">
        <f t="shared" si="27"/>
        <v>0</v>
      </c>
      <c r="AJ6" s="48" t="b">
        <f t="shared" si="28"/>
        <v>0</v>
      </c>
      <c r="AK6" s="48" t="b">
        <f t="shared" si="29"/>
        <v>0</v>
      </c>
      <c r="AL6" s="48" t="b">
        <f t="shared" si="30"/>
        <v>0</v>
      </c>
      <c r="AM6" s="48" t="b">
        <f t="shared" si="31"/>
        <v>0</v>
      </c>
      <c r="AN6" s="48" t="b">
        <f t="shared" si="32"/>
        <v>0</v>
      </c>
      <c r="AO6" s="48"/>
      <c r="AP6" s="48"/>
      <c r="AQ6" s="47">
        <f t="shared" si="33"/>
        <v>0</v>
      </c>
      <c r="AR6" s="47">
        <f t="shared" si="34"/>
        <v>0</v>
      </c>
      <c r="AS6" s="47">
        <f t="shared" si="35"/>
        <v>-1</v>
      </c>
      <c r="AT6" s="47" t="b">
        <f t="shared" si="36"/>
        <v>0</v>
      </c>
      <c r="AU6" s="47" t="b">
        <f t="shared" si="37"/>
        <v>0</v>
      </c>
      <c r="AV6" s="47" t="b">
        <f t="shared" si="38"/>
        <v>0</v>
      </c>
      <c r="AW6" s="47" t="b">
        <f t="shared" si="39"/>
        <v>0</v>
      </c>
      <c r="AX6" s="47" t="b">
        <f t="shared" si="40"/>
        <v>0</v>
      </c>
      <c r="AY6" s="47" t="b">
        <f t="shared" si="41"/>
        <v>0</v>
      </c>
      <c r="AZ6" s="47" t="b">
        <f t="shared" si="42"/>
        <v>0</v>
      </c>
      <c r="BA6" s="47" t="b">
        <f t="shared" si="43"/>
        <v>0</v>
      </c>
      <c r="BB6" s="47" t="b">
        <f t="shared" si="44"/>
        <v>0</v>
      </c>
      <c r="BC6" s="47" t="b">
        <f t="shared" si="45"/>
        <v>0</v>
      </c>
      <c r="BD6" s="47" t="b">
        <f t="shared" si="46"/>
        <v>0</v>
      </c>
      <c r="BE6" s="47" t="b">
        <f t="shared" si="47"/>
        <v>0</v>
      </c>
      <c r="BF6" s="47" t="b">
        <f t="shared" si="48"/>
        <v>0</v>
      </c>
      <c r="BG6" s="47" t="b">
        <f t="shared" si="49"/>
        <v>0</v>
      </c>
      <c r="BH6" s="47" t="b">
        <f t="shared" si="50"/>
        <v>0</v>
      </c>
      <c r="BI6" s="47" t="b">
        <f t="shared" si="51"/>
        <v>0</v>
      </c>
      <c r="BJ6" s="47" t="b">
        <f t="shared" si="52"/>
        <v>0</v>
      </c>
      <c r="BK6" s="69" t="b">
        <f t="shared" si="53"/>
        <v>0</v>
      </c>
      <c r="BL6" s="69" t="b">
        <f t="shared" si="54"/>
        <v>0</v>
      </c>
      <c r="BM6" s="69" t="b">
        <f t="shared" si="55"/>
        <v>0</v>
      </c>
      <c r="BN6" s="69" t="b">
        <f t="shared" si="56"/>
        <v>0</v>
      </c>
      <c r="BO6" s="69" t="b">
        <f t="shared" si="57"/>
        <v>0</v>
      </c>
      <c r="BP6" s="69" t="b">
        <f t="shared" si="58"/>
        <v>0</v>
      </c>
      <c r="BQ6" s="69" t="b">
        <f t="shared" si="59"/>
        <v>0</v>
      </c>
      <c r="BR6" s="69" t="b">
        <f t="shared" si="60"/>
        <v>0</v>
      </c>
      <c r="BS6" s="37" t="b">
        <f t="shared" si="61"/>
        <v>0</v>
      </c>
      <c r="BT6" s="37" t="b">
        <f t="shared" si="62"/>
        <v>0</v>
      </c>
    </row>
    <row r="7" spans="1:72" s="8" customFormat="1" x14ac:dyDescent="0.25">
      <c r="A7" s="8">
        <v>6</v>
      </c>
      <c r="B7">
        <v>47514</v>
      </c>
      <c r="C7" s="7">
        <f>DATA!C390-DATA!E390</f>
        <v>-1882</v>
      </c>
      <c r="D7" s="7">
        <f>DATA!D390-DATA!F390</f>
        <v>0</v>
      </c>
      <c r="E7" s="38">
        <f t="shared" si="1"/>
        <v>49804.833333333321</v>
      </c>
      <c r="F7" s="38">
        <f t="shared" si="2"/>
        <v>50862.999999999985</v>
      </c>
      <c r="G7" s="38">
        <f t="shared" si="0"/>
        <v>50333.916666666657</v>
      </c>
      <c r="H7" s="27">
        <f>P62</f>
        <v>-1362</v>
      </c>
      <c r="I7" s="38">
        <f>AV62</f>
        <v>14</v>
      </c>
      <c r="J7" s="39"/>
      <c r="K7" s="47">
        <f t="shared" si="3"/>
        <v>0</v>
      </c>
      <c r="L7" s="47">
        <f t="shared" si="4"/>
        <v>0</v>
      </c>
      <c r="M7" s="47">
        <f t="shared" si="5"/>
        <v>-1882</v>
      </c>
      <c r="N7" s="48" t="b">
        <f t="shared" si="6"/>
        <v>0</v>
      </c>
      <c r="O7" s="48" t="b">
        <f t="shared" si="7"/>
        <v>0</v>
      </c>
      <c r="P7" s="48" t="b">
        <f t="shared" si="8"/>
        <v>0</v>
      </c>
      <c r="Q7" s="48" t="b">
        <f t="shared" si="9"/>
        <v>0</v>
      </c>
      <c r="R7" s="48" t="b">
        <f t="shared" si="10"/>
        <v>0</v>
      </c>
      <c r="S7" s="48" t="b">
        <f t="shared" si="11"/>
        <v>0</v>
      </c>
      <c r="T7" s="48" t="b">
        <f t="shared" si="12"/>
        <v>0</v>
      </c>
      <c r="U7" s="48" t="b">
        <f t="shared" si="13"/>
        <v>0</v>
      </c>
      <c r="V7" s="48" t="b">
        <f t="shared" si="14"/>
        <v>0</v>
      </c>
      <c r="W7" s="48" t="b">
        <f t="shared" si="15"/>
        <v>0</v>
      </c>
      <c r="X7" s="48" t="b">
        <f t="shared" si="16"/>
        <v>0</v>
      </c>
      <c r="Y7" s="48" t="b">
        <f t="shared" si="17"/>
        <v>0</v>
      </c>
      <c r="Z7" s="48" t="b">
        <f t="shared" si="18"/>
        <v>0</v>
      </c>
      <c r="AA7" s="48" t="b">
        <f t="shared" si="19"/>
        <v>0</v>
      </c>
      <c r="AB7" s="48" t="b">
        <f t="shared" si="20"/>
        <v>0</v>
      </c>
      <c r="AC7" s="48" t="b">
        <f t="shared" si="21"/>
        <v>0</v>
      </c>
      <c r="AD7" s="48" t="b">
        <f t="shared" si="22"/>
        <v>0</v>
      </c>
      <c r="AE7" s="48" t="b">
        <f t="shared" si="23"/>
        <v>0</v>
      </c>
      <c r="AF7" s="48" t="b">
        <f t="shared" si="24"/>
        <v>0</v>
      </c>
      <c r="AG7" s="48" t="b">
        <f t="shared" si="25"/>
        <v>0</v>
      </c>
      <c r="AH7" s="48" t="b">
        <f t="shared" si="26"/>
        <v>0</v>
      </c>
      <c r="AI7" s="48" t="b">
        <f t="shared" si="27"/>
        <v>0</v>
      </c>
      <c r="AJ7" s="48" t="b">
        <f t="shared" si="28"/>
        <v>0</v>
      </c>
      <c r="AK7" s="48" t="b">
        <f t="shared" si="29"/>
        <v>0</v>
      </c>
      <c r="AL7" s="48" t="b">
        <f t="shared" si="30"/>
        <v>0</v>
      </c>
      <c r="AM7" s="48" t="b">
        <f t="shared" si="31"/>
        <v>0</v>
      </c>
      <c r="AN7" s="48" t="b">
        <f t="shared" si="32"/>
        <v>0</v>
      </c>
      <c r="AO7" s="48"/>
      <c r="AP7" s="48"/>
      <c r="AQ7" s="47">
        <f t="shared" si="33"/>
        <v>0</v>
      </c>
      <c r="AR7" s="47">
        <f t="shared" si="34"/>
        <v>0</v>
      </c>
      <c r="AS7" s="47">
        <f t="shared" si="35"/>
        <v>0</v>
      </c>
      <c r="AT7" s="47" t="b">
        <f t="shared" si="36"/>
        <v>0</v>
      </c>
      <c r="AU7" s="47" t="b">
        <f t="shared" si="37"/>
        <v>0</v>
      </c>
      <c r="AV7" s="47" t="b">
        <f t="shared" si="38"/>
        <v>0</v>
      </c>
      <c r="AW7" s="47" t="b">
        <f t="shared" si="39"/>
        <v>0</v>
      </c>
      <c r="AX7" s="47" t="b">
        <f t="shared" si="40"/>
        <v>0</v>
      </c>
      <c r="AY7" s="47" t="b">
        <f t="shared" si="41"/>
        <v>0</v>
      </c>
      <c r="AZ7" s="47" t="b">
        <f t="shared" si="42"/>
        <v>0</v>
      </c>
      <c r="BA7" s="47" t="b">
        <f t="shared" si="43"/>
        <v>0</v>
      </c>
      <c r="BB7" s="47" t="b">
        <f t="shared" si="44"/>
        <v>0</v>
      </c>
      <c r="BC7" s="47" t="b">
        <f t="shared" si="45"/>
        <v>0</v>
      </c>
      <c r="BD7" s="47" t="b">
        <f t="shared" si="46"/>
        <v>0</v>
      </c>
      <c r="BE7" s="47" t="b">
        <f t="shared" si="47"/>
        <v>0</v>
      </c>
      <c r="BF7" s="47" t="b">
        <f t="shared" si="48"/>
        <v>0</v>
      </c>
      <c r="BG7" s="47" t="b">
        <f t="shared" si="49"/>
        <v>0</v>
      </c>
      <c r="BH7" s="47" t="b">
        <f t="shared" si="50"/>
        <v>0</v>
      </c>
      <c r="BI7" s="47" t="b">
        <f t="shared" si="51"/>
        <v>0</v>
      </c>
      <c r="BJ7" s="47" t="b">
        <f t="shared" si="52"/>
        <v>0</v>
      </c>
      <c r="BK7" s="69" t="b">
        <f t="shared" si="53"/>
        <v>0</v>
      </c>
      <c r="BL7" s="69" t="b">
        <f t="shared" si="54"/>
        <v>0</v>
      </c>
      <c r="BM7" s="69" t="b">
        <f t="shared" si="55"/>
        <v>0</v>
      </c>
      <c r="BN7" s="69" t="b">
        <f t="shared" si="56"/>
        <v>0</v>
      </c>
      <c r="BO7" s="69" t="b">
        <f t="shared" si="57"/>
        <v>0</v>
      </c>
      <c r="BP7" s="69" t="b">
        <f t="shared" si="58"/>
        <v>0</v>
      </c>
      <c r="BQ7" s="69" t="b">
        <f t="shared" si="59"/>
        <v>0</v>
      </c>
      <c r="BR7" s="69" t="b">
        <f t="shared" si="60"/>
        <v>0</v>
      </c>
      <c r="BS7" s="37" t="b">
        <f t="shared" si="61"/>
        <v>0</v>
      </c>
      <c r="BT7" s="37" t="b">
        <f t="shared" si="62"/>
        <v>0</v>
      </c>
    </row>
    <row r="8" spans="1:72" s="8" customFormat="1" x14ac:dyDescent="0.25">
      <c r="A8" s="8">
        <v>7</v>
      </c>
      <c r="B8">
        <v>47628</v>
      </c>
      <c r="C8" s="7">
        <f>DATA!C453-DATA!E453</f>
        <v>-403</v>
      </c>
      <c r="D8" s="7">
        <f>DATA!D453-DATA!F453</f>
        <v>8</v>
      </c>
      <c r="E8" s="38">
        <f t="shared" si="1"/>
        <v>50862.999999999985</v>
      </c>
      <c r="F8" s="38">
        <f t="shared" si="2"/>
        <v>51921.16666666665</v>
      </c>
      <c r="G8" s="38">
        <f t="shared" si="0"/>
        <v>51392.083333333314</v>
      </c>
      <c r="H8" s="27">
        <f>Q62</f>
        <v>-367</v>
      </c>
      <c r="I8" s="38">
        <f>AW62</f>
        <v>2</v>
      </c>
      <c r="J8" s="39"/>
      <c r="K8" s="47">
        <f t="shared" si="3"/>
        <v>0</v>
      </c>
      <c r="L8" s="47">
        <f t="shared" si="4"/>
        <v>0</v>
      </c>
      <c r="M8" s="47">
        <f t="shared" si="5"/>
        <v>-403</v>
      </c>
      <c r="N8" s="48" t="b">
        <f t="shared" si="6"/>
        <v>0</v>
      </c>
      <c r="O8" s="48" t="b">
        <f t="shared" si="7"/>
        <v>0</v>
      </c>
      <c r="P8" s="48" t="b">
        <f t="shared" si="8"/>
        <v>0</v>
      </c>
      <c r="Q8" s="48" t="b">
        <f t="shared" si="9"/>
        <v>0</v>
      </c>
      <c r="R8" s="48" t="b">
        <f t="shared" si="10"/>
        <v>0</v>
      </c>
      <c r="S8" s="48" t="b">
        <f t="shared" si="11"/>
        <v>0</v>
      </c>
      <c r="T8" s="48" t="b">
        <f t="shared" si="12"/>
        <v>0</v>
      </c>
      <c r="U8" s="48" t="b">
        <f t="shared" si="13"/>
        <v>0</v>
      </c>
      <c r="V8" s="48" t="b">
        <f t="shared" si="14"/>
        <v>0</v>
      </c>
      <c r="W8" s="48" t="b">
        <f t="shared" si="15"/>
        <v>0</v>
      </c>
      <c r="X8" s="48" t="b">
        <f t="shared" si="16"/>
        <v>0</v>
      </c>
      <c r="Y8" s="48" t="b">
        <f t="shared" si="17"/>
        <v>0</v>
      </c>
      <c r="Z8" s="48" t="b">
        <f t="shared" si="18"/>
        <v>0</v>
      </c>
      <c r="AA8" s="48" t="b">
        <f t="shared" si="19"/>
        <v>0</v>
      </c>
      <c r="AB8" s="48" t="b">
        <f t="shared" si="20"/>
        <v>0</v>
      </c>
      <c r="AC8" s="48" t="b">
        <f t="shared" si="21"/>
        <v>0</v>
      </c>
      <c r="AD8" s="48" t="b">
        <f t="shared" si="22"/>
        <v>0</v>
      </c>
      <c r="AE8" s="48" t="b">
        <f t="shared" si="23"/>
        <v>0</v>
      </c>
      <c r="AF8" s="48" t="b">
        <f t="shared" si="24"/>
        <v>0</v>
      </c>
      <c r="AG8" s="48" t="b">
        <f t="shared" si="25"/>
        <v>0</v>
      </c>
      <c r="AH8" s="48" t="b">
        <f t="shared" si="26"/>
        <v>0</v>
      </c>
      <c r="AI8" s="48" t="b">
        <f t="shared" si="27"/>
        <v>0</v>
      </c>
      <c r="AJ8" s="48" t="b">
        <f t="shared" si="28"/>
        <v>0</v>
      </c>
      <c r="AK8" s="48" t="b">
        <f t="shared" si="29"/>
        <v>0</v>
      </c>
      <c r="AL8" s="48" t="b">
        <f t="shared" si="30"/>
        <v>0</v>
      </c>
      <c r="AM8" s="48" t="b">
        <f t="shared" si="31"/>
        <v>0</v>
      </c>
      <c r="AN8" s="48" t="b">
        <f t="shared" si="32"/>
        <v>0</v>
      </c>
      <c r="AO8" s="48"/>
      <c r="AP8" s="48"/>
      <c r="AQ8" s="47">
        <f t="shared" si="33"/>
        <v>0</v>
      </c>
      <c r="AR8" s="47">
        <f t="shared" si="34"/>
        <v>0</v>
      </c>
      <c r="AS8" s="47">
        <f t="shared" si="35"/>
        <v>8</v>
      </c>
      <c r="AT8" s="47" t="b">
        <f t="shared" si="36"/>
        <v>0</v>
      </c>
      <c r="AU8" s="47" t="b">
        <f t="shared" si="37"/>
        <v>0</v>
      </c>
      <c r="AV8" s="47" t="b">
        <f t="shared" si="38"/>
        <v>0</v>
      </c>
      <c r="AW8" s="47" t="b">
        <f t="shared" si="39"/>
        <v>0</v>
      </c>
      <c r="AX8" s="47" t="b">
        <f t="shared" si="40"/>
        <v>0</v>
      </c>
      <c r="AY8" s="47" t="b">
        <f t="shared" si="41"/>
        <v>0</v>
      </c>
      <c r="AZ8" s="47" t="b">
        <f t="shared" si="42"/>
        <v>0</v>
      </c>
      <c r="BA8" s="47" t="b">
        <f t="shared" si="43"/>
        <v>0</v>
      </c>
      <c r="BB8" s="47" t="b">
        <f t="shared" si="44"/>
        <v>0</v>
      </c>
      <c r="BC8" s="47" t="b">
        <f t="shared" si="45"/>
        <v>0</v>
      </c>
      <c r="BD8" s="47" t="b">
        <f t="shared" si="46"/>
        <v>0</v>
      </c>
      <c r="BE8" s="47" t="b">
        <f t="shared" si="47"/>
        <v>0</v>
      </c>
      <c r="BF8" s="47" t="b">
        <f t="shared" si="48"/>
        <v>0</v>
      </c>
      <c r="BG8" s="47" t="b">
        <f t="shared" si="49"/>
        <v>0</v>
      </c>
      <c r="BH8" s="47" t="b">
        <f t="shared" si="50"/>
        <v>0</v>
      </c>
      <c r="BI8" s="47" t="b">
        <f t="shared" si="51"/>
        <v>0</v>
      </c>
      <c r="BJ8" s="47" t="b">
        <f t="shared" si="52"/>
        <v>0</v>
      </c>
      <c r="BK8" s="69" t="b">
        <f t="shared" si="53"/>
        <v>0</v>
      </c>
      <c r="BL8" s="69" t="b">
        <f t="shared" si="54"/>
        <v>0</v>
      </c>
      <c r="BM8" s="69" t="b">
        <f t="shared" si="55"/>
        <v>0</v>
      </c>
      <c r="BN8" s="69" t="b">
        <f t="shared" si="56"/>
        <v>0</v>
      </c>
      <c r="BO8" s="69" t="b">
        <f t="shared" si="57"/>
        <v>0</v>
      </c>
      <c r="BP8" s="69" t="b">
        <f t="shared" si="58"/>
        <v>0</v>
      </c>
      <c r="BQ8" s="69" t="b">
        <f t="shared" si="59"/>
        <v>0</v>
      </c>
      <c r="BR8" s="69" t="b">
        <f t="shared" si="60"/>
        <v>0</v>
      </c>
      <c r="BS8" s="37" t="b">
        <f t="shared" si="61"/>
        <v>0</v>
      </c>
      <c r="BT8" s="37" t="b">
        <f t="shared" si="62"/>
        <v>0</v>
      </c>
    </row>
    <row r="9" spans="1:72" s="8" customFormat="1" x14ac:dyDescent="0.25">
      <c r="A9" s="8">
        <v>8</v>
      </c>
      <c r="B9">
        <v>47709</v>
      </c>
      <c r="C9" s="7">
        <f>DATA!C498-DATA!E498</f>
        <v>-299</v>
      </c>
      <c r="D9" s="7">
        <f>DATA!D498-DATA!F498</f>
        <v>1</v>
      </c>
      <c r="E9" s="38">
        <f t="shared" si="1"/>
        <v>51921.16666666665</v>
      </c>
      <c r="F9" s="38">
        <f t="shared" si="2"/>
        <v>52979.333333333314</v>
      </c>
      <c r="G9" s="38">
        <f t="shared" si="0"/>
        <v>52450.249999999985</v>
      </c>
      <c r="H9" s="27">
        <f>R62</f>
        <v>0</v>
      </c>
      <c r="I9" s="38">
        <f>AX62</f>
        <v>0</v>
      </c>
      <c r="J9" s="39"/>
      <c r="K9" s="47">
        <f t="shared" si="3"/>
        <v>0</v>
      </c>
      <c r="L9" s="47">
        <f t="shared" si="4"/>
        <v>0</v>
      </c>
      <c r="M9" s="47">
        <f t="shared" si="5"/>
        <v>0</v>
      </c>
      <c r="N9" s="48">
        <f t="shared" si="6"/>
        <v>-299</v>
      </c>
      <c r="O9" s="48" t="b">
        <f t="shared" si="7"/>
        <v>0</v>
      </c>
      <c r="P9" s="48" t="b">
        <f t="shared" si="8"/>
        <v>0</v>
      </c>
      <c r="Q9" s="48" t="b">
        <f t="shared" si="9"/>
        <v>0</v>
      </c>
      <c r="R9" s="48" t="b">
        <f t="shared" si="10"/>
        <v>0</v>
      </c>
      <c r="S9" s="48" t="b">
        <f t="shared" si="11"/>
        <v>0</v>
      </c>
      <c r="T9" s="48" t="b">
        <f t="shared" si="12"/>
        <v>0</v>
      </c>
      <c r="U9" s="48" t="b">
        <f t="shared" si="13"/>
        <v>0</v>
      </c>
      <c r="V9" s="48" t="b">
        <f t="shared" si="14"/>
        <v>0</v>
      </c>
      <c r="W9" s="48" t="b">
        <f t="shared" si="15"/>
        <v>0</v>
      </c>
      <c r="X9" s="48" t="b">
        <f t="shared" si="16"/>
        <v>0</v>
      </c>
      <c r="Y9" s="48" t="b">
        <f t="shared" si="17"/>
        <v>0</v>
      </c>
      <c r="Z9" s="48" t="b">
        <f t="shared" si="18"/>
        <v>0</v>
      </c>
      <c r="AA9" s="48" t="b">
        <f t="shared" si="19"/>
        <v>0</v>
      </c>
      <c r="AB9" s="48" t="b">
        <f t="shared" si="20"/>
        <v>0</v>
      </c>
      <c r="AC9" s="48" t="b">
        <f t="shared" si="21"/>
        <v>0</v>
      </c>
      <c r="AD9" s="48" t="b">
        <f t="shared" si="22"/>
        <v>0</v>
      </c>
      <c r="AE9" s="48" t="b">
        <f t="shared" si="23"/>
        <v>0</v>
      </c>
      <c r="AF9" s="48" t="b">
        <f t="shared" si="24"/>
        <v>0</v>
      </c>
      <c r="AG9" s="48" t="b">
        <f t="shared" si="25"/>
        <v>0</v>
      </c>
      <c r="AH9" s="48" t="b">
        <f t="shared" si="26"/>
        <v>0</v>
      </c>
      <c r="AI9" s="48" t="b">
        <f t="shared" si="27"/>
        <v>0</v>
      </c>
      <c r="AJ9" s="48" t="b">
        <f t="shared" si="28"/>
        <v>0</v>
      </c>
      <c r="AK9" s="48" t="b">
        <f t="shared" si="29"/>
        <v>0</v>
      </c>
      <c r="AL9" s="48" t="b">
        <f t="shared" si="30"/>
        <v>0</v>
      </c>
      <c r="AM9" s="48" t="b">
        <f t="shared" si="31"/>
        <v>0</v>
      </c>
      <c r="AN9" s="48" t="b">
        <f t="shared" si="32"/>
        <v>0</v>
      </c>
      <c r="AO9" s="48"/>
      <c r="AP9" s="48"/>
      <c r="AQ9" s="47">
        <f t="shared" si="33"/>
        <v>0</v>
      </c>
      <c r="AR9" s="47">
        <f t="shared" si="34"/>
        <v>0</v>
      </c>
      <c r="AS9" s="47">
        <f t="shared" si="35"/>
        <v>0</v>
      </c>
      <c r="AT9" s="47">
        <f t="shared" si="36"/>
        <v>1</v>
      </c>
      <c r="AU9" s="47" t="b">
        <f t="shared" si="37"/>
        <v>0</v>
      </c>
      <c r="AV9" s="47" t="b">
        <f t="shared" si="38"/>
        <v>0</v>
      </c>
      <c r="AW9" s="47" t="b">
        <f t="shared" si="39"/>
        <v>0</v>
      </c>
      <c r="AX9" s="47" t="b">
        <f t="shared" si="40"/>
        <v>0</v>
      </c>
      <c r="AY9" s="47" t="b">
        <f t="shared" si="41"/>
        <v>0</v>
      </c>
      <c r="AZ9" s="47" t="b">
        <f t="shared" si="42"/>
        <v>0</v>
      </c>
      <c r="BA9" s="47" t="b">
        <f t="shared" si="43"/>
        <v>0</v>
      </c>
      <c r="BB9" s="47" t="b">
        <f t="shared" si="44"/>
        <v>0</v>
      </c>
      <c r="BC9" s="47" t="b">
        <f t="shared" si="45"/>
        <v>0</v>
      </c>
      <c r="BD9" s="47" t="b">
        <f t="shared" si="46"/>
        <v>0</v>
      </c>
      <c r="BE9" s="47" t="b">
        <f t="shared" si="47"/>
        <v>0</v>
      </c>
      <c r="BF9" s="47" t="b">
        <f t="shared" si="48"/>
        <v>0</v>
      </c>
      <c r="BG9" s="47" t="b">
        <f t="shared" si="49"/>
        <v>0</v>
      </c>
      <c r="BH9" s="47" t="b">
        <f t="shared" si="50"/>
        <v>0</v>
      </c>
      <c r="BI9" s="47" t="b">
        <f t="shared" si="51"/>
        <v>0</v>
      </c>
      <c r="BJ9" s="47" t="b">
        <f t="shared" si="52"/>
        <v>0</v>
      </c>
      <c r="BK9" s="69" t="b">
        <f t="shared" si="53"/>
        <v>0</v>
      </c>
      <c r="BL9" s="69" t="b">
        <f t="shared" si="54"/>
        <v>0</v>
      </c>
      <c r="BM9" s="69" t="b">
        <f t="shared" si="55"/>
        <v>0</v>
      </c>
      <c r="BN9" s="69" t="b">
        <f t="shared" si="56"/>
        <v>0</v>
      </c>
      <c r="BO9" s="69" t="b">
        <f t="shared" si="57"/>
        <v>0</v>
      </c>
      <c r="BP9" s="69" t="b">
        <f t="shared" si="58"/>
        <v>0</v>
      </c>
      <c r="BQ9" s="69" t="b">
        <f t="shared" si="59"/>
        <v>0</v>
      </c>
      <c r="BR9" s="69" t="b">
        <f t="shared" si="60"/>
        <v>0</v>
      </c>
      <c r="BS9" s="37" t="b">
        <f t="shared" si="61"/>
        <v>0</v>
      </c>
      <c r="BT9" s="37" t="b">
        <f t="shared" si="62"/>
        <v>0</v>
      </c>
    </row>
    <row r="10" spans="1:72" s="8" customFormat="1" x14ac:dyDescent="0.25">
      <c r="A10" s="8">
        <v>9</v>
      </c>
      <c r="B10">
        <v>48024</v>
      </c>
      <c r="C10" s="7">
        <f>DATA!C489-DATA!E489</f>
        <v>-192</v>
      </c>
      <c r="D10" s="7">
        <f>DATA!D489-DATA!F489</f>
        <v>0</v>
      </c>
      <c r="E10" s="38">
        <f t="shared" si="1"/>
        <v>52979.333333333314</v>
      </c>
      <c r="F10" s="38">
        <f t="shared" si="2"/>
        <v>54037.499999999978</v>
      </c>
      <c r="G10" s="38">
        <f t="shared" si="0"/>
        <v>53508.416666666642</v>
      </c>
      <c r="H10" s="27">
        <f>S62</f>
        <v>-435</v>
      </c>
      <c r="I10" s="38">
        <f>AY62</f>
        <v>-1</v>
      </c>
      <c r="J10" s="39"/>
      <c r="K10" s="47">
        <f t="shared" si="3"/>
        <v>0</v>
      </c>
      <c r="L10" s="47">
        <f t="shared" si="4"/>
        <v>0</v>
      </c>
      <c r="M10" s="47">
        <f t="shared" si="5"/>
        <v>0</v>
      </c>
      <c r="N10" s="48">
        <f t="shared" si="6"/>
        <v>-192</v>
      </c>
      <c r="O10" s="48" t="b">
        <f t="shared" si="7"/>
        <v>0</v>
      </c>
      <c r="P10" s="48" t="b">
        <f t="shared" si="8"/>
        <v>0</v>
      </c>
      <c r="Q10" s="48" t="b">
        <f t="shared" si="9"/>
        <v>0</v>
      </c>
      <c r="R10" s="48" t="b">
        <f t="shared" si="10"/>
        <v>0</v>
      </c>
      <c r="S10" s="48" t="b">
        <f t="shared" si="11"/>
        <v>0</v>
      </c>
      <c r="T10" s="48" t="b">
        <f t="shared" si="12"/>
        <v>0</v>
      </c>
      <c r="U10" s="48" t="b">
        <f t="shared" si="13"/>
        <v>0</v>
      </c>
      <c r="V10" s="48" t="b">
        <f t="shared" si="14"/>
        <v>0</v>
      </c>
      <c r="W10" s="48" t="b">
        <f t="shared" si="15"/>
        <v>0</v>
      </c>
      <c r="X10" s="48" t="b">
        <f t="shared" si="16"/>
        <v>0</v>
      </c>
      <c r="Y10" s="48" t="b">
        <f t="shared" si="17"/>
        <v>0</v>
      </c>
      <c r="Z10" s="48" t="b">
        <f t="shared" si="18"/>
        <v>0</v>
      </c>
      <c r="AA10" s="48" t="b">
        <f t="shared" si="19"/>
        <v>0</v>
      </c>
      <c r="AB10" s="48" t="b">
        <f t="shared" si="20"/>
        <v>0</v>
      </c>
      <c r="AC10" s="48" t="b">
        <f t="shared" si="21"/>
        <v>0</v>
      </c>
      <c r="AD10" s="48" t="b">
        <f t="shared" si="22"/>
        <v>0</v>
      </c>
      <c r="AE10" s="48" t="b">
        <f t="shared" si="23"/>
        <v>0</v>
      </c>
      <c r="AF10" s="48" t="b">
        <f t="shared" si="24"/>
        <v>0</v>
      </c>
      <c r="AG10" s="48" t="b">
        <f t="shared" si="25"/>
        <v>0</v>
      </c>
      <c r="AH10" s="48" t="b">
        <f t="shared" si="26"/>
        <v>0</v>
      </c>
      <c r="AI10" s="48" t="b">
        <f t="shared" si="27"/>
        <v>0</v>
      </c>
      <c r="AJ10" s="48" t="b">
        <f t="shared" si="28"/>
        <v>0</v>
      </c>
      <c r="AK10" s="48" t="b">
        <f t="shared" si="29"/>
        <v>0</v>
      </c>
      <c r="AL10" s="48" t="b">
        <f t="shared" si="30"/>
        <v>0</v>
      </c>
      <c r="AM10" s="48" t="b">
        <f t="shared" si="31"/>
        <v>0</v>
      </c>
      <c r="AN10" s="48" t="b">
        <f t="shared" si="32"/>
        <v>0</v>
      </c>
      <c r="AO10" s="48"/>
      <c r="AP10" s="48"/>
      <c r="AQ10" s="47">
        <f t="shared" si="33"/>
        <v>0</v>
      </c>
      <c r="AR10" s="47">
        <f t="shared" si="34"/>
        <v>0</v>
      </c>
      <c r="AS10" s="47">
        <f t="shared" si="35"/>
        <v>0</v>
      </c>
      <c r="AT10" s="47">
        <f t="shared" si="36"/>
        <v>0</v>
      </c>
      <c r="AU10" s="47" t="b">
        <f t="shared" si="37"/>
        <v>0</v>
      </c>
      <c r="AV10" s="47" t="b">
        <f t="shared" si="38"/>
        <v>0</v>
      </c>
      <c r="AW10" s="47" t="b">
        <f t="shared" si="39"/>
        <v>0</v>
      </c>
      <c r="AX10" s="47" t="b">
        <f t="shared" si="40"/>
        <v>0</v>
      </c>
      <c r="AY10" s="47" t="b">
        <f t="shared" si="41"/>
        <v>0</v>
      </c>
      <c r="AZ10" s="47" t="b">
        <f t="shared" si="42"/>
        <v>0</v>
      </c>
      <c r="BA10" s="47" t="b">
        <f t="shared" si="43"/>
        <v>0</v>
      </c>
      <c r="BB10" s="47" t="b">
        <f t="shared" si="44"/>
        <v>0</v>
      </c>
      <c r="BC10" s="47" t="b">
        <f t="shared" si="45"/>
        <v>0</v>
      </c>
      <c r="BD10" s="47" t="b">
        <f t="shared" si="46"/>
        <v>0</v>
      </c>
      <c r="BE10" s="47" t="b">
        <f t="shared" si="47"/>
        <v>0</v>
      </c>
      <c r="BF10" s="47" t="b">
        <f t="shared" si="48"/>
        <v>0</v>
      </c>
      <c r="BG10" s="47" t="b">
        <f t="shared" si="49"/>
        <v>0</v>
      </c>
      <c r="BH10" s="47" t="b">
        <f t="shared" si="50"/>
        <v>0</v>
      </c>
      <c r="BI10" s="47" t="b">
        <f t="shared" si="51"/>
        <v>0</v>
      </c>
      <c r="BJ10" s="47" t="b">
        <f t="shared" si="52"/>
        <v>0</v>
      </c>
      <c r="BK10" s="69" t="b">
        <f t="shared" si="53"/>
        <v>0</v>
      </c>
      <c r="BL10" s="69" t="b">
        <f t="shared" si="54"/>
        <v>0</v>
      </c>
      <c r="BM10" s="69" t="b">
        <f t="shared" si="55"/>
        <v>0</v>
      </c>
      <c r="BN10" s="69" t="b">
        <f t="shared" si="56"/>
        <v>0</v>
      </c>
      <c r="BO10" s="69" t="b">
        <f t="shared" si="57"/>
        <v>0</v>
      </c>
      <c r="BP10" s="69" t="b">
        <f t="shared" si="58"/>
        <v>0</v>
      </c>
      <c r="BQ10" s="69" t="b">
        <f t="shared" si="59"/>
        <v>0</v>
      </c>
      <c r="BR10" s="69" t="b">
        <f t="shared" si="60"/>
        <v>0</v>
      </c>
      <c r="BS10" s="37" t="b">
        <f t="shared" si="61"/>
        <v>0</v>
      </c>
      <c r="BT10" s="37" t="b">
        <f t="shared" si="62"/>
        <v>0</v>
      </c>
    </row>
    <row r="11" spans="1:72" s="8" customFormat="1" x14ac:dyDescent="0.25">
      <c r="A11" s="8">
        <v>10</v>
      </c>
      <c r="B11">
        <v>48090</v>
      </c>
      <c r="C11" s="7">
        <f>DATA!C480-DATA!E480</f>
        <v>-205</v>
      </c>
      <c r="D11" s="7">
        <f>DATA!D480-DATA!F480</f>
        <v>-1</v>
      </c>
      <c r="E11" s="38">
        <f t="shared" si="1"/>
        <v>54037.499999999978</v>
      </c>
      <c r="F11" s="38">
        <f t="shared" si="2"/>
        <v>55095.666666666642</v>
      </c>
      <c r="G11" s="38">
        <f t="shared" si="0"/>
        <v>54566.583333333314</v>
      </c>
      <c r="H11" s="27">
        <f>T62</f>
        <v>0</v>
      </c>
      <c r="I11" s="38">
        <f>AZ62</f>
        <v>0</v>
      </c>
      <c r="J11" s="39"/>
      <c r="K11" s="47">
        <f t="shared" si="3"/>
        <v>0</v>
      </c>
      <c r="L11" s="47">
        <f t="shared" si="4"/>
        <v>0</v>
      </c>
      <c r="M11" s="47">
        <f t="shared" si="5"/>
        <v>0</v>
      </c>
      <c r="N11" s="48">
        <f t="shared" si="6"/>
        <v>-205</v>
      </c>
      <c r="O11" s="48" t="b">
        <f t="shared" si="7"/>
        <v>0</v>
      </c>
      <c r="P11" s="48" t="b">
        <f t="shared" si="8"/>
        <v>0</v>
      </c>
      <c r="Q11" s="48" t="b">
        <f t="shared" si="9"/>
        <v>0</v>
      </c>
      <c r="R11" s="48" t="b">
        <f t="shared" si="10"/>
        <v>0</v>
      </c>
      <c r="S11" s="48" t="b">
        <f t="shared" si="11"/>
        <v>0</v>
      </c>
      <c r="T11" s="48" t="b">
        <f t="shared" si="12"/>
        <v>0</v>
      </c>
      <c r="U11" s="48" t="b">
        <f t="shared" si="13"/>
        <v>0</v>
      </c>
      <c r="V11" s="48" t="b">
        <f t="shared" si="14"/>
        <v>0</v>
      </c>
      <c r="W11" s="48" t="b">
        <f t="shared" si="15"/>
        <v>0</v>
      </c>
      <c r="X11" s="48" t="b">
        <f t="shared" si="16"/>
        <v>0</v>
      </c>
      <c r="Y11" s="48" t="b">
        <f t="shared" si="17"/>
        <v>0</v>
      </c>
      <c r="Z11" s="48" t="b">
        <f t="shared" si="18"/>
        <v>0</v>
      </c>
      <c r="AA11" s="48" t="b">
        <f t="shared" si="19"/>
        <v>0</v>
      </c>
      <c r="AB11" s="48" t="b">
        <f t="shared" si="20"/>
        <v>0</v>
      </c>
      <c r="AC11" s="48" t="b">
        <f t="shared" si="21"/>
        <v>0</v>
      </c>
      <c r="AD11" s="48" t="b">
        <f t="shared" si="22"/>
        <v>0</v>
      </c>
      <c r="AE11" s="48" t="b">
        <f t="shared" si="23"/>
        <v>0</v>
      </c>
      <c r="AF11" s="48" t="b">
        <f t="shared" si="24"/>
        <v>0</v>
      </c>
      <c r="AG11" s="48" t="b">
        <f t="shared" si="25"/>
        <v>0</v>
      </c>
      <c r="AH11" s="48" t="b">
        <f t="shared" si="26"/>
        <v>0</v>
      </c>
      <c r="AI11" s="48" t="b">
        <f t="shared" si="27"/>
        <v>0</v>
      </c>
      <c r="AJ11" s="48" t="b">
        <f t="shared" si="28"/>
        <v>0</v>
      </c>
      <c r="AK11" s="48" t="b">
        <f t="shared" si="29"/>
        <v>0</v>
      </c>
      <c r="AL11" s="48" t="b">
        <f t="shared" si="30"/>
        <v>0</v>
      </c>
      <c r="AM11" s="48" t="b">
        <f t="shared" si="31"/>
        <v>0</v>
      </c>
      <c r="AN11" s="48" t="b">
        <f t="shared" si="32"/>
        <v>0</v>
      </c>
      <c r="AO11" s="48"/>
      <c r="AP11" s="48"/>
      <c r="AQ11" s="47">
        <f t="shared" si="33"/>
        <v>0</v>
      </c>
      <c r="AR11" s="47">
        <f t="shared" si="34"/>
        <v>0</v>
      </c>
      <c r="AS11" s="47">
        <f t="shared" si="35"/>
        <v>0</v>
      </c>
      <c r="AT11" s="47">
        <f t="shared" si="36"/>
        <v>-1</v>
      </c>
      <c r="AU11" s="47" t="b">
        <f t="shared" si="37"/>
        <v>0</v>
      </c>
      <c r="AV11" s="47" t="b">
        <f t="shared" si="38"/>
        <v>0</v>
      </c>
      <c r="AW11" s="47" t="b">
        <f t="shared" si="39"/>
        <v>0</v>
      </c>
      <c r="AX11" s="47" t="b">
        <f t="shared" si="40"/>
        <v>0</v>
      </c>
      <c r="AY11" s="47" t="b">
        <f t="shared" si="41"/>
        <v>0</v>
      </c>
      <c r="AZ11" s="47" t="b">
        <f t="shared" si="42"/>
        <v>0</v>
      </c>
      <c r="BA11" s="47" t="b">
        <f t="shared" si="43"/>
        <v>0</v>
      </c>
      <c r="BB11" s="47" t="b">
        <f t="shared" si="44"/>
        <v>0</v>
      </c>
      <c r="BC11" s="47" t="b">
        <f t="shared" si="45"/>
        <v>0</v>
      </c>
      <c r="BD11" s="47" t="b">
        <f t="shared" si="46"/>
        <v>0</v>
      </c>
      <c r="BE11" s="47" t="b">
        <f t="shared" si="47"/>
        <v>0</v>
      </c>
      <c r="BF11" s="47" t="b">
        <f t="shared" si="48"/>
        <v>0</v>
      </c>
      <c r="BG11" s="47" t="b">
        <f t="shared" si="49"/>
        <v>0</v>
      </c>
      <c r="BH11" s="47" t="b">
        <f t="shared" si="50"/>
        <v>0</v>
      </c>
      <c r="BI11" s="47" t="b">
        <f t="shared" si="51"/>
        <v>0</v>
      </c>
      <c r="BJ11" s="47" t="b">
        <f t="shared" si="52"/>
        <v>0</v>
      </c>
      <c r="BK11" s="69" t="b">
        <f t="shared" si="53"/>
        <v>0</v>
      </c>
      <c r="BL11" s="69" t="b">
        <f t="shared" si="54"/>
        <v>0</v>
      </c>
      <c r="BM11" s="69" t="b">
        <f t="shared" si="55"/>
        <v>0</v>
      </c>
      <c r="BN11" s="69" t="b">
        <f t="shared" si="56"/>
        <v>0</v>
      </c>
      <c r="BO11" s="69" t="b">
        <f t="shared" si="57"/>
        <v>0</v>
      </c>
      <c r="BP11" s="69" t="b">
        <f t="shared" si="58"/>
        <v>0</v>
      </c>
      <c r="BQ11" s="69" t="b">
        <f t="shared" si="59"/>
        <v>0</v>
      </c>
      <c r="BR11" s="69" t="b">
        <f t="shared" si="60"/>
        <v>0</v>
      </c>
      <c r="BS11" s="37" t="b">
        <f t="shared" si="61"/>
        <v>0</v>
      </c>
      <c r="BT11" s="37" t="b">
        <f t="shared" si="62"/>
        <v>0</v>
      </c>
    </row>
    <row r="12" spans="1:72" s="8" customFormat="1" x14ac:dyDescent="0.25">
      <c r="A12" s="8">
        <v>11</v>
      </c>
      <c r="B12">
        <v>48133</v>
      </c>
      <c r="C12" s="7">
        <f>DATA!C462-DATA!E462</f>
        <v>-17</v>
      </c>
      <c r="D12" s="7">
        <f>DATA!D462-DATA!F462</f>
        <v>-4</v>
      </c>
      <c r="E12" s="38">
        <f t="shared" si="1"/>
        <v>55095.666666666642</v>
      </c>
      <c r="F12" s="38">
        <f t="shared" si="2"/>
        <v>56153.833333333307</v>
      </c>
      <c r="G12" s="38">
        <f t="shared" si="0"/>
        <v>55624.749999999971</v>
      </c>
      <c r="H12" s="27">
        <f>U62</f>
        <v>298</v>
      </c>
      <c r="I12" s="38">
        <f>BA62</f>
        <v>-6</v>
      </c>
      <c r="J12" s="39"/>
      <c r="K12" s="47">
        <f t="shared" si="3"/>
        <v>0</v>
      </c>
      <c r="L12" s="47">
        <f t="shared" si="4"/>
        <v>0</v>
      </c>
      <c r="M12" s="47">
        <f t="shared" si="5"/>
        <v>0</v>
      </c>
      <c r="N12" s="48">
        <f t="shared" si="6"/>
        <v>-17</v>
      </c>
      <c r="O12" s="48" t="b">
        <f t="shared" si="7"/>
        <v>0</v>
      </c>
      <c r="P12" s="48" t="b">
        <f t="shared" si="8"/>
        <v>0</v>
      </c>
      <c r="Q12" s="48" t="b">
        <f t="shared" si="9"/>
        <v>0</v>
      </c>
      <c r="R12" s="48" t="b">
        <f t="shared" si="10"/>
        <v>0</v>
      </c>
      <c r="S12" s="48" t="b">
        <f t="shared" si="11"/>
        <v>0</v>
      </c>
      <c r="T12" s="48" t="b">
        <f t="shared" si="12"/>
        <v>0</v>
      </c>
      <c r="U12" s="48" t="b">
        <f t="shared" si="13"/>
        <v>0</v>
      </c>
      <c r="V12" s="48" t="b">
        <f t="shared" si="14"/>
        <v>0</v>
      </c>
      <c r="W12" s="48" t="b">
        <f t="shared" si="15"/>
        <v>0</v>
      </c>
      <c r="X12" s="48" t="b">
        <f t="shared" si="16"/>
        <v>0</v>
      </c>
      <c r="Y12" s="48" t="b">
        <f t="shared" si="17"/>
        <v>0</v>
      </c>
      <c r="Z12" s="48" t="b">
        <f t="shared" si="18"/>
        <v>0</v>
      </c>
      <c r="AA12" s="48" t="b">
        <f t="shared" si="19"/>
        <v>0</v>
      </c>
      <c r="AB12" s="48" t="b">
        <f t="shared" si="20"/>
        <v>0</v>
      </c>
      <c r="AC12" s="48" t="b">
        <f t="shared" si="21"/>
        <v>0</v>
      </c>
      <c r="AD12" s="48" t="b">
        <f t="shared" si="22"/>
        <v>0</v>
      </c>
      <c r="AE12" s="48" t="b">
        <f t="shared" si="23"/>
        <v>0</v>
      </c>
      <c r="AF12" s="48" t="b">
        <f t="shared" si="24"/>
        <v>0</v>
      </c>
      <c r="AG12" s="48" t="b">
        <f t="shared" si="25"/>
        <v>0</v>
      </c>
      <c r="AH12" s="48" t="b">
        <f t="shared" si="26"/>
        <v>0</v>
      </c>
      <c r="AI12" s="48" t="b">
        <f t="shared" si="27"/>
        <v>0</v>
      </c>
      <c r="AJ12" s="48" t="b">
        <f t="shared" si="28"/>
        <v>0</v>
      </c>
      <c r="AK12" s="48" t="b">
        <f t="shared" si="29"/>
        <v>0</v>
      </c>
      <c r="AL12" s="48" t="b">
        <f t="shared" si="30"/>
        <v>0</v>
      </c>
      <c r="AM12" s="48" t="b">
        <f t="shared" si="31"/>
        <v>0</v>
      </c>
      <c r="AN12" s="48" t="b">
        <f t="shared" si="32"/>
        <v>0</v>
      </c>
      <c r="AO12" s="48"/>
      <c r="AP12" s="48"/>
      <c r="AQ12" s="47">
        <f t="shared" si="33"/>
        <v>0</v>
      </c>
      <c r="AR12" s="47">
        <f t="shared" si="34"/>
        <v>0</v>
      </c>
      <c r="AS12" s="47">
        <f t="shared" si="35"/>
        <v>0</v>
      </c>
      <c r="AT12" s="47">
        <f t="shared" si="36"/>
        <v>-4</v>
      </c>
      <c r="AU12" s="47" t="b">
        <f t="shared" si="37"/>
        <v>0</v>
      </c>
      <c r="AV12" s="47" t="b">
        <f t="shared" si="38"/>
        <v>0</v>
      </c>
      <c r="AW12" s="47" t="b">
        <f t="shared" si="39"/>
        <v>0</v>
      </c>
      <c r="AX12" s="47" t="b">
        <f t="shared" si="40"/>
        <v>0</v>
      </c>
      <c r="AY12" s="47" t="b">
        <f t="shared" si="41"/>
        <v>0</v>
      </c>
      <c r="AZ12" s="47" t="b">
        <f t="shared" si="42"/>
        <v>0</v>
      </c>
      <c r="BA12" s="47" t="b">
        <f t="shared" si="43"/>
        <v>0</v>
      </c>
      <c r="BB12" s="47" t="b">
        <f t="shared" si="44"/>
        <v>0</v>
      </c>
      <c r="BC12" s="47" t="b">
        <f t="shared" si="45"/>
        <v>0</v>
      </c>
      <c r="BD12" s="47" t="b">
        <f t="shared" si="46"/>
        <v>0</v>
      </c>
      <c r="BE12" s="47" t="b">
        <f t="shared" si="47"/>
        <v>0</v>
      </c>
      <c r="BF12" s="47" t="b">
        <f t="shared" si="48"/>
        <v>0</v>
      </c>
      <c r="BG12" s="47" t="b">
        <f t="shared" si="49"/>
        <v>0</v>
      </c>
      <c r="BH12" s="47" t="b">
        <f t="shared" si="50"/>
        <v>0</v>
      </c>
      <c r="BI12" s="47" t="b">
        <f t="shared" si="51"/>
        <v>0</v>
      </c>
      <c r="BJ12" s="47" t="b">
        <f t="shared" si="52"/>
        <v>0</v>
      </c>
      <c r="BK12" s="69" t="b">
        <f t="shared" si="53"/>
        <v>0</v>
      </c>
      <c r="BL12" s="69" t="b">
        <f t="shared" si="54"/>
        <v>0</v>
      </c>
      <c r="BM12" s="69" t="b">
        <f t="shared" si="55"/>
        <v>0</v>
      </c>
      <c r="BN12" s="69" t="b">
        <f t="shared" si="56"/>
        <v>0</v>
      </c>
      <c r="BO12" s="69" t="b">
        <f t="shared" si="57"/>
        <v>0</v>
      </c>
      <c r="BP12" s="69" t="b">
        <f t="shared" si="58"/>
        <v>0</v>
      </c>
      <c r="BQ12" s="69" t="b">
        <f t="shared" si="59"/>
        <v>0</v>
      </c>
      <c r="BR12" s="69" t="b">
        <f t="shared" si="60"/>
        <v>0</v>
      </c>
      <c r="BS12" s="37" t="b">
        <f t="shared" si="61"/>
        <v>0</v>
      </c>
      <c r="BT12" s="37" t="b">
        <f t="shared" si="62"/>
        <v>0</v>
      </c>
    </row>
    <row r="13" spans="1:72" s="8" customFormat="1" x14ac:dyDescent="0.25">
      <c r="A13" s="8">
        <v>12</v>
      </c>
      <c r="B13">
        <v>48388</v>
      </c>
      <c r="C13" s="7">
        <f>DATA!C399-DATA!E399</f>
        <v>-686</v>
      </c>
      <c r="D13" s="7">
        <f>DATA!D399-DATA!F399</f>
        <v>1</v>
      </c>
      <c r="E13" s="38">
        <f t="shared" si="1"/>
        <v>56153.833333333307</v>
      </c>
      <c r="F13" s="38">
        <f t="shared" si="2"/>
        <v>57211.999999999971</v>
      </c>
      <c r="G13" s="38">
        <f t="shared" si="0"/>
        <v>56682.916666666642</v>
      </c>
      <c r="H13" s="27">
        <f>V62</f>
        <v>1103</v>
      </c>
      <c r="I13" s="38">
        <f>BB62</f>
        <v>23</v>
      </c>
      <c r="J13" s="39"/>
      <c r="K13" s="47">
        <f t="shared" si="3"/>
        <v>0</v>
      </c>
      <c r="L13" s="47">
        <f t="shared" si="4"/>
        <v>0</v>
      </c>
      <c r="M13" s="47">
        <f t="shared" si="5"/>
        <v>0</v>
      </c>
      <c r="N13" s="48">
        <f t="shared" si="6"/>
        <v>-686</v>
      </c>
      <c r="O13" s="48" t="b">
        <f t="shared" si="7"/>
        <v>0</v>
      </c>
      <c r="P13" s="48" t="b">
        <f t="shared" si="8"/>
        <v>0</v>
      </c>
      <c r="Q13" s="48" t="b">
        <f t="shared" si="9"/>
        <v>0</v>
      </c>
      <c r="R13" s="48" t="b">
        <f t="shared" si="10"/>
        <v>0</v>
      </c>
      <c r="S13" s="48" t="b">
        <f t="shared" si="11"/>
        <v>0</v>
      </c>
      <c r="T13" s="48" t="b">
        <f t="shared" si="12"/>
        <v>0</v>
      </c>
      <c r="U13" s="48" t="b">
        <f t="shared" si="13"/>
        <v>0</v>
      </c>
      <c r="V13" s="48" t="b">
        <f t="shared" si="14"/>
        <v>0</v>
      </c>
      <c r="W13" s="48" t="b">
        <f t="shared" si="15"/>
        <v>0</v>
      </c>
      <c r="X13" s="48" t="b">
        <f t="shared" si="16"/>
        <v>0</v>
      </c>
      <c r="Y13" s="48" t="b">
        <f t="shared" si="17"/>
        <v>0</v>
      </c>
      <c r="Z13" s="48" t="b">
        <f t="shared" si="18"/>
        <v>0</v>
      </c>
      <c r="AA13" s="48" t="b">
        <f t="shared" si="19"/>
        <v>0</v>
      </c>
      <c r="AB13" s="48" t="b">
        <f t="shared" si="20"/>
        <v>0</v>
      </c>
      <c r="AC13" s="48" t="b">
        <f t="shared" si="21"/>
        <v>0</v>
      </c>
      <c r="AD13" s="48" t="b">
        <f t="shared" si="22"/>
        <v>0</v>
      </c>
      <c r="AE13" s="48" t="b">
        <f t="shared" si="23"/>
        <v>0</v>
      </c>
      <c r="AF13" s="48" t="b">
        <f t="shared" si="24"/>
        <v>0</v>
      </c>
      <c r="AG13" s="48" t="b">
        <f t="shared" si="25"/>
        <v>0</v>
      </c>
      <c r="AH13" s="48" t="b">
        <f t="shared" si="26"/>
        <v>0</v>
      </c>
      <c r="AI13" s="48" t="b">
        <f t="shared" si="27"/>
        <v>0</v>
      </c>
      <c r="AJ13" s="48" t="b">
        <f t="shared" si="28"/>
        <v>0</v>
      </c>
      <c r="AK13" s="48" t="b">
        <f t="shared" si="29"/>
        <v>0</v>
      </c>
      <c r="AL13" s="48" t="b">
        <f t="shared" si="30"/>
        <v>0</v>
      </c>
      <c r="AM13" s="48" t="b">
        <f t="shared" si="31"/>
        <v>0</v>
      </c>
      <c r="AN13" s="48" t="b">
        <f t="shared" si="32"/>
        <v>0</v>
      </c>
      <c r="AO13" s="48"/>
      <c r="AP13" s="48"/>
      <c r="AQ13" s="47">
        <f t="shared" si="33"/>
        <v>0</v>
      </c>
      <c r="AR13" s="47">
        <f t="shared" si="34"/>
        <v>0</v>
      </c>
      <c r="AS13" s="47">
        <f t="shared" si="35"/>
        <v>0</v>
      </c>
      <c r="AT13" s="47">
        <f t="shared" si="36"/>
        <v>1</v>
      </c>
      <c r="AU13" s="47" t="b">
        <f t="shared" si="37"/>
        <v>0</v>
      </c>
      <c r="AV13" s="47" t="b">
        <f t="shared" si="38"/>
        <v>0</v>
      </c>
      <c r="AW13" s="47" t="b">
        <f t="shared" si="39"/>
        <v>0</v>
      </c>
      <c r="AX13" s="47" t="b">
        <f t="shared" si="40"/>
        <v>0</v>
      </c>
      <c r="AY13" s="47" t="b">
        <f t="shared" si="41"/>
        <v>0</v>
      </c>
      <c r="AZ13" s="47" t="b">
        <f t="shared" si="42"/>
        <v>0</v>
      </c>
      <c r="BA13" s="47" t="b">
        <f t="shared" si="43"/>
        <v>0</v>
      </c>
      <c r="BB13" s="47" t="b">
        <f t="shared" si="44"/>
        <v>0</v>
      </c>
      <c r="BC13" s="47" t="b">
        <f t="shared" si="45"/>
        <v>0</v>
      </c>
      <c r="BD13" s="47" t="b">
        <f t="shared" si="46"/>
        <v>0</v>
      </c>
      <c r="BE13" s="47" t="b">
        <f t="shared" si="47"/>
        <v>0</v>
      </c>
      <c r="BF13" s="47" t="b">
        <f t="shared" si="48"/>
        <v>0</v>
      </c>
      <c r="BG13" s="47" t="b">
        <f t="shared" si="49"/>
        <v>0</v>
      </c>
      <c r="BH13" s="47" t="b">
        <f t="shared" si="50"/>
        <v>0</v>
      </c>
      <c r="BI13" s="47" t="b">
        <f t="shared" si="51"/>
        <v>0</v>
      </c>
      <c r="BJ13" s="47" t="b">
        <f t="shared" si="52"/>
        <v>0</v>
      </c>
      <c r="BK13" s="69" t="b">
        <f t="shared" si="53"/>
        <v>0</v>
      </c>
      <c r="BL13" s="69" t="b">
        <f t="shared" si="54"/>
        <v>0</v>
      </c>
      <c r="BM13" s="69" t="b">
        <f t="shared" si="55"/>
        <v>0</v>
      </c>
      <c r="BN13" s="69" t="b">
        <f t="shared" si="56"/>
        <v>0</v>
      </c>
      <c r="BO13" s="69" t="b">
        <f t="shared" si="57"/>
        <v>0</v>
      </c>
      <c r="BP13" s="69" t="b">
        <f t="shared" si="58"/>
        <v>0</v>
      </c>
      <c r="BQ13" s="69" t="b">
        <f t="shared" si="59"/>
        <v>0</v>
      </c>
      <c r="BR13" s="69" t="b">
        <f t="shared" si="60"/>
        <v>0</v>
      </c>
      <c r="BS13" s="37" t="b">
        <f t="shared" si="61"/>
        <v>0</v>
      </c>
      <c r="BT13" s="37" t="b">
        <f t="shared" si="62"/>
        <v>0</v>
      </c>
    </row>
    <row r="14" spans="1:72" s="8" customFormat="1" x14ac:dyDescent="0.25">
      <c r="A14" s="8">
        <v>13</v>
      </c>
      <c r="B14">
        <v>48464</v>
      </c>
      <c r="C14" s="7">
        <f>DATA!C381-DATA!E381</f>
        <v>-111</v>
      </c>
      <c r="D14" s="7">
        <f>DATA!D381-DATA!F381</f>
        <v>-1</v>
      </c>
      <c r="E14" s="38">
        <f t="shared" si="1"/>
        <v>57211.999999999971</v>
      </c>
      <c r="F14" s="38">
        <f t="shared" si="2"/>
        <v>58270.166666666635</v>
      </c>
      <c r="G14" s="38">
        <f t="shared" si="0"/>
        <v>57741.083333333299</v>
      </c>
      <c r="H14" s="27">
        <f>W62</f>
        <v>-1580</v>
      </c>
      <c r="I14" s="38">
        <f>BC62</f>
        <v>-42</v>
      </c>
      <c r="J14" s="39"/>
      <c r="K14" s="47">
        <f t="shared" si="3"/>
        <v>0</v>
      </c>
      <c r="L14" s="47">
        <f t="shared" si="4"/>
        <v>0</v>
      </c>
      <c r="M14" s="47">
        <f t="shared" si="5"/>
        <v>0</v>
      </c>
      <c r="N14" s="48">
        <f t="shared" si="6"/>
        <v>-111</v>
      </c>
      <c r="O14" s="48" t="b">
        <f t="shared" si="7"/>
        <v>0</v>
      </c>
      <c r="P14" s="48" t="b">
        <f t="shared" si="8"/>
        <v>0</v>
      </c>
      <c r="Q14" s="48" t="b">
        <f t="shared" si="9"/>
        <v>0</v>
      </c>
      <c r="R14" s="48" t="b">
        <f t="shared" si="10"/>
        <v>0</v>
      </c>
      <c r="S14" s="48" t="b">
        <f t="shared" si="11"/>
        <v>0</v>
      </c>
      <c r="T14" s="48" t="b">
        <f t="shared" si="12"/>
        <v>0</v>
      </c>
      <c r="U14" s="48" t="b">
        <f t="shared" si="13"/>
        <v>0</v>
      </c>
      <c r="V14" s="48" t="b">
        <f t="shared" si="14"/>
        <v>0</v>
      </c>
      <c r="W14" s="48" t="b">
        <f t="shared" si="15"/>
        <v>0</v>
      </c>
      <c r="X14" s="48" t="b">
        <f t="shared" si="16"/>
        <v>0</v>
      </c>
      <c r="Y14" s="48" t="b">
        <f t="shared" si="17"/>
        <v>0</v>
      </c>
      <c r="Z14" s="48" t="b">
        <f t="shared" si="18"/>
        <v>0</v>
      </c>
      <c r="AA14" s="48" t="b">
        <f t="shared" si="19"/>
        <v>0</v>
      </c>
      <c r="AB14" s="48" t="b">
        <f t="shared" si="20"/>
        <v>0</v>
      </c>
      <c r="AC14" s="48" t="b">
        <f t="shared" si="21"/>
        <v>0</v>
      </c>
      <c r="AD14" s="48" t="b">
        <f t="shared" si="22"/>
        <v>0</v>
      </c>
      <c r="AE14" s="48" t="b">
        <f t="shared" si="23"/>
        <v>0</v>
      </c>
      <c r="AF14" s="48" t="b">
        <f t="shared" si="24"/>
        <v>0</v>
      </c>
      <c r="AG14" s="48" t="b">
        <f t="shared" si="25"/>
        <v>0</v>
      </c>
      <c r="AH14" s="48" t="b">
        <f t="shared" si="26"/>
        <v>0</v>
      </c>
      <c r="AI14" s="48" t="b">
        <f t="shared" si="27"/>
        <v>0</v>
      </c>
      <c r="AJ14" s="48" t="b">
        <f t="shared" si="28"/>
        <v>0</v>
      </c>
      <c r="AK14" s="48" t="b">
        <f t="shared" si="29"/>
        <v>0</v>
      </c>
      <c r="AL14" s="48" t="b">
        <f t="shared" si="30"/>
        <v>0</v>
      </c>
      <c r="AM14" s="48" t="b">
        <f t="shared" si="31"/>
        <v>0</v>
      </c>
      <c r="AN14" s="48" t="b">
        <f t="shared" si="32"/>
        <v>0</v>
      </c>
      <c r="AO14" s="48"/>
      <c r="AP14" s="48"/>
      <c r="AQ14" s="47">
        <f t="shared" si="33"/>
        <v>0</v>
      </c>
      <c r="AR14" s="47">
        <f t="shared" si="34"/>
        <v>0</v>
      </c>
      <c r="AS14" s="47">
        <f t="shared" si="35"/>
        <v>0</v>
      </c>
      <c r="AT14" s="47">
        <f t="shared" si="36"/>
        <v>-1</v>
      </c>
      <c r="AU14" s="47" t="b">
        <f t="shared" si="37"/>
        <v>0</v>
      </c>
      <c r="AV14" s="47" t="b">
        <f t="shared" si="38"/>
        <v>0</v>
      </c>
      <c r="AW14" s="47" t="b">
        <f t="shared" si="39"/>
        <v>0</v>
      </c>
      <c r="AX14" s="47" t="b">
        <f t="shared" si="40"/>
        <v>0</v>
      </c>
      <c r="AY14" s="47" t="b">
        <f t="shared" si="41"/>
        <v>0</v>
      </c>
      <c r="AZ14" s="47" t="b">
        <f t="shared" si="42"/>
        <v>0</v>
      </c>
      <c r="BA14" s="47" t="b">
        <f t="shared" si="43"/>
        <v>0</v>
      </c>
      <c r="BB14" s="47" t="b">
        <f t="shared" si="44"/>
        <v>0</v>
      </c>
      <c r="BC14" s="47" t="b">
        <f t="shared" si="45"/>
        <v>0</v>
      </c>
      <c r="BD14" s="47" t="b">
        <f t="shared" si="46"/>
        <v>0</v>
      </c>
      <c r="BE14" s="47" t="b">
        <f t="shared" si="47"/>
        <v>0</v>
      </c>
      <c r="BF14" s="47" t="b">
        <f t="shared" si="48"/>
        <v>0</v>
      </c>
      <c r="BG14" s="47" t="b">
        <f t="shared" si="49"/>
        <v>0</v>
      </c>
      <c r="BH14" s="47" t="b">
        <f t="shared" si="50"/>
        <v>0</v>
      </c>
      <c r="BI14" s="47" t="b">
        <f t="shared" si="51"/>
        <v>0</v>
      </c>
      <c r="BJ14" s="47" t="b">
        <f t="shared" si="52"/>
        <v>0</v>
      </c>
      <c r="BK14" s="69" t="b">
        <f t="shared" si="53"/>
        <v>0</v>
      </c>
      <c r="BL14" s="69" t="b">
        <f t="shared" si="54"/>
        <v>0</v>
      </c>
      <c r="BM14" s="69" t="b">
        <f t="shared" si="55"/>
        <v>0</v>
      </c>
      <c r="BN14" s="69" t="b">
        <f t="shared" si="56"/>
        <v>0</v>
      </c>
      <c r="BO14" s="69" t="b">
        <f t="shared" si="57"/>
        <v>0</v>
      </c>
      <c r="BP14" s="69" t="b">
        <f t="shared" si="58"/>
        <v>0</v>
      </c>
      <c r="BQ14" s="69" t="b">
        <f t="shared" si="59"/>
        <v>0</v>
      </c>
      <c r="BR14" s="69" t="b">
        <f t="shared" si="60"/>
        <v>0</v>
      </c>
      <c r="BS14" s="37" t="b">
        <f t="shared" si="61"/>
        <v>0</v>
      </c>
      <c r="BT14" s="37" t="b">
        <f t="shared" si="62"/>
        <v>0</v>
      </c>
    </row>
    <row r="15" spans="1:72" s="8" customFormat="1" x14ac:dyDescent="0.25">
      <c r="A15" s="8">
        <v>14</v>
      </c>
      <c r="B15">
        <v>49789</v>
      </c>
      <c r="C15" s="7">
        <f>DATA!C444-DATA!E444</f>
        <v>-1273</v>
      </c>
      <c r="D15" s="7">
        <f>DATA!D444-DATA!F444</f>
        <v>-1</v>
      </c>
      <c r="E15" s="38">
        <f t="shared" si="1"/>
        <v>58270.166666666635</v>
      </c>
      <c r="F15" s="38">
        <f t="shared" si="2"/>
        <v>59328.333333333299</v>
      </c>
      <c r="G15" s="38">
        <f t="shared" si="0"/>
        <v>58799.249999999971</v>
      </c>
      <c r="H15" s="27">
        <f>X62</f>
        <v>-601</v>
      </c>
      <c r="I15" s="38">
        <f>BD62</f>
        <v>-2</v>
      </c>
      <c r="J15" s="39"/>
      <c r="K15" s="47">
        <f t="shared" si="3"/>
        <v>0</v>
      </c>
      <c r="L15" s="47">
        <f t="shared" si="4"/>
        <v>0</v>
      </c>
      <c r="M15" s="47">
        <f t="shared" si="5"/>
        <v>0</v>
      </c>
      <c r="N15" s="48">
        <f t="shared" si="6"/>
        <v>0</v>
      </c>
      <c r="O15" s="48">
        <f t="shared" si="7"/>
        <v>-1273</v>
      </c>
      <c r="P15" s="48" t="b">
        <f t="shared" si="8"/>
        <v>0</v>
      </c>
      <c r="Q15" s="48" t="b">
        <f t="shared" si="9"/>
        <v>0</v>
      </c>
      <c r="R15" s="48" t="b">
        <f t="shared" si="10"/>
        <v>0</v>
      </c>
      <c r="S15" s="48" t="b">
        <f t="shared" si="11"/>
        <v>0</v>
      </c>
      <c r="T15" s="48" t="b">
        <f t="shared" si="12"/>
        <v>0</v>
      </c>
      <c r="U15" s="48" t="b">
        <f t="shared" si="13"/>
        <v>0</v>
      </c>
      <c r="V15" s="48" t="b">
        <f t="shared" si="14"/>
        <v>0</v>
      </c>
      <c r="W15" s="48" t="b">
        <f t="shared" si="15"/>
        <v>0</v>
      </c>
      <c r="X15" s="48" t="b">
        <f t="shared" si="16"/>
        <v>0</v>
      </c>
      <c r="Y15" s="48" t="b">
        <f t="shared" si="17"/>
        <v>0</v>
      </c>
      <c r="Z15" s="48" t="b">
        <f t="shared" si="18"/>
        <v>0</v>
      </c>
      <c r="AA15" s="48" t="b">
        <f t="shared" si="19"/>
        <v>0</v>
      </c>
      <c r="AB15" s="48" t="b">
        <f t="shared" si="20"/>
        <v>0</v>
      </c>
      <c r="AC15" s="48" t="b">
        <f t="shared" si="21"/>
        <v>0</v>
      </c>
      <c r="AD15" s="48" t="b">
        <f t="shared" si="22"/>
        <v>0</v>
      </c>
      <c r="AE15" s="48" t="b">
        <f t="shared" si="23"/>
        <v>0</v>
      </c>
      <c r="AF15" s="48" t="b">
        <f t="shared" si="24"/>
        <v>0</v>
      </c>
      <c r="AG15" s="48" t="b">
        <f t="shared" si="25"/>
        <v>0</v>
      </c>
      <c r="AH15" s="48" t="b">
        <f t="shared" si="26"/>
        <v>0</v>
      </c>
      <c r="AI15" s="48" t="b">
        <f t="shared" si="27"/>
        <v>0</v>
      </c>
      <c r="AJ15" s="48" t="b">
        <f t="shared" si="28"/>
        <v>0</v>
      </c>
      <c r="AK15" s="48" t="b">
        <f t="shared" si="29"/>
        <v>0</v>
      </c>
      <c r="AL15" s="48" t="b">
        <f t="shared" si="30"/>
        <v>0</v>
      </c>
      <c r="AM15" s="48" t="b">
        <f t="shared" si="31"/>
        <v>0</v>
      </c>
      <c r="AN15" s="48" t="b">
        <f t="shared" si="32"/>
        <v>0</v>
      </c>
      <c r="AO15" s="48"/>
      <c r="AP15" s="48"/>
      <c r="AQ15" s="47">
        <f t="shared" si="33"/>
        <v>0</v>
      </c>
      <c r="AR15" s="47">
        <f t="shared" si="34"/>
        <v>0</v>
      </c>
      <c r="AS15" s="47">
        <f t="shared" si="35"/>
        <v>0</v>
      </c>
      <c r="AT15" s="47">
        <f t="shared" si="36"/>
        <v>0</v>
      </c>
      <c r="AU15" s="47">
        <f t="shared" si="37"/>
        <v>-1</v>
      </c>
      <c r="AV15" s="47" t="b">
        <f t="shared" si="38"/>
        <v>0</v>
      </c>
      <c r="AW15" s="47" t="b">
        <f t="shared" si="39"/>
        <v>0</v>
      </c>
      <c r="AX15" s="47" t="b">
        <f t="shared" si="40"/>
        <v>0</v>
      </c>
      <c r="AY15" s="47" t="b">
        <f t="shared" si="41"/>
        <v>0</v>
      </c>
      <c r="AZ15" s="47" t="b">
        <f t="shared" si="42"/>
        <v>0</v>
      </c>
      <c r="BA15" s="47" t="b">
        <f t="shared" si="43"/>
        <v>0</v>
      </c>
      <c r="BB15" s="47" t="b">
        <f t="shared" si="44"/>
        <v>0</v>
      </c>
      <c r="BC15" s="47" t="b">
        <f t="shared" si="45"/>
        <v>0</v>
      </c>
      <c r="BD15" s="47" t="b">
        <f t="shared" si="46"/>
        <v>0</v>
      </c>
      <c r="BE15" s="47" t="b">
        <f t="shared" si="47"/>
        <v>0</v>
      </c>
      <c r="BF15" s="47" t="b">
        <f t="shared" si="48"/>
        <v>0</v>
      </c>
      <c r="BG15" s="47" t="b">
        <f t="shared" si="49"/>
        <v>0</v>
      </c>
      <c r="BH15" s="47" t="b">
        <f t="shared" si="50"/>
        <v>0</v>
      </c>
      <c r="BI15" s="47" t="b">
        <f t="shared" si="51"/>
        <v>0</v>
      </c>
      <c r="BJ15" s="47" t="b">
        <f t="shared" si="52"/>
        <v>0</v>
      </c>
      <c r="BK15" s="69" t="b">
        <f t="shared" si="53"/>
        <v>0</v>
      </c>
      <c r="BL15" s="69" t="b">
        <f t="shared" si="54"/>
        <v>0</v>
      </c>
      <c r="BM15" s="69" t="b">
        <f t="shared" si="55"/>
        <v>0</v>
      </c>
      <c r="BN15" s="69" t="b">
        <f t="shared" si="56"/>
        <v>0</v>
      </c>
      <c r="BO15" s="69" t="b">
        <f t="shared" si="57"/>
        <v>0</v>
      </c>
      <c r="BP15" s="69" t="b">
        <f t="shared" si="58"/>
        <v>0</v>
      </c>
      <c r="BQ15" s="69" t="b">
        <f t="shared" si="59"/>
        <v>0</v>
      </c>
      <c r="BR15" s="69" t="b">
        <f t="shared" si="60"/>
        <v>0</v>
      </c>
      <c r="BS15" s="37" t="b">
        <f t="shared" si="61"/>
        <v>0</v>
      </c>
      <c r="BT15" s="37" t="b">
        <f t="shared" si="62"/>
        <v>0</v>
      </c>
    </row>
    <row r="16" spans="1:72" s="8" customFormat="1" x14ac:dyDescent="0.25">
      <c r="A16" s="8">
        <v>15</v>
      </c>
      <c r="B16">
        <v>50347</v>
      </c>
      <c r="C16" s="7">
        <f>DATA!C435-DATA!E435</f>
        <v>99</v>
      </c>
      <c r="D16" s="7">
        <f>DATA!D435-DATA!F435</f>
        <v>2</v>
      </c>
      <c r="E16" s="38">
        <f t="shared" si="1"/>
        <v>59328.333333333299</v>
      </c>
      <c r="F16" s="38">
        <f t="shared" si="2"/>
        <v>60386.499999999964</v>
      </c>
      <c r="G16" s="38">
        <f t="shared" si="0"/>
        <v>59857.416666666628</v>
      </c>
      <c r="H16" s="27">
        <f>Y62</f>
        <v>605</v>
      </c>
      <c r="I16" s="38">
        <f>BE62</f>
        <v>-2</v>
      </c>
      <c r="J16" s="39"/>
      <c r="K16" s="47">
        <f t="shared" si="3"/>
        <v>0</v>
      </c>
      <c r="L16" s="47">
        <f t="shared" si="4"/>
        <v>0</v>
      </c>
      <c r="M16" s="47">
        <f t="shared" si="5"/>
        <v>0</v>
      </c>
      <c r="N16" s="48">
        <f t="shared" si="6"/>
        <v>0</v>
      </c>
      <c r="O16" s="48">
        <f t="shared" si="7"/>
        <v>0</v>
      </c>
      <c r="P16" s="48">
        <f t="shared" si="8"/>
        <v>99</v>
      </c>
      <c r="Q16" s="48" t="b">
        <f t="shared" si="9"/>
        <v>0</v>
      </c>
      <c r="R16" s="48" t="b">
        <f t="shared" si="10"/>
        <v>0</v>
      </c>
      <c r="S16" s="48" t="b">
        <f t="shared" si="11"/>
        <v>0</v>
      </c>
      <c r="T16" s="48" t="b">
        <f t="shared" si="12"/>
        <v>0</v>
      </c>
      <c r="U16" s="48" t="b">
        <f t="shared" si="13"/>
        <v>0</v>
      </c>
      <c r="V16" s="48" t="b">
        <f t="shared" si="14"/>
        <v>0</v>
      </c>
      <c r="W16" s="48" t="b">
        <f t="shared" si="15"/>
        <v>0</v>
      </c>
      <c r="X16" s="48" t="b">
        <f t="shared" si="16"/>
        <v>0</v>
      </c>
      <c r="Y16" s="48" t="b">
        <f t="shared" si="17"/>
        <v>0</v>
      </c>
      <c r="Z16" s="48" t="b">
        <f t="shared" si="18"/>
        <v>0</v>
      </c>
      <c r="AA16" s="48" t="b">
        <f t="shared" si="19"/>
        <v>0</v>
      </c>
      <c r="AB16" s="48" t="b">
        <f t="shared" si="20"/>
        <v>0</v>
      </c>
      <c r="AC16" s="48" t="b">
        <f t="shared" si="21"/>
        <v>0</v>
      </c>
      <c r="AD16" s="48" t="b">
        <f t="shared" si="22"/>
        <v>0</v>
      </c>
      <c r="AE16" s="48" t="b">
        <f t="shared" si="23"/>
        <v>0</v>
      </c>
      <c r="AF16" s="48" t="b">
        <f t="shared" si="24"/>
        <v>0</v>
      </c>
      <c r="AG16" s="48" t="b">
        <f t="shared" si="25"/>
        <v>0</v>
      </c>
      <c r="AH16" s="48" t="b">
        <f t="shared" si="26"/>
        <v>0</v>
      </c>
      <c r="AI16" s="48" t="b">
        <f t="shared" si="27"/>
        <v>0</v>
      </c>
      <c r="AJ16" s="48" t="b">
        <f t="shared" si="28"/>
        <v>0</v>
      </c>
      <c r="AK16" s="48" t="b">
        <f t="shared" si="29"/>
        <v>0</v>
      </c>
      <c r="AL16" s="48" t="b">
        <f t="shared" si="30"/>
        <v>0</v>
      </c>
      <c r="AM16" s="48" t="b">
        <f t="shared" si="31"/>
        <v>0</v>
      </c>
      <c r="AN16" s="48" t="b">
        <f t="shared" si="32"/>
        <v>0</v>
      </c>
      <c r="AO16" s="48"/>
      <c r="AP16" s="48"/>
      <c r="AQ16" s="47">
        <f t="shared" si="33"/>
        <v>0</v>
      </c>
      <c r="AR16" s="47">
        <f t="shared" si="34"/>
        <v>0</v>
      </c>
      <c r="AS16" s="47">
        <f t="shared" si="35"/>
        <v>0</v>
      </c>
      <c r="AT16" s="47">
        <f t="shared" si="36"/>
        <v>0</v>
      </c>
      <c r="AU16" s="47">
        <f t="shared" si="37"/>
        <v>0</v>
      </c>
      <c r="AV16" s="47">
        <f t="shared" si="38"/>
        <v>2</v>
      </c>
      <c r="AW16" s="47" t="b">
        <f t="shared" si="39"/>
        <v>0</v>
      </c>
      <c r="AX16" s="47" t="b">
        <f t="shared" si="40"/>
        <v>0</v>
      </c>
      <c r="AY16" s="47" t="b">
        <f t="shared" si="41"/>
        <v>0</v>
      </c>
      <c r="AZ16" s="47" t="b">
        <f t="shared" si="42"/>
        <v>0</v>
      </c>
      <c r="BA16" s="47" t="b">
        <f t="shared" si="43"/>
        <v>0</v>
      </c>
      <c r="BB16" s="47" t="b">
        <f t="shared" si="44"/>
        <v>0</v>
      </c>
      <c r="BC16" s="47" t="b">
        <f t="shared" si="45"/>
        <v>0</v>
      </c>
      <c r="BD16" s="47" t="b">
        <f t="shared" si="46"/>
        <v>0</v>
      </c>
      <c r="BE16" s="47" t="b">
        <f t="shared" si="47"/>
        <v>0</v>
      </c>
      <c r="BF16" s="47" t="b">
        <f t="shared" si="48"/>
        <v>0</v>
      </c>
      <c r="BG16" s="47" t="b">
        <f t="shared" si="49"/>
        <v>0</v>
      </c>
      <c r="BH16" s="47" t="b">
        <f t="shared" si="50"/>
        <v>0</v>
      </c>
      <c r="BI16" s="47" t="b">
        <f t="shared" si="51"/>
        <v>0</v>
      </c>
      <c r="BJ16" s="47" t="b">
        <f t="shared" si="52"/>
        <v>0</v>
      </c>
      <c r="BK16" s="69" t="b">
        <f t="shared" si="53"/>
        <v>0</v>
      </c>
      <c r="BL16" s="69" t="b">
        <f t="shared" si="54"/>
        <v>0</v>
      </c>
      <c r="BM16" s="69" t="b">
        <f t="shared" si="55"/>
        <v>0</v>
      </c>
      <c r="BN16" s="69" t="b">
        <f t="shared" si="56"/>
        <v>0</v>
      </c>
      <c r="BO16" s="69" t="b">
        <f t="shared" si="57"/>
        <v>0</v>
      </c>
      <c r="BP16" s="69" t="b">
        <f t="shared" si="58"/>
        <v>0</v>
      </c>
      <c r="BQ16" s="69" t="b">
        <f t="shared" si="59"/>
        <v>0</v>
      </c>
      <c r="BR16" s="69" t="b">
        <f t="shared" si="60"/>
        <v>0</v>
      </c>
      <c r="BS16" s="37" t="b">
        <f t="shared" si="61"/>
        <v>0</v>
      </c>
      <c r="BT16" s="37" t="b">
        <f t="shared" si="62"/>
        <v>0</v>
      </c>
    </row>
    <row r="17" spans="1:72" s="8" customFormat="1" x14ac:dyDescent="0.25">
      <c r="A17" s="8">
        <v>16</v>
      </c>
      <c r="B17">
        <v>50352</v>
      </c>
      <c r="C17" s="7">
        <f>DATA!C408-DATA!E408</f>
        <v>-1014</v>
      </c>
      <c r="D17" s="7">
        <f>DATA!D408-DATA!F408</f>
        <v>5</v>
      </c>
      <c r="E17" s="38">
        <f t="shared" si="1"/>
        <v>60386.499999999964</v>
      </c>
      <c r="F17" s="38">
        <f t="shared" si="2"/>
        <v>61444.666666666628</v>
      </c>
      <c r="G17" s="38">
        <f t="shared" si="0"/>
        <v>60915.583333333299</v>
      </c>
      <c r="H17" s="27">
        <f>Z62</f>
        <v>-153</v>
      </c>
      <c r="I17" s="38">
        <f>BF62</f>
        <v>-17</v>
      </c>
      <c r="J17" s="39"/>
      <c r="K17" s="47">
        <f t="shared" si="3"/>
        <v>0</v>
      </c>
      <c r="L17" s="47">
        <f t="shared" si="4"/>
        <v>0</v>
      </c>
      <c r="M17" s="47">
        <f t="shared" si="5"/>
        <v>0</v>
      </c>
      <c r="N17" s="48">
        <f t="shared" si="6"/>
        <v>0</v>
      </c>
      <c r="O17" s="48">
        <f t="shared" si="7"/>
        <v>0</v>
      </c>
      <c r="P17" s="48">
        <f t="shared" si="8"/>
        <v>-1014</v>
      </c>
      <c r="Q17" s="48" t="b">
        <f t="shared" si="9"/>
        <v>0</v>
      </c>
      <c r="R17" s="48" t="b">
        <f t="shared" si="10"/>
        <v>0</v>
      </c>
      <c r="S17" s="48" t="b">
        <f t="shared" si="11"/>
        <v>0</v>
      </c>
      <c r="T17" s="48" t="b">
        <f t="shared" si="12"/>
        <v>0</v>
      </c>
      <c r="U17" s="48" t="b">
        <f t="shared" si="13"/>
        <v>0</v>
      </c>
      <c r="V17" s="48" t="b">
        <f t="shared" si="14"/>
        <v>0</v>
      </c>
      <c r="W17" s="48" t="b">
        <f t="shared" si="15"/>
        <v>0</v>
      </c>
      <c r="X17" s="48" t="b">
        <f t="shared" si="16"/>
        <v>0</v>
      </c>
      <c r="Y17" s="48" t="b">
        <f t="shared" si="17"/>
        <v>0</v>
      </c>
      <c r="Z17" s="48" t="b">
        <f t="shared" si="18"/>
        <v>0</v>
      </c>
      <c r="AA17" s="48" t="b">
        <f t="shared" si="19"/>
        <v>0</v>
      </c>
      <c r="AB17" s="48" t="b">
        <f t="shared" si="20"/>
        <v>0</v>
      </c>
      <c r="AC17" s="48" t="b">
        <f t="shared" si="21"/>
        <v>0</v>
      </c>
      <c r="AD17" s="48" t="b">
        <f t="shared" si="22"/>
        <v>0</v>
      </c>
      <c r="AE17" s="48" t="b">
        <f t="shared" si="23"/>
        <v>0</v>
      </c>
      <c r="AF17" s="48" t="b">
        <f t="shared" si="24"/>
        <v>0</v>
      </c>
      <c r="AG17" s="48" t="b">
        <f t="shared" si="25"/>
        <v>0</v>
      </c>
      <c r="AH17" s="48" t="b">
        <f t="shared" si="26"/>
        <v>0</v>
      </c>
      <c r="AI17" s="48" t="b">
        <f t="shared" si="27"/>
        <v>0</v>
      </c>
      <c r="AJ17" s="48" t="b">
        <f t="shared" si="28"/>
        <v>0</v>
      </c>
      <c r="AK17" s="48" t="b">
        <f t="shared" si="29"/>
        <v>0</v>
      </c>
      <c r="AL17" s="48" t="b">
        <f t="shared" si="30"/>
        <v>0</v>
      </c>
      <c r="AM17" s="48" t="b">
        <f t="shared" si="31"/>
        <v>0</v>
      </c>
      <c r="AN17" s="48" t="b">
        <f t="shared" si="32"/>
        <v>0</v>
      </c>
      <c r="AO17" s="48"/>
      <c r="AP17" s="48"/>
      <c r="AQ17" s="47">
        <f t="shared" si="33"/>
        <v>0</v>
      </c>
      <c r="AR17" s="47">
        <f t="shared" si="34"/>
        <v>0</v>
      </c>
      <c r="AS17" s="47">
        <f t="shared" si="35"/>
        <v>0</v>
      </c>
      <c r="AT17" s="47">
        <f t="shared" si="36"/>
        <v>0</v>
      </c>
      <c r="AU17" s="47">
        <f t="shared" si="37"/>
        <v>0</v>
      </c>
      <c r="AV17" s="47">
        <f t="shared" si="38"/>
        <v>5</v>
      </c>
      <c r="AW17" s="47" t="b">
        <f t="shared" si="39"/>
        <v>0</v>
      </c>
      <c r="AX17" s="47" t="b">
        <f t="shared" si="40"/>
        <v>0</v>
      </c>
      <c r="AY17" s="47" t="b">
        <f t="shared" si="41"/>
        <v>0</v>
      </c>
      <c r="AZ17" s="47" t="b">
        <f t="shared" si="42"/>
        <v>0</v>
      </c>
      <c r="BA17" s="47" t="b">
        <f t="shared" si="43"/>
        <v>0</v>
      </c>
      <c r="BB17" s="47" t="b">
        <f t="shared" si="44"/>
        <v>0</v>
      </c>
      <c r="BC17" s="47" t="b">
        <f t="shared" si="45"/>
        <v>0</v>
      </c>
      <c r="BD17" s="47" t="b">
        <f t="shared" si="46"/>
        <v>0</v>
      </c>
      <c r="BE17" s="47" t="b">
        <f t="shared" si="47"/>
        <v>0</v>
      </c>
      <c r="BF17" s="47" t="b">
        <f t="shared" si="48"/>
        <v>0</v>
      </c>
      <c r="BG17" s="47" t="b">
        <f t="shared" si="49"/>
        <v>0</v>
      </c>
      <c r="BH17" s="47" t="b">
        <f t="shared" si="50"/>
        <v>0</v>
      </c>
      <c r="BI17" s="47" t="b">
        <f t="shared" si="51"/>
        <v>0</v>
      </c>
      <c r="BJ17" s="47" t="b">
        <f t="shared" si="52"/>
        <v>0</v>
      </c>
      <c r="BK17" s="69" t="b">
        <f t="shared" si="53"/>
        <v>0</v>
      </c>
      <c r="BL17" s="69" t="b">
        <f t="shared" si="54"/>
        <v>0</v>
      </c>
      <c r="BM17" s="69" t="b">
        <f t="shared" si="55"/>
        <v>0</v>
      </c>
      <c r="BN17" s="69" t="b">
        <f t="shared" si="56"/>
        <v>0</v>
      </c>
      <c r="BO17" s="69" t="b">
        <f t="shared" si="57"/>
        <v>0</v>
      </c>
      <c r="BP17" s="69" t="b">
        <f t="shared" si="58"/>
        <v>0</v>
      </c>
      <c r="BQ17" s="69" t="b">
        <f t="shared" si="59"/>
        <v>0</v>
      </c>
      <c r="BR17" s="69" t="b">
        <f t="shared" si="60"/>
        <v>0</v>
      </c>
      <c r="BS17" s="37" t="b">
        <f t="shared" si="61"/>
        <v>0</v>
      </c>
      <c r="BT17" s="37" t="b">
        <f t="shared" si="62"/>
        <v>0</v>
      </c>
    </row>
    <row r="18" spans="1:72" s="8" customFormat="1" x14ac:dyDescent="0.25">
      <c r="A18" s="8">
        <v>17</v>
      </c>
      <c r="B18">
        <v>50410</v>
      </c>
      <c r="C18" s="7">
        <f>DATA!C417-DATA!E417</f>
        <v>-447</v>
      </c>
      <c r="D18" s="7">
        <f>DATA!D417-DATA!F417</f>
        <v>7</v>
      </c>
      <c r="E18" s="38">
        <f t="shared" si="1"/>
        <v>61444.666666666628</v>
      </c>
      <c r="F18" s="38">
        <f t="shared" si="2"/>
        <v>62502.833333333292</v>
      </c>
      <c r="G18" s="38">
        <f t="shared" si="0"/>
        <v>61973.749999999956</v>
      </c>
      <c r="H18" s="27">
        <f>AA62</f>
        <v>0</v>
      </c>
      <c r="I18" s="38">
        <f>BG62</f>
        <v>0</v>
      </c>
      <c r="J18" s="39"/>
      <c r="K18" s="47">
        <f t="shared" si="3"/>
        <v>0</v>
      </c>
      <c r="L18" s="47">
        <f t="shared" si="4"/>
        <v>0</v>
      </c>
      <c r="M18" s="47">
        <f t="shared" si="5"/>
        <v>0</v>
      </c>
      <c r="N18" s="48">
        <f t="shared" si="6"/>
        <v>0</v>
      </c>
      <c r="O18" s="48">
        <f t="shared" si="7"/>
        <v>0</v>
      </c>
      <c r="P18" s="48">
        <f t="shared" si="8"/>
        <v>-447</v>
      </c>
      <c r="Q18" s="48" t="b">
        <f t="shared" si="9"/>
        <v>0</v>
      </c>
      <c r="R18" s="48" t="b">
        <f t="shared" si="10"/>
        <v>0</v>
      </c>
      <c r="S18" s="48" t="b">
        <f t="shared" si="11"/>
        <v>0</v>
      </c>
      <c r="T18" s="48" t="b">
        <f t="shared" si="12"/>
        <v>0</v>
      </c>
      <c r="U18" s="48" t="b">
        <f t="shared" si="13"/>
        <v>0</v>
      </c>
      <c r="V18" s="48" t="b">
        <f t="shared" si="14"/>
        <v>0</v>
      </c>
      <c r="W18" s="48" t="b">
        <f t="shared" si="15"/>
        <v>0</v>
      </c>
      <c r="X18" s="48" t="b">
        <f t="shared" si="16"/>
        <v>0</v>
      </c>
      <c r="Y18" s="48" t="b">
        <f t="shared" si="17"/>
        <v>0</v>
      </c>
      <c r="Z18" s="48" t="b">
        <f t="shared" si="18"/>
        <v>0</v>
      </c>
      <c r="AA18" s="48" t="b">
        <f t="shared" si="19"/>
        <v>0</v>
      </c>
      <c r="AB18" s="48" t="b">
        <f t="shared" si="20"/>
        <v>0</v>
      </c>
      <c r="AC18" s="48" t="b">
        <f t="shared" si="21"/>
        <v>0</v>
      </c>
      <c r="AD18" s="48" t="b">
        <f t="shared" si="22"/>
        <v>0</v>
      </c>
      <c r="AE18" s="48" t="b">
        <f t="shared" si="23"/>
        <v>0</v>
      </c>
      <c r="AF18" s="48" t="b">
        <f t="shared" si="24"/>
        <v>0</v>
      </c>
      <c r="AG18" s="48" t="b">
        <f t="shared" si="25"/>
        <v>0</v>
      </c>
      <c r="AH18" s="48" t="b">
        <f t="shared" si="26"/>
        <v>0</v>
      </c>
      <c r="AI18" s="48" t="b">
        <f t="shared" si="27"/>
        <v>0</v>
      </c>
      <c r="AJ18" s="48" t="b">
        <f t="shared" si="28"/>
        <v>0</v>
      </c>
      <c r="AK18" s="48" t="b">
        <f t="shared" si="29"/>
        <v>0</v>
      </c>
      <c r="AL18" s="48" t="b">
        <f t="shared" si="30"/>
        <v>0</v>
      </c>
      <c r="AM18" s="48" t="b">
        <f t="shared" si="31"/>
        <v>0</v>
      </c>
      <c r="AN18" s="48" t="b">
        <f t="shared" si="32"/>
        <v>0</v>
      </c>
      <c r="AO18" s="48"/>
      <c r="AP18" s="48"/>
      <c r="AQ18" s="47">
        <f t="shared" si="33"/>
        <v>0</v>
      </c>
      <c r="AR18" s="47">
        <f t="shared" si="34"/>
        <v>0</v>
      </c>
      <c r="AS18" s="47">
        <f t="shared" si="35"/>
        <v>0</v>
      </c>
      <c r="AT18" s="47">
        <f t="shared" si="36"/>
        <v>0</v>
      </c>
      <c r="AU18" s="47">
        <f t="shared" si="37"/>
        <v>0</v>
      </c>
      <c r="AV18" s="47">
        <f t="shared" si="38"/>
        <v>7</v>
      </c>
      <c r="AW18" s="47" t="b">
        <f t="shared" si="39"/>
        <v>0</v>
      </c>
      <c r="AX18" s="47" t="b">
        <f t="shared" si="40"/>
        <v>0</v>
      </c>
      <c r="AY18" s="47" t="b">
        <f t="shared" si="41"/>
        <v>0</v>
      </c>
      <c r="AZ18" s="47" t="b">
        <f t="shared" si="42"/>
        <v>0</v>
      </c>
      <c r="BA18" s="47" t="b">
        <f t="shared" si="43"/>
        <v>0</v>
      </c>
      <c r="BB18" s="47" t="b">
        <f t="shared" si="44"/>
        <v>0</v>
      </c>
      <c r="BC18" s="47" t="b">
        <f t="shared" si="45"/>
        <v>0</v>
      </c>
      <c r="BD18" s="47" t="b">
        <f t="shared" si="46"/>
        <v>0</v>
      </c>
      <c r="BE18" s="47" t="b">
        <f t="shared" si="47"/>
        <v>0</v>
      </c>
      <c r="BF18" s="47" t="b">
        <f t="shared" si="48"/>
        <v>0</v>
      </c>
      <c r="BG18" s="47" t="b">
        <f t="shared" si="49"/>
        <v>0</v>
      </c>
      <c r="BH18" s="47" t="b">
        <f t="shared" si="50"/>
        <v>0</v>
      </c>
      <c r="BI18" s="47" t="b">
        <f t="shared" si="51"/>
        <v>0</v>
      </c>
      <c r="BJ18" s="47" t="b">
        <f t="shared" si="52"/>
        <v>0</v>
      </c>
      <c r="BK18" s="69" t="b">
        <f t="shared" si="53"/>
        <v>0</v>
      </c>
      <c r="BL18" s="69" t="b">
        <f t="shared" si="54"/>
        <v>0</v>
      </c>
      <c r="BM18" s="69" t="b">
        <f t="shared" si="55"/>
        <v>0</v>
      </c>
      <c r="BN18" s="69" t="b">
        <f t="shared" si="56"/>
        <v>0</v>
      </c>
      <c r="BO18" s="69" t="b">
        <f t="shared" si="57"/>
        <v>0</v>
      </c>
      <c r="BP18" s="69" t="b">
        <f t="shared" si="58"/>
        <v>0</v>
      </c>
      <c r="BQ18" s="69" t="b">
        <f t="shared" si="59"/>
        <v>0</v>
      </c>
      <c r="BR18" s="69" t="b">
        <f t="shared" si="60"/>
        <v>0</v>
      </c>
      <c r="BS18" s="37" t="b">
        <f t="shared" si="61"/>
        <v>0</v>
      </c>
      <c r="BT18" s="37" t="b">
        <f t="shared" si="62"/>
        <v>0</v>
      </c>
    </row>
    <row r="19" spans="1:72" s="8" customFormat="1" x14ac:dyDescent="0.25">
      <c r="A19" s="8">
        <v>18</v>
      </c>
      <c r="B19">
        <v>50887</v>
      </c>
      <c r="C19" s="7">
        <f>DATA!C372-DATA!E372</f>
        <v>-233</v>
      </c>
      <c r="D19" s="7">
        <f>DATA!D372-DATA!F372</f>
        <v>-1</v>
      </c>
      <c r="E19" s="38">
        <f t="shared" si="1"/>
        <v>62502.833333333292</v>
      </c>
      <c r="F19" s="38">
        <f t="shared" si="2"/>
        <v>63560.999999999956</v>
      </c>
      <c r="G19" s="38">
        <f t="shared" si="0"/>
        <v>63031.916666666628</v>
      </c>
      <c r="H19" s="27">
        <f>AB62</f>
        <v>-157</v>
      </c>
      <c r="I19" s="38">
        <f>BH62</f>
        <v>-8</v>
      </c>
      <c r="J19" s="39"/>
      <c r="K19" s="47">
        <f t="shared" si="3"/>
        <v>0</v>
      </c>
      <c r="L19" s="47">
        <f t="shared" si="4"/>
        <v>0</v>
      </c>
      <c r="M19" s="47">
        <f t="shared" si="5"/>
        <v>0</v>
      </c>
      <c r="N19" s="48">
        <f t="shared" si="6"/>
        <v>0</v>
      </c>
      <c r="O19" s="48">
        <f t="shared" si="7"/>
        <v>0</v>
      </c>
      <c r="P19" s="48">
        <f t="shared" si="8"/>
        <v>0</v>
      </c>
      <c r="Q19" s="48">
        <f t="shared" si="9"/>
        <v>-233</v>
      </c>
      <c r="R19" s="48" t="b">
        <f t="shared" si="10"/>
        <v>0</v>
      </c>
      <c r="S19" s="48" t="b">
        <f t="shared" si="11"/>
        <v>0</v>
      </c>
      <c r="T19" s="48" t="b">
        <f t="shared" si="12"/>
        <v>0</v>
      </c>
      <c r="U19" s="48" t="b">
        <f t="shared" si="13"/>
        <v>0</v>
      </c>
      <c r="V19" s="48" t="b">
        <f t="shared" si="14"/>
        <v>0</v>
      </c>
      <c r="W19" s="48" t="b">
        <f t="shared" si="15"/>
        <v>0</v>
      </c>
      <c r="X19" s="48" t="b">
        <f t="shared" si="16"/>
        <v>0</v>
      </c>
      <c r="Y19" s="48" t="b">
        <f t="shared" si="17"/>
        <v>0</v>
      </c>
      <c r="Z19" s="48" t="b">
        <f t="shared" si="18"/>
        <v>0</v>
      </c>
      <c r="AA19" s="48" t="b">
        <f t="shared" si="19"/>
        <v>0</v>
      </c>
      <c r="AB19" s="48" t="b">
        <f t="shared" si="20"/>
        <v>0</v>
      </c>
      <c r="AC19" s="48" t="b">
        <f t="shared" si="21"/>
        <v>0</v>
      </c>
      <c r="AD19" s="48" t="b">
        <f t="shared" si="22"/>
        <v>0</v>
      </c>
      <c r="AE19" s="48" t="b">
        <f t="shared" si="23"/>
        <v>0</v>
      </c>
      <c r="AF19" s="48" t="b">
        <f t="shared" si="24"/>
        <v>0</v>
      </c>
      <c r="AG19" s="48" t="b">
        <f t="shared" si="25"/>
        <v>0</v>
      </c>
      <c r="AH19" s="48" t="b">
        <f t="shared" si="26"/>
        <v>0</v>
      </c>
      <c r="AI19" s="48" t="b">
        <f t="shared" si="27"/>
        <v>0</v>
      </c>
      <c r="AJ19" s="48" t="b">
        <f t="shared" si="28"/>
        <v>0</v>
      </c>
      <c r="AK19" s="48" t="b">
        <f t="shared" si="29"/>
        <v>0</v>
      </c>
      <c r="AL19" s="48" t="b">
        <f t="shared" si="30"/>
        <v>0</v>
      </c>
      <c r="AM19" s="48" t="b">
        <f t="shared" si="31"/>
        <v>0</v>
      </c>
      <c r="AN19" s="48" t="b">
        <f t="shared" si="32"/>
        <v>0</v>
      </c>
      <c r="AO19" s="48"/>
      <c r="AP19" s="48"/>
      <c r="AQ19" s="47">
        <f t="shared" si="33"/>
        <v>0</v>
      </c>
      <c r="AR19" s="47">
        <f t="shared" si="34"/>
        <v>0</v>
      </c>
      <c r="AS19" s="47">
        <f t="shared" si="35"/>
        <v>0</v>
      </c>
      <c r="AT19" s="47">
        <f t="shared" si="36"/>
        <v>0</v>
      </c>
      <c r="AU19" s="47">
        <f t="shared" si="37"/>
        <v>0</v>
      </c>
      <c r="AV19" s="47">
        <f t="shared" si="38"/>
        <v>0</v>
      </c>
      <c r="AW19" s="47">
        <f t="shared" si="39"/>
        <v>-1</v>
      </c>
      <c r="AX19" s="47" t="b">
        <f t="shared" si="40"/>
        <v>0</v>
      </c>
      <c r="AY19" s="47" t="b">
        <f t="shared" si="41"/>
        <v>0</v>
      </c>
      <c r="AZ19" s="47" t="b">
        <f t="shared" si="42"/>
        <v>0</v>
      </c>
      <c r="BA19" s="47" t="b">
        <f t="shared" si="43"/>
        <v>0</v>
      </c>
      <c r="BB19" s="47" t="b">
        <f t="shared" si="44"/>
        <v>0</v>
      </c>
      <c r="BC19" s="47" t="b">
        <f t="shared" si="45"/>
        <v>0</v>
      </c>
      <c r="BD19" s="47" t="b">
        <f t="shared" si="46"/>
        <v>0</v>
      </c>
      <c r="BE19" s="47" t="b">
        <f t="shared" si="47"/>
        <v>0</v>
      </c>
      <c r="BF19" s="47" t="b">
        <f t="shared" si="48"/>
        <v>0</v>
      </c>
      <c r="BG19" s="47" t="b">
        <f t="shared" si="49"/>
        <v>0</v>
      </c>
      <c r="BH19" s="47" t="b">
        <f t="shared" si="50"/>
        <v>0</v>
      </c>
      <c r="BI19" s="47" t="b">
        <f t="shared" si="51"/>
        <v>0</v>
      </c>
      <c r="BJ19" s="47" t="b">
        <f t="shared" si="52"/>
        <v>0</v>
      </c>
      <c r="BK19" s="69" t="b">
        <f t="shared" si="53"/>
        <v>0</v>
      </c>
      <c r="BL19" s="69" t="b">
        <f t="shared" si="54"/>
        <v>0</v>
      </c>
      <c r="BM19" s="69" t="b">
        <f t="shared" si="55"/>
        <v>0</v>
      </c>
      <c r="BN19" s="69" t="b">
        <f t="shared" si="56"/>
        <v>0</v>
      </c>
      <c r="BO19" s="69" t="b">
        <f t="shared" si="57"/>
        <v>0</v>
      </c>
      <c r="BP19" s="69" t="b">
        <f t="shared" si="58"/>
        <v>0</v>
      </c>
      <c r="BQ19" s="69" t="b">
        <f t="shared" si="59"/>
        <v>0</v>
      </c>
      <c r="BR19" s="69" t="b">
        <f t="shared" si="60"/>
        <v>0</v>
      </c>
      <c r="BS19" s="37" t="b">
        <f t="shared" si="61"/>
        <v>0</v>
      </c>
      <c r="BT19" s="37" t="b">
        <f t="shared" si="62"/>
        <v>0</v>
      </c>
    </row>
    <row r="20" spans="1:72" s="8" customFormat="1" x14ac:dyDescent="0.25">
      <c r="A20" s="8">
        <v>19</v>
      </c>
      <c r="B20">
        <v>51032</v>
      </c>
      <c r="C20" s="7">
        <f>DATA!C426-DATA!E426</f>
        <v>-134</v>
      </c>
      <c r="D20" s="7">
        <f>DATA!D426-DATA!F426</f>
        <v>3</v>
      </c>
      <c r="E20" s="38">
        <f t="shared" si="1"/>
        <v>63560.999999999956</v>
      </c>
      <c r="F20" s="38">
        <f t="shared" si="2"/>
        <v>64619.166666666621</v>
      </c>
      <c r="G20" s="38">
        <f t="shared" si="0"/>
        <v>64090.083333333285</v>
      </c>
      <c r="H20" s="27">
        <f>AC62</f>
        <v>1047</v>
      </c>
      <c r="I20" s="38">
        <f>BI62</f>
        <v>-14</v>
      </c>
      <c r="J20" s="39"/>
      <c r="K20" s="47">
        <f t="shared" si="3"/>
        <v>0</v>
      </c>
      <c r="L20" s="47">
        <f t="shared" si="4"/>
        <v>0</v>
      </c>
      <c r="M20" s="47">
        <f t="shared" si="5"/>
        <v>0</v>
      </c>
      <c r="N20" s="48">
        <f t="shared" si="6"/>
        <v>0</v>
      </c>
      <c r="O20" s="48">
        <f t="shared" si="7"/>
        <v>0</v>
      </c>
      <c r="P20" s="48">
        <f t="shared" si="8"/>
        <v>0</v>
      </c>
      <c r="Q20" s="48">
        <f t="shared" si="9"/>
        <v>-134</v>
      </c>
      <c r="R20" s="48" t="b">
        <f t="shared" si="10"/>
        <v>0</v>
      </c>
      <c r="S20" s="48" t="b">
        <f t="shared" si="11"/>
        <v>0</v>
      </c>
      <c r="T20" s="48" t="b">
        <f t="shared" si="12"/>
        <v>0</v>
      </c>
      <c r="U20" s="48" t="b">
        <f t="shared" si="13"/>
        <v>0</v>
      </c>
      <c r="V20" s="48" t="b">
        <f t="shared" si="14"/>
        <v>0</v>
      </c>
      <c r="W20" s="48" t="b">
        <f t="shared" si="15"/>
        <v>0</v>
      </c>
      <c r="X20" s="48" t="b">
        <f t="shared" si="16"/>
        <v>0</v>
      </c>
      <c r="Y20" s="48" t="b">
        <f t="shared" si="17"/>
        <v>0</v>
      </c>
      <c r="Z20" s="48" t="b">
        <f t="shared" si="18"/>
        <v>0</v>
      </c>
      <c r="AA20" s="48" t="b">
        <f t="shared" si="19"/>
        <v>0</v>
      </c>
      <c r="AB20" s="48" t="b">
        <f t="shared" si="20"/>
        <v>0</v>
      </c>
      <c r="AC20" s="48" t="b">
        <f t="shared" si="21"/>
        <v>0</v>
      </c>
      <c r="AD20" s="48" t="b">
        <f t="shared" si="22"/>
        <v>0</v>
      </c>
      <c r="AE20" s="48" t="b">
        <f t="shared" si="23"/>
        <v>0</v>
      </c>
      <c r="AF20" s="48" t="b">
        <f t="shared" si="24"/>
        <v>0</v>
      </c>
      <c r="AG20" s="48" t="b">
        <f t="shared" si="25"/>
        <v>0</v>
      </c>
      <c r="AH20" s="48" t="b">
        <f t="shared" si="26"/>
        <v>0</v>
      </c>
      <c r="AI20" s="48" t="b">
        <f t="shared" si="27"/>
        <v>0</v>
      </c>
      <c r="AJ20" s="48" t="b">
        <f t="shared" si="28"/>
        <v>0</v>
      </c>
      <c r="AK20" s="48" t="b">
        <f t="shared" si="29"/>
        <v>0</v>
      </c>
      <c r="AL20" s="48" t="b">
        <f t="shared" si="30"/>
        <v>0</v>
      </c>
      <c r="AM20" s="48" t="b">
        <f t="shared" si="31"/>
        <v>0</v>
      </c>
      <c r="AN20" s="48" t="b">
        <f t="shared" si="32"/>
        <v>0</v>
      </c>
      <c r="AO20" s="48"/>
      <c r="AP20" s="48"/>
      <c r="AQ20" s="47">
        <f t="shared" si="33"/>
        <v>0</v>
      </c>
      <c r="AR20" s="47">
        <f t="shared" si="34"/>
        <v>0</v>
      </c>
      <c r="AS20" s="47">
        <f t="shared" si="35"/>
        <v>0</v>
      </c>
      <c r="AT20" s="47">
        <f t="shared" si="36"/>
        <v>0</v>
      </c>
      <c r="AU20" s="47">
        <f t="shared" si="37"/>
        <v>0</v>
      </c>
      <c r="AV20" s="47">
        <f t="shared" si="38"/>
        <v>0</v>
      </c>
      <c r="AW20" s="47">
        <f t="shared" si="39"/>
        <v>3</v>
      </c>
      <c r="AX20" s="47" t="b">
        <f t="shared" si="40"/>
        <v>0</v>
      </c>
      <c r="AY20" s="47" t="b">
        <f t="shared" si="41"/>
        <v>0</v>
      </c>
      <c r="AZ20" s="47" t="b">
        <f t="shared" si="42"/>
        <v>0</v>
      </c>
      <c r="BA20" s="47" t="b">
        <f t="shared" si="43"/>
        <v>0</v>
      </c>
      <c r="BB20" s="47" t="b">
        <f t="shared" si="44"/>
        <v>0</v>
      </c>
      <c r="BC20" s="47" t="b">
        <f t="shared" si="45"/>
        <v>0</v>
      </c>
      <c r="BD20" s="47" t="b">
        <f t="shared" si="46"/>
        <v>0</v>
      </c>
      <c r="BE20" s="47" t="b">
        <f t="shared" si="47"/>
        <v>0</v>
      </c>
      <c r="BF20" s="47" t="b">
        <f t="shared" si="48"/>
        <v>0</v>
      </c>
      <c r="BG20" s="47" t="b">
        <f t="shared" si="49"/>
        <v>0</v>
      </c>
      <c r="BH20" s="47" t="b">
        <f t="shared" si="50"/>
        <v>0</v>
      </c>
      <c r="BI20" s="47" t="b">
        <f t="shared" si="51"/>
        <v>0</v>
      </c>
      <c r="BJ20" s="47" t="b">
        <f t="shared" si="52"/>
        <v>0</v>
      </c>
      <c r="BK20" s="69" t="b">
        <f t="shared" si="53"/>
        <v>0</v>
      </c>
      <c r="BL20" s="69" t="b">
        <f t="shared" si="54"/>
        <v>0</v>
      </c>
      <c r="BM20" s="69" t="b">
        <f t="shared" si="55"/>
        <v>0</v>
      </c>
      <c r="BN20" s="69" t="b">
        <f t="shared" si="56"/>
        <v>0</v>
      </c>
      <c r="BO20" s="69" t="b">
        <f t="shared" si="57"/>
        <v>0</v>
      </c>
      <c r="BP20" s="69" t="b">
        <f t="shared" si="58"/>
        <v>0</v>
      </c>
      <c r="BQ20" s="69" t="b">
        <f t="shared" si="59"/>
        <v>0</v>
      </c>
      <c r="BR20" s="69" t="b">
        <f t="shared" si="60"/>
        <v>0</v>
      </c>
      <c r="BS20" s="37" t="b">
        <f t="shared" si="61"/>
        <v>0</v>
      </c>
      <c r="BT20" s="37" t="b">
        <f t="shared" si="62"/>
        <v>0</v>
      </c>
    </row>
    <row r="21" spans="1:72" s="8" customFormat="1" x14ac:dyDescent="0.25">
      <c r="A21" s="8">
        <v>20</v>
      </c>
      <c r="B21">
        <v>53431</v>
      </c>
      <c r="C21" s="7">
        <f>DATA!C363-DATA!E363</f>
        <v>-435</v>
      </c>
      <c r="D21" s="7">
        <f>DATA!D363-DATA!F363</f>
        <v>-1</v>
      </c>
      <c r="E21" s="38">
        <f t="shared" si="1"/>
        <v>64619.166666666621</v>
      </c>
      <c r="F21" s="38">
        <f t="shared" si="2"/>
        <v>65677.333333333285</v>
      </c>
      <c r="G21" s="38">
        <f t="shared" si="0"/>
        <v>65148.249999999956</v>
      </c>
      <c r="H21" s="27">
        <f>AD62</f>
        <v>0</v>
      </c>
      <c r="I21" s="38">
        <f>BJ62</f>
        <v>0</v>
      </c>
      <c r="J21" s="39"/>
      <c r="K21" s="47">
        <f t="shared" si="3"/>
        <v>0</v>
      </c>
      <c r="L21" s="47">
        <f t="shared" si="4"/>
        <v>0</v>
      </c>
      <c r="M21" s="47">
        <f t="shared" si="5"/>
        <v>0</v>
      </c>
      <c r="N21" s="48">
        <f t="shared" si="6"/>
        <v>0</v>
      </c>
      <c r="O21" s="48">
        <f t="shared" si="7"/>
        <v>0</v>
      </c>
      <c r="P21" s="48">
        <f t="shared" si="8"/>
        <v>0</v>
      </c>
      <c r="Q21" s="48">
        <f t="shared" si="9"/>
        <v>0</v>
      </c>
      <c r="R21" s="48">
        <f t="shared" si="10"/>
        <v>0</v>
      </c>
      <c r="S21" s="48">
        <f t="shared" si="11"/>
        <v>-435</v>
      </c>
      <c r="T21" s="48" t="b">
        <f t="shared" si="12"/>
        <v>0</v>
      </c>
      <c r="U21" s="48" t="b">
        <f t="shared" si="13"/>
        <v>0</v>
      </c>
      <c r="V21" s="48" t="b">
        <f t="shared" si="14"/>
        <v>0</v>
      </c>
      <c r="W21" s="48" t="b">
        <f t="shared" si="15"/>
        <v>0</v>
      </c>
      <c r="X21" s="48" t="b">
        <f t="shared" si="16"/>
        <v>0</v>
      </c>
      <c r="Y21" s="48" t="b">
        <f t="shared" si="17"/>
        <v>0</v>
      </c>
      <c r="Z21" s="48" t="b">
        <f t="shared" si="18"/>
        <v>0</v>
      </c>
      <c r="AA21" s="48" t="b">
        <f t="shared" si="19"/>
        <v>0</v>
      </c>
      <c r="AB21" s="48" t="b">
        <f t="shared" si="20"/>
        <v>0</v>
      </c>
      <c r="AC21" s="48" t="b">
        <f t="shared" si="21"/>
        <v>0</v>
      </c>
      <c r="AD21" s="48" t="b">
        <f t="shared" si="22"/>
        <v>0</v>
      </c>
      <c r="AE21" s="48" t="b">
        <f t="shared" si="23"/>
        <v>0</v>
      </c>
      <c r="AF21" s="48" t="b">
        <f t="shared" si="24"/>
        <v>0</v>
      </c>
      <c r="AG21" s="48" t="b">
        <f t="shared" si="25"/>
        <v>0</v>
      </c>
      <c r="AH21" s="48" t="b">
        <f t="shared" si="26"/>
        <v>0</v>
      </c>
      <c r="AI21" s="48" t="b">
        <f t="shared" si="27"/>
        <v>0</v>
      </c>
      <c r="AJ21" s="48" t="b">
        <f t="shared" si="28"/>
        <v>0</v>
      </c>
      <c r="AK21" s="48" t="b">
        <f t="shared" si="29"/>
        <v>0</v>
      </c>
      <c r="AL21" s="48" t="b">
        <f t="shared" si="30"/>
        <v>0</v>
      </c>
      <c r="AM21" s="48" t="b">
        <f t="shared" si="31"/>
        <v>0</v>
      </c>
      <c r="AN21" s="48" t="b">
        <f t="shared" si="32"/>
        <v>0</v>
      </c>
      <c r="AO21" s="48"/>
      <c r="AP21" s="48"/>
      <c r="AQ21" s="47">
        <f t="shared" si="33"/>
        <v>0</v>
      </c>
      <c r="AR21" s="47">
        <f t="shared" si="34"/>
        <v>0</v>
      </c>
      <c r="AS21" s="47">
        <f t="shared" si="35"/>
        <v>0</v>
      </c>
      <c r="AT21" s="47">
        <f t="shared" si="36"/>
        <v>0</v>
      </c>
      <c r="AU21" s="47">
        <f t="shared" si="37"/>
        <v>0</v>
      </c>
      <c r="AV21" s="47">
        <f t="shared" si="38"/>
        <v>0</v>
      </c>
      <c r="AW21" s="47">
        <f t="shared" si="39"/>
        <v>0</v>
      </c>
      <c r="AX21" s="47">
        <f t="shared" si="40"/>
        <v>0</v>
      </c>
      <c r="AY21" s="47">
        <f t="shared" si="41"/>
        <v>-1</v>
      </c>
      <c r="AZ21" s="47" t="b">
        <f t="shared" si="42"/>
        <v>0</v>
      </c>
      <c r="BA21" s="47" t="b">
        <f t="shared" si="43"/>
        <v>0</v>
      </c>
      <c r="BB21" s="47" t="b">
        <f t="shared" si="44"/>
        <v>0</v>
      </c>
      <c r="BC21" s="47" t="b">
        <f t="shared" si="45"/>
        <v>0</v>
      </c>
      <c r="BD21" s="47" t="b">
        <f t="shared" si="46"/>
        <v>0</v>
      </c>
      <c r="BE21" s="47" t="b">
        <f t="shared" si="47"/>
        <v>0</v>
      </c>
      <c r="BF21" s="47" t="b">
        <f t="shared" si="48"/>
        <v>0</v>
      </c>
      <c r="BG21" s="47" t="b">
        <f t="shared" si="49"/>
        <v>0</v>
      </c>
      <c r="BH21" s="47" t="b">
        <f t="shared" si="50"/>
        <v>0</v>
      </c>
      <c r="BI21" s="47" t="b">
        <f t="shared" si="51"/>
        <v>0</v>
      </c>
      <c r="BJ21" s="47" t="b">
        <f t="shared" si="52"/>
        <v>0</v>
      </c>
      <c r="BK21" s="69" t="b">
        <f t="shared" si="53"/>
        <v>0</v>
      </c>
      <c r="BL21" s="69" t="b">
        <f t="shared" si="54"/>
        <v>0</v>
      </c>
      <c r="BM21" s="69" t="b">
        <f t="shared" si="55"/>
        <v>0</v>
      </c>
      <c r="BN21" s="69" t="b">
        <f t="shared" si="56"/>
        <v>0</v>
      </c>
      <c r="BO21" s="69" t="b">
        <f t="shared" si="57"/>
        <v>0</v>
      </c>
      <c r="BP21" s="69" t="b">
        <f t="shared" si="58"/>
        <v>0</v>
      </c>
      <c r="BQ21" s="69" t="b">
        <f t="shared" si="59"/>
        <v>0</v>
      </c>
      <c r="BR21" s="69" t="b">
        <f t="shared" si="60"/>
        <v>0</v>
      </c>
      <c r="BS21" s="37" t="b">
        <f t="shared" si="61"/>
        <v>0</v>
      </c>
      <c r="BT21" s="37" t="b">
        <f t="shared" si="62"/>
        <v>0</v>
      </c>
    </row>
    <row r="22" spans="1:72" x14ac:dyDescent="0.25">
      <c r="A22" s="8">
        <v>21</v>
      </c>
      <c r="B22">
        <v>55917</v>
      </c>
      <c r="C22" s="7">
        <f>DATA!C354-DATA!E354</f>
        <v>136</v>
      </c>
      <c r="D22" s="7">
        <f>DATA!D354-DATA!F354</f>
        <v>-5</v>
      </c>
      <c r="E22" s="38">
        <f t="shared" si="1"/>
        <v>65677.333333333285</v>
      </c>
      <c r="F22" s="38">
        <f t="shared" si="2"/>
        <v>66735.499999999956</v>
      </c>
      <c r="G22" s="38">
        <f t="shared" si="0"/>
        <v>66206.416666666628</v>
      </c>
      <c r="H22" s="27">
        <f>AE62</f>
        <v>1253</v>
      </c>
      <c r="I22" s="38">
        <f>BK62</f>
        <v>-9</v>
      </c>
      <c r="K22" s="47">
        <f t="shared" si="3"/>
        <v>0</v>
      </c>
      <c r="L22" s="47">
        <f t="shared" si="4"/>
        <v>0</v>
      </c>
      <c r="M22" s="47">
        <f t="shared" si="5"/>
        <v>0</v>
      </c>
      <c r="N22" s="48">
        <f t="shared" si="6"/>
        <v>0</v>
      </c>
      <c r="O22" s="48">
        <f t="shared" si="7"/>
        <v>0</v>
      </c>
      <c r="P22" s="48">
        <f t="shared" si="8"/>
        <v>0</v>
      </c>
      <c r="Q22" s="48">
        <f t="shared" si="9"/>
        <v>0</v>
      </c>
      <c r="R22" s="48">
        <f t="shared" si="10"/>
        <v>0</v>
      </c>
      <c r="S22" s="48">
        <f t="shared" si="11"/>
        <v>0</v>
      </c>
      <c r="T22" s="48">
        <f t="shared" si="12"/>
        <v>0</v>
      </c>
      <c r="U22" s="48">
        <f t="shared" si="13"/>
        <v>136</v>
      </c>
      <c r="V22" s="48" t="b">
        <f t="shared" si="14"/>
        <v>0</v>
      </c>
      <c r="W22" s="48" t="b">
        <f t="shared" si="15"/>
        <v>0</v>
      </c>
      <c r="X22" s="48" t="b">
        <f t="shared" si="16"/>
        <v>0</v>
      </c>
      <c r="Y22" s="48" t="b">
        <f t="shared" si="17"/>
        <v>0</v>
      </c>
      <c r="Z22" s="48" t="b">
        <f t="shared" si="18"/>
        <v>0</v>
      </c>
      <c r="AA22" s="48" t="b">
        <f t="shared" si="19"/>
        <v>0</v>
      </c>
      <c r="AB22" s="48" t="b">
        <f t="shared" si="20"/>
        <v>0</v>
      </c>
      <c r="AC22" s="48" t="b">
        <f t="shared" si="21"/>
        <v>0</v>
      </c>
      <c r="AD22" s="48" t="b">
        <f t="shared" si="22"/>
        <v>0</v>
      </c>
      <c r="AE22" s="48" t="b">
        <f t="shared" si="23"/>
        <v>0</v>
      </c>
      <c r="AF22" s="48" t="b">
        <f t="shared" si="24"/>
        <v>0</v>
      </c>
      <c r="AG22" s="48" t="b">
        <f t="shared" si="25"/>
        <v>0</v>
      </c>
      <c r="AH22" s="48" t="b">
        <f t="shared" si="26"/>
        <v>0</v>
      </c>
      <c r="AI22" s="48" t="b">
        <f t="shared" si="27"/>
        <v>0</v>
      </c>
      <c r="AJ22" s="48" t="b">
        <f t="shared" si="28"/>
        <v>0</v>
      </c>
      <c r="AK22" s="48" t="b">
        <f t="shared" si="29"/>
        <v>0</v>
      </c>
      <c r="AL22" s="48" t="b">
        <f t="shared" si="30"/>
        <v>0</v>
      </c>
      <c r="AM22" s="48" t="b">
        <f t="shared" si="31"/>
        <v>0</v>
      </c>
      <c r="AN22" s="48" t="b">
        <f t="shared" si="32"/>
        <v>0</v>
      </c>
      <c r="AO22" s="48"/>
      <c r="AQ22" s="47">
        <f t="shared" si="33"/>
        <v>0</v>
      </c>
      <c r="AR22" s="47">
        <f t="shared" si="34"/>
        <v>0</v>
      </c>
      <c r="AS22" s="47">
        <f t="shared" si="35"/>
        <v>0</v>
      </c>
      <c r="AT22" s="47">
        <f t="shared" si="36"/>
        <v>0</v>
      </c>
      <c r="AU22" s="47">
        <f t="shared" si="37"/>
        <v>0</v>
      </c>
      <c r="AV22" s="47">
        <f t="shared" si="38"/>
        <v>0</v>
      </c>
      <c r="AW22" s="47">
        <f t="shared" si="39"/>
        <v>0</v>
      </c>
      <c r="AX22" s="47">
        <f t="shared" si="40"/>
        <v>0</v>
      </c>
      <c r="AY22" s="47">
        <f t="shared" si="41"/>
        <v>0</v>
      </c>
      <c r="AZ22" s="47">
        <f t="shared" si="42"/>
        <v>0</v>
      </c>
      <c r="BA22" s="47">
        <f t="shared" si="43"/>
        <v>-5</v>
      </c>
      <c r="BB22" s="47" t="b">
        <f t="shared" si="44"/>
        <v>0</v>
      </c>
      <c r="BC22" s="47" t="b">
        <f t="shared" si="45"/>
        <v>0</v>
      </c>
      <c r="BD22" s="47" t="b">
        <f t="shared" si="46"/>
        <v>0</v>
      </c>
      <c r="BE22" s="47" t="b">
        <f t="shared" si="47"/>
        <v>0</v>
      </c>
      <c r="BF22" s="47" t="b">
        <f t="shared" si="48"/>
        <v>0</v>
      </c>
      <c r="BG22" s="47" t="b">
        <f t="shared" si="49"/>
        <v>0</v>
      </c>
      <c r="BH22" s="47" t="b">
        <f t="shared" si="50"/>
        <v>0</v>
      </c>
      <c r="BI22" s="47" t="b">
        <f t="shared" si="51"/>
        <v>0</v>
      </c>
      <c r="BJ22" s="47" t="b">
        <f t="shared" si="52"/>
        <v>0</v>
      </c>
      <c r="BK22" s="69" t="b">
        <f t="shared" si="53"/>
        <v>0</v>
      </c>
      <c r="BL22" s="69" t="b">
        <f t="shared" si="54"/>
        <v>0</v>
      </c>
      <c r="BM22" s="69" t="b">
        <f t="shared" si="55"/>
        <v>0</v>
      </c>
      <c r="BN22" s="69" t="b">
        <f t="shared" si="56"/>
        <v>0</v>
      </c>
      <c r="BO22" s="69" t="b">
        <f t="shared" si="57"/>
        <v>0</v>
      </c>
      <c r="BP22" s="69" t="b">
        <f t="shared" si="58"/>
        <v>0</v>
      </c>
      <c r="BQ22" s="69" t="b">
        <f t="shared" si="59"/>
        <v>0</v>
      </c>
      <c r="BR22" s="69" t="b">
        <f t="shared" si="60"/>
        <v>0</v>
      </c>
      <c r="BS22" s="37" t="b">
        <f t="shared" si="61"/>
        <v>0</v>
      </c>
      <c r="BT22" s="37" t="b">
        <f t="shared" si="62"/>
        <v>0</v>
      </c>
    </row>
    <row r="23" spans="1:72" x14ac:dyDescent="0.25">
      <c r="A23" s="8">
        <v>22</v>
      </c>
      <c r="B23">
        <v>55971</v>
      </c>
      <c r="C23" s="7">
        <f>DATA!C246-DATA!E246</f>
        <v>162</v>
      </c>
      <c r="D23" s="7">
        <f>DATA!D246-DATA!F246</f>
        <v>-1</v>
      </c>
      <c r="E23" s="38">
        <f t="shared" si="1"/>
        <v>66735.499999999956</v>
      </c>
      <c r="F23" s="38">
        <f t="shared" si="2"/>
        <v>67793.666666666628</v>
      </c>
      <c r="G23" s="38">
        <f t="shared" si="0"/>
        <v>67264.583333333285</v>
      </c>
      <c r="H23" s="27">
        <f>AF62</f>
        <v>0</v>
      </c>
      <c r="I23" s="27">
        <f>BL62</f>
        <v>0</v>
      </c>
      <c r="K23" s="47">
        <f t="shared" si="3"/>
        <v>0</v>
      </c>
      <c r="L23" s="47">
        <f t="shared" si="4"/>
        <v>0</v>
      </c>
      <c r="M23" s="47">
        <f t="shared" si="5"/>
        <v>0</v>
      </c>
      <c r="N23" s="48">
        <f t="shared" si="6"/>
        <v>0</v>
      </c>
      <c r="O23" s="48">
        <f t="shared" si="7"/>
        <v>0</v>
      </c>
      <c r="P23" s="48">
        <f t="shared" si="8"/>
        <v>0</v>
      </c>
      <c r="Q23" s="48">
        <f t="shared" si="9"/>
        <v>0</v>
      </c>
      <c r="R23" s="48">
        <f t="shared" si="10"/>
        <v>0</v>
      </c>
      <c r="S23" s="48">
        <f t="shared" si="11"/>
        <v>0</v>
      </c>
      <c r="T23" s="48">
        <f t="shared" si="12"/>
        <v>0</v>
      </c>
      <c r="U23" s="48">
        <f t="shared" si="13"/>
        <v>162</v>
      </c>
      <c r="V23" s="48" t="b">
        <f t="shared" si="14"/>
        <v>0</v>
      </c>
      <c r="W23" s="48" t="b">
        <f t="shared" si="15"/>
        <v>0</v>
      </c>
      <c r="X23" s="48" t="b">
        <f t="shared" si="16"/>
        <v>0</v>
      </c>
      <c r="Y23" s="48" t="b">
        <f t="shared" si="17"/>
        <v>0</v>
      </c>
      <c r="Z23" s="48" t="b">
        <f t="shared" si="18"/>
        <v>0</v>
      </c>
      <c r="AA23" s="48" t="b">
        <f t="shared" si="19"/>
        <v>0</v>
      </c>
      <c r="AB23" s="48" t="b">
        <f t="shared" si="20"/>
        <v>0</v>
      </c>
      <c r="AC23" s="48" t="b">
        <f t="shared" si="21"/>
        <v>0</v>
      </c>
      <c r="AD23" s="48" t="b">
        <f t="shared" si="22"/>
        <v>0</v>
      </c>
      <c r="AE23" s="48" t="b">
        <f t="shared" si="23"/>
        <v>0</v>
      </c>
      <c r="AF23" s="48" t="b">
        <f t="shared" si="24"/>
        <v>0</v>
      </c>
      <c r="AG23" s="48" t="b">
        <f t="shared" si="25"/>
        <v>0</v>
      </c>
      <c r="AH23" s="48" t="b">
        <f t="shared" si="26"/>
        <v>0</v>
      </c>
      <c r="AI23" s="48" t="b">
        <f t="shared" si="27"/>
        <v>0</v>
      </c>
      <c r="AJ23" s="48" t="b">
        <f t="shared" si="28"/>
        <v>0</v>
      </c>
      <c r="AK23" s="48" t="b">
        <f t="shared" si="29"/>
        <v>0</v>
      </c>
      <c r="AL23" s="48" t="b">
        <f t="shared" si="30"/>
        <v>0</v>
      </c>
      <c r="AM23" s="48" t="b">
        <f t="shared" si="31"/>
        <v>0</v>
      </c>
      <c r="AN23" s="48" t="b">
        <f t="shared" si="32"/>
        <v>0</v>
      </c>
      <c r="AO23" s="48"/>
      <c r="AQ23" s="47">
        <f t="shared" si="33"/>
        <v>0</v>
      </c>
      <c r="AR23" s="47">
        <f t="shared" si="34"/>
        <v>0</v>
      </c>
      <c r="AS23" s="47">
        <f t="shared" si="35"/>
        <v>0</v>
      </c>
      <c r="AT23" s="47">
        <f t="shared" si="36"/>
        <v>0</v>
      </c>
      <c r="AU23" s="47">
        <f t="shared" si="37"/>
        <v>0</v>
      </c>
      <c r="AV23" s="47">
        <f t="shared" si="38"/>
        <v>0</v>
      </c>
      <c r="AW23" s="47">
        <f t="shared" si="39"/>
        <v>0</v>
      </c>
      <c r="AX23" s="47">
        <f t="shared" si="40"/>
        <v>0</v>
      </c>
      <c r="AY23" s="47">
        <f t="shared" si="41"/>
        <v>0</v>
      </c>
      <c r="AZ23" s="47">
        <f t="shared" si="42"/>
        <v>0</v>
      </c>
      <c r="BA23" s="47">
        <f t="shared" si="43"/>
        <v>-1</v>
      </c>
      <c r="BB23" s="47" t="b">
        <f t="shared" si="44"/>
        <v>0</v>
      </c>
      <c r="BC23" s="47" t="b">
        <f t="shared" si="45"/>
        <v>0</v>
      </c>
      <c r="BD23" s="47" t="b">
        <f t="shared" si="46"/>
        <v>0</v>
      </c>
      <c r="BE23" s="47" t="b">
        <f t="shared" si="47"/>
        <v>0</v>
      </c>
      <c r="BF23" s="47" t="b">
        <f t="shared" si="48"/>
        <v>0</v>
      </c>
      <c r="BG23" s="47" t="b">
        <f t="shared" si="49"/>
        <v>0</v>
      </c>
      <c r="BH23" s="47" t="b">
        <f t="shared" si="50"/>
        <v>0</v>
      </c>
      <c r="BI23" s="47" t="b">
        <f t="shared" si="51"/>
        <v>0</v>
      </c>
      <c r="BJ23" s="47" t="b">
        <f t="shared" si="52"/>
        <v>0</v>
      </c>
      <c r="BK23" s="69" t="b">
        <f t="shared" si="53"/>
        <v>0</v>
      </c>
      <c r="BL23" s="69" t="b">
        <f t="shared" si="54"/>
        <v>0</v>
      </c>
      <c r="BM23" s="69" t="b">
        <f t="shared" si="55"/>
        <v>0</v>
      </c>
      <c r="BN23" s="69" t="b">
        <f t="shared" si="56"/>
        <v>0</v>
      </c>
      <c r="BO23" s="69" t="b">
        <f t="shared" si="57"/>
        <v>0</v>
      </c>
      <c r="BP23" s="69" t="b">
        <f t="shared" si="58"/>
        <v>0</v>
      </c>
      <c r="BQ23" s="69" t="b">
        <f t="shared" si="59"/>
        <v>0</v>
      </c>
      <c r="BR23" s="69" t="b">
        <f t="shared" si="60"/>
        <v>0</v>
      </c>
      <c r="BS23" s="37" t="b">
        <f t="shared" si="61"/>
        <v>0</v>
      </c>
      <c r="BT23" s="37" t="b">
        <f t="shared" si="62"/>
        <v>0</v>
      </c>
    </row>
    <row r="24" spans="1:72" x14ac:dyDescent="0.25">
      <c r="A24" s="8">
        <v>23</v>
      </c>
      <c r="B24">
        <v>56218</v>
      </c>
      <c r="C24" s="7">
        <f>DATA!C255-DATA!E255</f>
        <v>525</v>
      </c>
      <c r="D24" s="7">
        <f>DATA!D255-DATA!F255</f>
        <v>8</v>
      </c>
      <c r="E24" s="38">
        <f t="shared" si="1"/>
        <v>67793.666666666628</v>
      </c>
      <c r="F24" s="38">
        <f t="shared" si="2"/>
        <v>68851.833333333299</v>
      </c>
      <c r="G24" s="38">
        <f t="shared" si="0"/>
        <v>68322.749999999971</v>
      </c>
      <c r="H24" s="27">
        <f>AG62</f>
        <v>0</v>
      </c>
      <c r="I24" s="27">
        <f>BM62</f>
        <v>0</v>
      </c>
      <c r="K24" s="47">
        <f t="shared" si="3"/>
        <v>0</v>
      </c>
      <c r="L24" s="47">
        <f t="shared" si="4"/>
        <v>0</v>
      </c>
      <c r="M24" s="47">
        <f t="shared" si="5"/>
        <v>0</v>
      </c>
      <c r="N24" s="48">
        <f t="shared" si="6"/>
        <v>0</v>
      </c>
      <c r="O24" s="48">
        <f t="shared" si="7"/>
        <v>0</v>
      </c>
      <c r="P24" s="48">
        <f t="shared" si="8"/>
        <v>0</v>
      </c>
      <c r="Q24" s="48">
        <f t="shared" si="9"/>
        <v>0</v>
      </c>
      <c r="R24" s="48">
        <f t="shared" si="10"/>
        <v>0</v>
      </c>
      <c r="S24" s="48">
        <f t="shared" si="11"/>
        <v>0</v>
      </c>
      <c r="T24" s="48">
        <f t="shared" si="12"/>
        <v>0</v>
      </c>
      <c r="U24" s="48">
        <f t="shared" si="13"/>
        <v>0</v>
      </c>
      <c r="V24" s="48">
        <f t="shared" si="14"/>
        <v>525</v>
      </c>
      <c r="W24" s="48" t="b">
        <f t="shared" si="15"/>
        <v>0</v>
      </c>
      <c r="X24" s="48" t="b">
        <f t="shared" si="16"/>
        <v>0</v>
      </c>
      <c r="Y24" s="48" t="b">
        <f t="shared" si="17"/>
        <v>0</v>
      </c>
      <c r="Z24" s="48" t="b">
        <f t="shared" si="18"/>
        <v>0</v>
      </c>
      <c r="AA24" s="48" t="b">
        <f t="shared" si="19"/>
        <v>0</v>
      </c>
      <c r="AB24" s="48" t="b">
        <f t="shared" si="20"/>
        <v>0</v>
      </c>
      <c r="AC24" s="48" t="b">
        <f t="shared" si="21"/>
        <v>0</v>
      </c>
      <c r="AD24" s="48" t="b">
        <f t="shared" si="22"/>
        <v>0</v>
      </c>
      <c r="AE24" s="48" t="b">
        <f t="shared" si="23"/>
        <v>0</v>
      </c>
      <c r="AF24" s="48" t="b">
        <f t="shared" si="24"/>
        <v>0</v>
      </c>
      <c r="AG24" s="48" t="b">
        <f t="shared" si="25"/>
        <v>0</v>
      </c>
      <c r="AH24" s="48" t="b">
        <f t="shared" si="26"/>
        <v>0</v>
      </c>
      <c r="AI24" s="48" t="b">
        <f t="shared" si="27"/>
        <v>0</v>
      </c>
      <c r="AJ24" s="48" t="b">
        <f t="shared" si="28"/>
        <v>0</v>
      </c>
      <c r="AK24" s="48" t="b">
        <f t="shared" si="29"/>
        <v>0</v>
      </c>
      <c r="AL24" s="48" t="b">
        <f t="shared" si="30"/>
        <v>0</v>
      </c>
      <c r="AM24" s="48" t="b">
        <f t="shared" si="31"/>
        <v>0</v>
      </c>
      <c r="AN24" s="48" t="b">
        <f t="shared" si="32"/>
        <v>0</v>
      </c>
      <c r="AO24" s="48"/>
      <c r="AQ24" s="47">
        <f t="shared" si="33"/>
        <v>0</v>
      </c>
      <c r="AR24" s="47">
        <f t="shared" si="34"/>
        <v>0</v>
      </c>
      <c r="AS24" s="47">
        <f t="shared" si="35"/>
        <v>0</v>
      </c>
      <c r="AT24" s="47">
        <f t="shared" si="36"/>
        <v>0</v>
      </c>
      <c r="AU24" s="47">
        <f t="shared" si="37"/>
        <v>0</v>
      </c>
      <c r="AV24" s="47">
        <f t="shared" si="38"/>
        <v>0</v>
      </c>
      <c r="AW24" s="47">
        <f t="shared" si="39"/>
        <v>0</v>
      </c>
      <c r="AX24" s="47">
        <f t="shared" si="40"/>
        <v>0</v>
      </c>
      <c r="AY24" s="47">
        <f t="shared" si="41"/>
        <v>0</v>
      </c>
      <c r="AZ24" s="47">
        <f t="shared" si="42"/>
        <v>0</v>
      </c>
      <c r="BA24" s="47">
        <f t="shared" si="43"/>
        <v>0</v>
      </c>
      <c r="BB24" s="47">
        <f t="shared" si="44"/>
        <v>8</v>
      </c>
      <c r="BC24" s="47" t="b">
        <f t="shared" si="45"/>
        <v>0</v>
      </c>
      <c r="BD24" s="47" t="b">
        <f t="shared" si="46"/>
        <v>0</v>
      </c>
      <c r="BE24" s="47" t="b">
        <f t="shared" si="47"/>
        <v>0</v>
      </c>
      <c r="BF24" s="47" t="b">
        <f t="shared" si="48"/>
        <v>0</v>
      </c>
      <c r="BG24" s="47" t="b">
        <f t="shared" si="49"/>
        <v>0</v>
      </c>
      <c r="BH24" s="47" t="b">
        <f t="shared" si="50"/>
        <v>0</v>
      </c>
      <c r="BI24" s="47" t="b">
        <f t="shared" si="51"/>
        <v>0</v>
      </c>
      <c r="BJ24" s="47" t="b">
        <f t="shared" si="52"/>
        <v>0</v>
      </c>
      <c r="BK24" s="69" t="b">
        <f t="shared" si="53"/>
        <v>0</v>
      </c>
      <c r="BL24" s="69" t="b">
        <f t="shared" si="54"/>
        <v>0</v>
      </c>
      <c r="BM24" s="69" t="b">
        <f t="shared" si="55"/>
        <v>0</v>
      </c>
      <c r="BN24" s="69" t="b">
        <f t="shared" si="56"/>
        <v>0</v>
      </c>
      <c r="BO24" s="69" t="b">
        <f t="shared" si="57"/>
        <v>0</v>
      </c>
      <c r="BP24" s="69" t="b">
        <f t="shared" si="58"/>
        <v>0</v>
      </c>
      <c r="BQ24" s="69" t="b">
        <f t="shared" si="59"/>
        <v>0</v>
      </c>
      <c r="BR24" s="69" t="b">
        <f t="shared" si="60"/>
        <v>0</v>
      </c>
      <c r="BS24" s="37" t="b">
        <f t="shared" si="61"/>
        <v>0</v>
      </c>
      <c r="BT24" s="37" t="b">
        <f t="shared" si="62"/>
        <v>0</v>
      </c>
    </row>
    <row r="25" spans="1:72" x14ac:dyDescent="0.25">
      <c r="A25" s="8">
        <v>24</v>
      </c>
      <c r="B25">
        <v>57087</v>
      </c>
      <c r="C25" s="7">
        <f>DATA!C291-DATA!E291</f>
        <v>401</v>
      </c>
      <c r="D25" s="7">
        <f>DATA!D291-DATA!F291</f>
        <v>11</v>
      </c>
      <c r="E25" s="38">
        <f t="shared" si="1"/>
        <v>68851.833333333299</v>
      </c>
      <c r="F25" s="38">
        <f t="shared" si="2"/>
        <v>69909.999999999971</v>
      </c>
      <c r="G25" s="38">
        <f t="shared" si="0"/>
        <v>69380.916666666628</v>
      </c>
      <c r="H25" s="27">
        <f>AH62</f>
        <v>5</v>
      </c>
      <c r="I25" s="27">
        <f>BN62</f>
        <v>6</v>
      </c>
      <c r="K25" s="47">
        <f t="shared" si="3"/>
        <v>0</v>
      </c>
      <c r="L25" s="47">
        <f t="shared" si="4"/>
        <v>0</v>
      </c>
      <c r="M25" s="47">
        <f t="shared" si="5"/>
        <v>0</v>
      </c>
      <c r="N25" s="48">
        <f t="shared" si="6"/>
        <v>0</v>
      </c>
      <c r="O25" s="48">
        <f t="shared" si="7"/>
        <v>0</v>
      </c>
      <c r="P25" s="48">
        <f t="shared" si="8"/>
        <v>0</v>
      </c>
      <c r="Q25" s="48">
        <f t="shared" si="9"/>
        <v>0</v>
      </c>
      <c r="R25" s="48">
        <f t="shared" si="10"/>
        <v>0</v>
      </c>
      <c r="S25" s="48">
        <f t="shared" si="11"/>
        <v>0</v>
      </c>
      <c r="T25" s="48">
        <f t="shared" si="12"/>
        <v>0</v>
      </c>
      <c r="U25" s="48">
        <f t="shared" si="13"/>
        <v>0</v>
      </c>
      <c r="V25" s="48">
        <f t="shared" si="14"/>
        <v>401</v>
      </c>
      <c r="W25" s="48" t="b">
        <f t="shared" si="15"/>
        <v>0</v>
      </c>
      <c r="X25" s="48" t="b">
        <f t="shared" si="16"/>
        <v>0</v>
      </c>
      <c r="Y25" s="48" t="b">
        <f t="shared" si="17"/>
        <v>0</v>
      </c>
      <c r="Z25" s="48" t="b">
        <f t="shared" si="18"/>
        <v>0</v>
      </c>
      <c r="AA25" s="48" t="b">
        <f t="shared" si="19"/>
        <v>0</v>
      </c>
      <c r="AB25" s="48" t="b">
        <f t="shared" si="20"/>
        <v>0</v>
      </c>
      <c r="AC25" s="48" t="b">
        <f t="shared" si="21"/>
        <v>0</v>
      </c>
      <c r="AD25" s="48" t="b">
        <f t="shared" si="22"/>
        <v>0</v>
      </c>
      <c r="AE25" s="48" t="b">
        <f t="shared" si="23"/>
        <v>0</v>
      </c>
      <c r="AF25" s="48" t="b">
        <f t="shared" si="24"/>
        <v>0</v>
      </c>
      <c r="AG25" s="48" t="b">
        <f t="shared" si="25"/>
        <v>0</v>
      </c>
      <c r="AH25" s="48" t="b">
        <f t="shared" si="26"/>
        <v>0</v>
      </c>
      <c r="AI25" s="48" t="b">
        <f t="shared" si="27"/>
        <v>0</v>
      </c>
      <c r="AJ25" s="48" t="b">
        <f t="shared" si="28"/>
        <v>0</v>
      </c>
      <c r="AK25" s="48" t="b">
        <f t="shared" si="29"/>
        <v>0</v>
      </c>
      <c r="AL25" s="48" t="b">
        <f t="shared" si="30"/>
        <v>0</v>
      </c>
      <c r="AM25" s="48" t="b">
        <f t="shared" si="31"/>
        <v>0</v>
      </c>
      <c r="AN25" s="48" t="b">
        <f t="shared" si="32"/>
        <v>0</v>
      </c>
      <c r="AO25" s="48"/>
      <c r="AQ25" s="47">
        <f t="shared" si="33"/>
        <v>0</v>
      </c>
      <c r="AR25" s="47">
        <f t="shared" si="34"/>
        <v>0</v>
      </c>
      <c r="AS25" s="47">
        <f t="shared" si="35"/>
        <v>0</v>
      </c>
      <c r="AT25" s="47">
        <f t="shared" si="36"/>
        <v>0</v>
      </c>
      <c r="AU25" s="47">
        <f t="shared" si="37"/>
        <v>0</v>
      </c>
      <c r="AV25" s="47">
        <f t="shared" si="38"/>
        <v>0</v>
      </c>
      <c r="AW25" s="47">
        <f t="shared" si="39"/>
        <v>0</v>
      </c>
      <c r="AX25" s="47">
        <f t="shared" si="40"/>
        <v>0</v>
      </c>
      <c r="AY25" s="47">
        <f t="shared" si="41"/>
        <v>0</v>
      </c>
      <c r="AZ25" s="47">
        <f t="shared" si="42"/>
        <v>0</v>
      </c>
      <c r="BA25" s="47">
        <f t="shared" si="43"/>
        <v>0</v>
      </c>
      <c r="BB25" s="47">
        <f t="shared" si="44"/>
        <v>11</v>
      </c>
      <c r="BC25" s="47" t="b">
        <f t="shared" si="45"/>
        <v>0</v>
      </c>
      <c r="BD25" s="47" t="b">
        <f t="shared" si="46"/>
        <v>0</v>
      </c>
      <c r="BE25" s="47" t="b">
        <f t="shared" si="47"/>
        <v>0</v>
      </c>
      <c r="BF25" s="47" t="b">
        <f t="shared" si="48"/>
        <v>0</v>
      </c>
      <c r="BG25" s="47" t="b">
        <f t="shared" si="49"/>
        <v>0</v>
      </c>
      <c r="BH25" s="47" t="b">
        <f t="shared" si="50"/>
        <v>0</v>
      </c>
      <c r="BI25" s="47" t="b">
        <f t="shared" si="51"/>
        <v>0</v>
      </c>
      <c r="BJ25" s="47" t="b">
        <f t="shared" si="52"/>
        <v>0</v>
      </c>
      <c r="BK25" s="69" t="b">
        <f t="shared" si="53"/>
        <v>0</v>
      </c>
      <c r="BL25" s="69" t="b">
        <f t="shared" si="54"/>
        <v>0</v>
      </c>
      <c r="BM25" s="69" t="b">
        <f t="shared" si="55"/>
        <v>0</v>
      </c>
      <c r="BN25" s="69" t="b">
        <f t="shared" si="56"/>
        <v>0</v>
      </c>
      <c r="BO25" s="69" t="b">
        <f t="shared" si="57"/>
        <v>0</v>
      </c>
      <c r="BP25" s="69" t="b">
        <f t="shared" si="58"/>
        <v>0</v>
      </c>
      <c r="BQ25" s="69" t="b">
        <f t="shared" si="59"/>
        <v>0</v>
      </c>
      <c r="BR25" s="69" t="b">
        <f t="shared" si="60"/>
        <v>0</v>
      </c>
      <c r="BS25" s="37" t="b">
        <f t="shared" si="61"/>
        <v>0</v>
      </c>
      <c r="BT25" s="37" t="b">
        <f t="shared" si="62"/>
        <v>0</v>
      </c>
    </row>
    <row r="26" spans="1:72" x14ac:dyDescent="0.25">
      <c r="A26" s="8">
        <v>25</v>
      </c>
      <c r="B26">
        <v>57099</v>
      </c>
      <c r="C26" s="7">
        <f>DATA!C228-DATA!E228</f>
        <v>177</v>
      </c>
      <c r="D26" s="7">
        <f>DATA!D228-DATA!F228</f>
        <v>4</v>
      </c>
      <c r="E26" s="38">
        <f t="shared" si="1"/>
        <v>69909.999999999971</v>
      </c>
      <c r="F26" s="38">
        <f t="shared" si="2"/>
        <v>70968.166666666642</v>
      </c>
      <c r="G26" s="38">
        <f t="shared" si="0"/>
        <v>70439.083333333314</v>
      </c>
      <c r="H26" s="27">
        <f>AI62</f>
        <v>744</v>
      </c>
      <c r="I26" s="27">
        <f>BO62</f>
        <v>4</v>
      </c>
      <c r="K26" s="47">
        <f t="shared" si="3"/>
        <v>0</v>
      </c>
      <c r="L26" s="47">
        <f t="shared" si="4"/>
        <v>0</v>
      </c>
      <c r="M26" s="47">
        <f t="shared" si="5"/>
        <v>0</v>
      </c>
      <c r="N26" s="48">
        <f t="shared" si="6"/>
        <v>0</v>
      </c>
      <c r="O26" s="48">
        <f t="shared" si="7"/>
        <v>0</v>
      </c>
      <c r="P26" s="48">
        <f t="shared" si="8"/>
        <v>0</v>
      </c>
      <c r="Q26" s="48">
        <f t="shared" si="9"/>
        <v>0</v>
      </c>
      <c r="R26" s="48">
        <f t="shared" si="10"/>
        <v>0</v>
      </c>
      <c r="S26" s="48">
        <f t="shared" si="11"/>
        <v>0</v>
      </c>
      <c r="T26" s="48">
        <f t="shared" si="12"/>
        <v>0</v>
      </c>
      <c r="U26" s="48">
        <f t="shared" si="13"/>
        <v>0</v>
      </c>
      <c r="V26" s="48">
        <f t="shared" si="14"/>
        <v>177</v>
      </c>
      <c r="W26" s="48" t="b">
        <f t="shared" si="15"/>
        <v>0</v>
      </c>
      <c r="X26" s="48" t="b">
        <f t="shared" si="16"/>
        <v>0</v>
      </c>
      <c r="Y26" s="48" t="b">
        <f t="shared" si="17"/>
        <v>0</v>
      </c>
      <c r="Z26" s="48" t="b">
        <f t="shared" si="18"/>
        <v>0</v>
      </c>
      <c r="AA26" s="48" t="b">
        <f t="shared" si="19"/>
        <v>0</v>
      </c>
      <c r="AB26" s="48" t="b">
        <f t="shared" si="20"/>
        <v>0</v>
      </c>
      <c r="AC26" s="48" t="b">
        <f t="shared" si="21"/>
        <v>0</v>
      </c>
      <c r="AD26" s="48" t="b">
        <f t="shared" si="22"/>
        <v>0</v>
      </c>
      <c r="AE26" s="48" t="b">
        <f t="shared" si="23"/>
        <v>0</v>
      </c>
      <c r="AF26" s="48" t="b">
        <f t="shared" si="24"/>
        <v>0</v>
      </c>
      <c r="AG26" s="48" t="b">
        <f t="shared" si="25"/>
        <v>0</v>
      </c>
      <c r="AH26" s="48" t="b">
        <f t="shared" si="26"/>
        <v>0</v>
      </c>
      <c r="AI26" s="48" t="b">
        <f t="shared" si="27"/>
        <v>0</v>
      </c>
      <c r="AJ26" s="48" t="b">
        <f t="shared" si="28"/>
        <v>0</v>
      </c>
      <c r="AK26" s="48" t="b">
        <f t="shared" si="29"/>
        <v>0</v>
      </c>
      <c r="AL26" s="48" t="b">
        <f t="shared" si="30"/>
        <v>0</v>
      </c>
      <c r="AM26" s="48" t="b">
        <f t="shared" si="31"/>
        <v>0</v>
      </c>
      <c r="AN26" s="48" t="b">
        <f t="shared" si="32"/>
        <v>0</v>
      </c>
      <c r="AO26" s="48"/>
      <c r="AQ26" s="47">
        <f t="shared" si="33"/>
        <v>0</v>
      </c>
      <c r="AR26" s="47">
        <f t="shared" si="34"/>
        <v>0</v>
      </c>
      <c r="AS26" s="47">
        <f t="shared" si="35"/>
        <v>0</v>
      </c>
      <c r="AT26" s="47">
        <f t="shared" si="36"/>
        <v>0</v>
      </c>
      <c r="AU26" s="47">
        <f t="shared" si="37"/>
        <v>0</v>
      </c>
      <c r="AV26" s="47">
        <f t="shared" si="38"/>
        <v>0</v>
      </c>
      <c r="AW26" s="47">
        <f t="shared" si="39"/>
        <v>0</v>
      </c>
      <c r="AX26" s="47">
        <f t="shared" si="40"/>
        <v>0</v>
      </c>
      <c r="AY26" s="47">
        <f t="shared" si="41"/>
        <v>0</v>
      </c>
      <c r="AZ26" s="47">
        <f t="shared" si="42"/>
        <v>0</v>
      </c>
      <c r="BA26" s="47">
        <f t="shared" si="43"/>
        <v>0</v>
      </c>
      <c r="BB26" s="47">
        <f t="shared" si="44"/>
        <v>4</v>
      </c>
      <c r="BC26" s="47" t="b">
        <f t="shared" si="45"/>
        <v>0</v>
      </c>
      <c r="BD26" s="47" t="b">
        <f t="shared" si="46"/>
        <v>0</v>
      </c>
      <c r="BE26" s="47" t="b">
        <f t="shared" si="47"/>
        <v>0</v>
      </c>
      <c r="BF26" s="47" t="b">
        <f t="shared" si="48"/>
        <v>0</v>
      </c>
      <c r="BG26" s="47" t="b">
        <f t="shared" si="49"/>
        <v>0</v>
      </c>
      <c r="BH26" s="47" t="b">
        <f t="shared" si="50"/>
        <v>0</v>
      </c>
      <c r="BI26" s="47" t="b">
        <f t="shared" si="51"/>
        <v>0</v>
      </c>
      <c r="BJ26" s="47" t="b">
        <f t="shared" si="52"/>
        <v>0</v>
      </c>
      <c r="BK26" s="69" t="b">
        <f t="shared" si="53"/>
        <v>0</v>
      </c>
      <c r="BL26" s="69" t="b">
        <f t="shared" si="54"/>
        <v>0</v>
      </c>
      <c r="BM26" s="69" t="b">
        <f t="shared" si="55"/>
        <v>0</v>
      </c>
      <c r="BN26" s="69" t="b">
        <f t="shared" si="56"/>
        <v>0</v>
      </c>
      <c r="BO26" s="69" t="b">
        <f t="shared" si="57"/>
        <v>0</v>
      </c>
      <c r="BP26" s="69" t="b">
        <f t="shared" si="58"/>
        <v>0</v>
      </c>
      <c r="BQ26" s="69" t="b">
        <f t="shared" si="59"/>
        <v>0</v>
      </c>
      <c r="BR26" s="69" t="b">
        <f t="shared" si="60"/>
        <v>0</v>
      </c>
      <c r="BS26" s="37" t="b">
        <f t="shared" si="61"/>
        <v>0</v>
      </c>
      <c r="BT26" s="37" t="b">
        <f t="shared" si="62"/>
        <v>0</v>
      </c>
    </row>
    <row r="27" spans="1:72" x14ac:dyDescent="0.25">
      <c r="A27" s="8">
        <v>26</v>
      </c>
      <c r="B27">
        <v>57523</v>
      </c>
      <c r="C27" s="7">
        <f>DATA!C273-DATA!E273</f>
        <v>69</v>
      </c>
      <c r="D27" s="7">
        <f>DATA!D273-DATA!F273</f>
        <v>4</v>
      </c>
      <c r="E27" s="38">
        <f t="shared" si="1"/>
        <v>70968.166666666642</v>
      </c>
      <c r="F27" s="38">
        <f t="shared" si="2"/>
        <v>72026.333333333314</v>
      </c>
      <c r="G27" s="38">
        <f t="shared" si="0"/>
        <v>71497.249999999971</v>
      </c>
      <c r="H27" s="27">
        <f>AJ62</f>
        <v>143</v>
      </c>
      <c r="I27" s="27">
        <f>BP62</f>
        <v>-1</v>
      </c>
      <c r="K27" s="47">
        <f t="shared" si="3"/>
        <v>0</v>
      </c>
      <c r="L27" s="47">
        <f t="shared" si="4"/>
        <v>0</v>
      </c>
      <c r="M27" s="47">
        <f t="shared" si="5"/>
        <v>0</v>
      </c>
      <c r="N27" s="48">
        <f t="shared" si="6"/>
        <v>0</v>
      </c>
      <c r="O27" s="48">
        <f t="shared" si="7"/>
        <v>0</v>
      </c>
      <c r="P27" s="48">
        <f t="shared" si="8"/>
        <v>0</v>
      </c>
      <c r="Q27" s="48">
        <f t="shared" si="9"/>
        <v>0</v>
      </c>
      <c r="R27" s="48">
        <f t="shared" si="10"/>
        <v>0</v>
      </c>
      <c r="S27" s="48">
        <f t="shared" si="11"/>
        <v>0</v>
      </c>
      <c r="T27" s="48">
        <f t="shared" si="12"/>
        <v>0</v>
      </c>
      <c r="U27" s="48">
        <f t="shared" si="13"/>
        <v>0</v>
      </c>
      <c r="V27" s="48">
        <f t="shared" si="14"/>
        <v>0</v>
      </c>
      <c r="W27" s="48">
        <f t="shared" si="15"/>
        <v>69</v>
      </c>
      <c r="X27" s="48" t="b">
        <f t="shared" si="16"/>
        <v>0</v>
      </c>
      <c r="Y27" s="48" t="b">
        <f t="shared" si="17"/>
        <v>0</v>
      </c>
      <c r="Z27" s="48" t="b">
        <f t="shared" si="18"/>
        <v>0</v>
      </c>
      <c r="AA27" s="48" t="b">
        <f t="shared" si="19"/>
        <v>0</v>
      </c>
      <c r="AB27" s="48" t="b">
        <f t="shared" si="20"/>
        <v>0</v>
      </c>
      <c r="AC27" s="48" t="b">
        <f t="shared" si="21"/>
        <v>0</v>
      </c>
      <c r="AD27" s="48" t="b">
        <f t="shared" si="22"/>
        <v>0</v>
      </c>
      <c r="AE27" s="48" t="b">
        <f t="shared" si="23"/>
        <v>0</v>
      </c>
      <c r="AF27" s="48" t="b">
        <f t="shared" si="24"/>
        <v>0</v>
      </c>
      <c r="AG27" s="48" t="b">
        <f t="shared" si="25"/>
        <v>0</v>
      </c>
      <c r="AH27" s="48" t="b">
        <f t="shared" si="26"/>
        <v>0</v>
      </c>
      <c r="AI27" s="48" t="b">
        <f t="shared" si="27"/>
        <v>0</v>
      </c>
      <c r="AJ27" s="48" t="b">
        <f t="shared" si="28"/>
        <v>0</v>
      </c>
      <c r="AK27" s="48" t="b">
        <f t="shared" si="29"/>
        <v>0</v>
      </c>
      <c r="AL27" s="48" t="b">
        <f t="shared" si="30"/>
        <v>0</v>
      </c>
      <c r="AM27" s="48" t="b">
        <f t="shared" si="31"/>
        <v>0</v>
      </c>
      <c r="AN27" s="48" t="b">
        <f t="shared" si="32"/>
        <v>0</v>
      </c>
      <c r="AO27" s="48"/>
      <c r="AQ27" s="47">
        <f t="shared" si="33"/>
        <v>0</v>
      </c>
      <c r="AR27" s="47">
        <f t="shared" si="34"/>
        <v>0</v>
      </c>
      <c r="AS27" s="47">
        <f t="shared" si="35"/>
        <v>0</v>
      </c>
      <c r="AT27" s="47">
        <f t="shared" si="36"/>
        <v>0</v>
      </c>
      <c r="AU27" s="47">
        <f t="shared" si="37"/>
        <v>0</v>
      </c>
      <c r="AV27" s="47">
        <f t="shared" si="38"/>
        <v>0</v>
      </c>
      <c r="AW27" s="47">
        <f t="shared" si="39"/>
        <v>0</v>
      </c>
      <c r="AX27" s="47">
        <f t="shared" si="40"/>
        <v>0</v>
      </c>
      <c r="AY27" s="47">
        <f t="shared" si="41"/>
        <v>0</v>
      </c>
      <c r="AZ27" s="47">
        <f t="shared" si="42"/>
        <v>0</v>
      </c>
      <c r="BA27" s="47">
        <f t="shared" si="43"/>
        <v>0</v>
      </c>
      <c r="BB27" s="47">
        <f t="shared" si="44"/>
        <v>0</v>
      </c>
      <c r="BC27" s="47">
        <f t="shared" si="45"/>
        <v>4</v>
      </c>
      <c r="BD27" s="47" t="b">
        <f t="shared" si="46"/>
        <v>0</v>
      </c>
      <c r="BE27" s="47" t="b">
        <f t="shared" si="47"/>
        <v>0</v>
      </c>
      <c r="BF27" s="47" t="b">
        <f t="shared" si="48"/>
        <v>0</v>
      </c>
      <c r="BG27" s="47" t="b">
        <f t="shared" si="49"/>
        <v>0</v>
      </c>
      <c r="BH27" s="47" t="b">
        <f t="shared" si="50"/>
        <v>0</v>
      </c>
      <c r="BI27" s="47" t="b">
        <f t="shared" si="51"/>
        <v>0</v>
      </c>
      <c r="BJ27" s="47" t="b">
        <f t="shared" si="52"/>
        <v>0</v>
      </c>
      <c r="BK27" s="69" t="b">
        <f t="shared" si="53"/>
        <v>0</v>
      </c>
      <c r="BL27" s="69" t="b">
        <f t="shared" si="54"/>
        <v>0</v>
      </c>
      <c r="BM27" s="69" t="b">
        <f t="shared" si="55"/>
        <v>0</v>
      </c>
      <c r="BN27" s="69" t="b">
        <f t="shared" si="56"/>
        <v>0</v>
      </c>
      <c r="BO27" s="69" t="b">
        <f t="shared" si="57"/>
        <v>0</v>
      </c>
      <c r="BP27" s="69" t="b">
        <f t="shared" si="58"/>
        <v>0</v>
      </c>
      <c r="BQ27" s="69" t="b">
        <f t="shared" si="59"/>
        <v>0</v>
      </c>
      <c r="BR27" s="69" t="b">
        <f t="shared" si="60"/>
        <v>0</v>
      </c>
      <c r="BS27" s="37" t="b">
        <f t="shared" si="61"/>
        <v>0</v>
      </c>
      <c r="BT27" s="37" t="b">
        <f t="shared" si="62"/>
        <v>0</v>
      </c>
    </row>
    <row r="28" spans="1:72" x14ac:dyDescent="0.25">
      <c r="A28" s="8">
        <v>27</v>
      </c>
      <c r="B28">
        <v>57605</v>
      </c>
      <c r="C28" s="7">
        <f>DATA!C219-DATA!E219</f>
        <v>-768</v>
      </c>
      <c r="D28" s="7">
        <f>DATA!D219-DATA!F219</f>
        <v>0</v>
      </c>
      <c r="E28" s="38">
        <f t="shared" si="1"/>
        <v>72026.333333333314</v>
      </c>
      <c r="F28" s="38">
        <f t="shared" si="2"/>
        <v>73084.499999999985</v>
      </c>
      <c r="G28" s="38">
        <f t="shared" si="0"/>
        <v>72555.416666666657</v>
      </c>
      <c r="H28" s="27">
        <f>AK62</f>
        <v>69</v>
      </c>
      <c r="I28" s="27">
        <f>BQ62</f>
        <v>2</v>
      </c>
      <c r="K28" s="47">
        <f t="shared" si="3"/>
        <v>0</v>
      </c>
      <c r="L28" s="47">
        <f t="shared" si="4"/>
        <v>0</v>
      </c>
      <c r="M28" s="47">
        <f t="shared" si="5"/>
        <v>0</v>
      </c>
      <c r="N28" s="48">
        <f t="shared" si="6"/>
        <v>0</v>
      </c>
      <c r="O28" s="48">
        <f t="shared" si="7"/>
        <v>0</v>
      </c>
      <c r="P28" s="48">
        <f t="shared" si="8"/>
        <v>0</v>
      </c>
      <c r="Q28" s="48">
        <f t="shared" si="9"/>
        <v>0</v>
      </c>
      <c r="R28" s="48">
        <f t="shared" si="10"/>
        <v>0</v>
      </c>
      <c r="S28" s="48">
        <f t="shared" si="11"/>
        <v>0</v>
      </c>
      <c r="T28" s="48">
        <f t="shared" si="12"/>
        <v>0</v>
      </c>
      <c r="U28" s="48">
        <f t="shared" si="13"/>
        <v>0</v>
      </c>
      <c r="V28" s="48">
        <f t="shared" si="14"/>
        <v>0</v>
      </c>
      <c r="W28" s="48">
        <f t="shared" si="15"/>
        <v>-768</v>
      </c>
      <c r="X28" s="48" t="b">
        <f t="shared" si="16"/>
        <v>0</v>
      </c>
      <c r="Y28" s="48" t="b">
        <f t="shared" si="17"/>
        <v>0</v>
      </c>
      <c r="Z28" s="48" t="b">
        <f t="shared" si="18"/>
        <v>0</v>
      </c>
      <c r="AA28" s="48" t="b">
        <f t="shared" si="19"/>
        <v>0</v>
      </c>
      <c r="AB28" s="48" t="b">
        <f t="shared" si="20"/>
        <v>0</v>
      </c>
      <c r="AC28" s="48" t="b">
        <f t="shared" si="21"/>
        <v>0</v>
      </c>
      <c r="AD28" s="48" t="b">
        <f t="shared" si="22"/>
        <v>0</v>
      </c>
      <c r="AE28" s="48" t="b">
        <f t="shared" si="23"/>
        <v>0</v>
      </c>
      <c r="AF28" s="48" t="b">
        <f t="shared" si="24"/>
        <v>0</v>
      </c>
      <c r="AG28" s="48" t="b">
        <f t="shared" si="25"/>
        <v>0</v>
      </c>
      <c r="AH28" s="48" t="b">
        <f t="shared" si="26"/>
        <v>0</v>
      </c>
      <c r="AI28" s="48" t="b">
        <f t="shared" si="27"/>
        <v>0</v>
      </c>
      <c r="AJ28" s="48" t="b">
        <f t="shared" si="28"/>
        <v>0</v>
      </c>
      <c r="AK28" s="48" t="b">
        <f t="shared" si="29"/>
        <v>0</v>
      </c>
      <c r="AL28" s="48" t="b">
        <f t="shared" si="30"/>
        <v>0</v>
      </c>
      <c r="AM28" s="48" t="b">
        <f t="shared" si="31"/>
        <v>0</v>
      </c>
      <c r="AN28" s="48" t="b">
        <f t="shared" si="32"/>
        <v>0</v>
      </c>
      <c r="AO28" s="48"/>
      <c r="AQ28" s="47">
        <f t="shared" si="33"/>
        <v>0</v>
      </c>
      <c r="AR28" s="47">
        <f t="shared" si="34"/>
        <v>0</v>
      </c>
      <c r="AS28" s="47">
        <f t="shared" si="35"/>
        <v>0</v>
      </c>
      <c r="AT28" s="47">
        <f t="shared" si="36"/>
        <v>0</v>
      </c>
      <c r="AU28" s="47">
        <f t="shared" si="37"/>
        <v>0</v>
      </c>
      <c r="AV28" s="47">
        <f t="shared" si="38"/>
        <v>0</v>
      </c>
      <c r="AW28" s="47">
        <f t="shared" si="39"/>
        <v>0</v>
      </c>
      <c r="AX28" s="47">
        <f t="shared" si="40"/>
        <v>0</v>
      </c>
      <c r="AY28" s="47">
        <f t="shared" si="41"/>
        <v>0</v>
      </c>
      <c r="AZ28" s="47">
        <f t="shared" si="42"/>
        <v>0</v>
      </c>
      <c r="BA28" s="47">
        <f t="shared" si="43"/>
        <v>0</v>
      </c>
      <c r="BB28" s="47">
        <f t="shared" si="44"/>
        <v>0</v>
      </c>
      <c r="BC28" s="47">
        <f t="shared" si="45"/>
        <v>0</v>
      </c>
      <c r="BD28" s="47" t="b">
        <f t="shared" si="46"/>
        <v>0</v>
      </c>
      <c r="BE28" s="47" t="b">
        <f t="shared" si="47"/>
        <v>0</v>
      </c>
      <c r="BF28" s="47" t="b">
        <f t="shared" si="48"/>
        <v>0</v>
      </c>
      <c r="BG28" s="47" t="b">
        <f t="shared" si="49"/>
        <v>0</v>
      </c>
      <c r="BH28" s="47" t="b">
        <f t="shared" si="50"/>
        <v>0</v>
      </c>
      <c r="BI28" s="47" t="b">
        <f t="shared" si="51"/>
        <v>0</v>
      </c>
      <c r="BJ28" s="47" t="b">
        <f t="shared" si="52"/>
        <v>0</v>
      </c>
      <c r="BK28" s="69" t="b">
        <f t="shared" si="53"/>
        <v>0</v>
      </c>
      <c r="BL28" s="69" t="b">
        <f t="shared" si="54"/>
        <v>0</v>
      </c>
      <c r="BM28" s="69" t="b">
        <f t="shared" si="55"/>
        <v>0</v>
      </c>
      <c r="BN28" s="69" t="b">
        <f t="shared" si="56"/>
        <v>0</v>
      </c>
      <c r="BO28" s="69" t="b">
        <f t="shared" si="57"/>
        <v>0</v>
      </c>
      <c r="BP28" s="69" t="b">
        <f t="shared" si="58"/>
        <v>0</v>
      </c>
      <c r="BQ28" s="69" t="b">
        <f t="shared" si="59"/>
        <v>0</v>
      </c>
      <c r="BR28" s="69" t="b">
        <f t="shared" si="60"/>
        <v>0</v>
      </c>
      <c r="BS28" s="37" t="b">
        <f t="shared" si="61"/>
        <v>0</v>
      </c>
      <c r="BT28" s="37" t="b">
        <f t="shared" si="62"/>
        <v>0</v>
      </c>
    </row>
    <row r="29" spans="1:72" x14ac:dyDescent="0.25">
      <c r="A29" s="8">
        <v>28</v>
      </c>
      <c r="B29">
        <v>57811</v>
      </c>
      <c r="C29" s="7">
        <f>DATA!C264-DATA!E264</f>
        <v>-41</v>
      </c>
      <c r="D29" s="7">
        <f>DATA!D264-DATA!F264</f>
        <v>-1</v>
      </c>
      <c r="E29" s="38">
        <f t="shared" si="1"/>
        <v>73084.499999999985</v>
      </c>
      <c r="F29" s="38">
        <f t="shared" si="2"/>
        <v>74142.666666666657</v>
      </c>
      <c r="G29" s="38">
        <f t="shared" si="0"/>
        <v>73613.583333333314</v>
      </c>
      <c r="H29" s="27">
        <f>AL62</f>
        <v>0</v>
      </c>
      <c r="I29" s="27">
        <f>BR62</f>
        <v>0</v>
      </c>
      <c r="K29" s="47">
        <f t="shared" si="3"/>
        <v>0</v>
      </c>
      <c r="L29" s="47">
        <f t="shared" si="4"/>
        <v>0</v>
      </c>
      <c r="M29" s="47">
        <f t="shared" si="5"/>
        <v>0</v>
      </c>
      <c r="N29" s="48">
        <f t="shared" si="6"/>
        <v>0</v>
      </c>
      <c r="O29" s="48">
        <f t="shared" si="7"/>
        <v>0</v>
      </c>
      <c r="P29" s="48">
        <f t="shared" si="8"/>
        <v>0</v>
      </c>
      <c r="Q29" s="48">
        <f t="shared" si="9"/>
        <v>0</v>
      </c>
      <c r="R29" s="48">
        <f t="shared" si="10"/>
        <v>0</v>
      </c>
      <c r="S29" s="48">
        <f t="shared" si="11"/>
        <v>0</v>
      </c>
      <c r="T29" s="48">
        <f t="shared" si="12"/>
        <v>0</v>
      </c>
      <c r="U29" s="48">
        <f t="shared" si="13"/>
        <v>0</v>
      </c>
      <c r="V29" s="48">
        <f t="shared" si="14"/>
        <v>0</v>
      </c>
      <c r="W29" s="48">
        <f t="shared" si="15"/>
        <v>-41</v>
      </c>
      <c r="X29" s="48" t="b">
        <f t="shared" si="16"/>
        <v>0</v>
      </c>
      <c r="Y29" s="48" t="b">
        <f t="shared" si="17"/>
        <v>0</v>
      </c>
      <c r="Z29" s="48" t="b">
        <f t="shared" si="18"/>
        <v>0</v>
      </c>
      <c r="AA29" s="48" t="b">
        <f t="shared" si="19"/>
        <v>0</v>
      </c>
      <c r="AB29" s="48" t="b">
        <f t="shared" si="20"/>
        <v>0</v>
      </c>
      <c r="AC29" s="48" t="b">
        <f t="shared" si="21"/>
        <v>0</v>
      </c>
      <c r="AD29" s="48" t="b">
        <f t="shared" si="22"/>
        <v>0</v>
      </c>
      <c r="AE29" s="48" t="b">
        <f t="shared" si="23"/>
        <v>0</v>
      </c>
      <c r="AF29" s="48" t="b">
        <f t="shared" si="24"/>
        <v>0</v>
      </c>
      <c r="AG29" s="48" t="b">
        <f t="shared" si="25"/>
        <v>0</v>
      </c>
      <c r="AH29" s="48" t="b">
        <f t="shared" si="26"/>
        <v>0</v>
      </c>
      <c r="AI29" s="48" t="b">
        <f t="shared" si="27"/>
        <v>0</v>
      </c>
      <c r="AJ29" s="48" t="b">
        <f t="shared" si="28"/>
        <v>0</v>
      </c>
      <c r="AK29" s="48" t="b">
        <f t="shared" si="29"/>
        <v>0</v>
      </c>
      <c r="AL29" s="48" t="b">
        <f t="shared" si="30"/>
        <v>0</v>
      </c>
      <c r="AM29" s="48" t="b">
        <f t="shared" si="31"/>
        <v>0</v>
      </c>
      <c r="AN29" s="48" t="b">
        <f t="shared" si="32"/>
        <v>0</v>
      </c>
      <c r="AO29" s="48"/>
      <c r="AQ29" s="47">
        <f t="shared" si="33"/>
        <v>0</v>
      </c>
      <c r="AR29" s="47">
        <f t="shared" si="34"/>
        <v>0</v>
      </c>
      <c r="AS29" s="47">
        <f t="shared" si="35"/>
        <v>0</v>
      </c>
      <c r="AT29" s="47">
        <f t="shared" si="36"/>
        <v>0</v>
      </c>
      <c r="AU29" s="47">
        <f t="shared" si="37"/>
        <v>0</v>
      </c>
      <c r="AV29" s="47">
        <f t="shared" si="38"/>
        <v>0</v>
      </c>
      <c r="AW29" s="47">
        <f t="shared" si="39"/>
        <v>0</v>
      </c>
      <c r="AX29" s="47">
        <f t="shared" si="40"/>
        <v>0</v>
      </c>
      <c r="AY29" s="47">
        <f t="shared" si="41"/>
        <v>0</v>
      </c>
      <c r="AZ29" s="47">
        <f t="shared" si="42"/>
        <v>0</v>
      </c>
      <c r="BA29" s="47">
        <f t="shared" si="43"/>
        <v>0</v>
      </c>
      <c r="BB29" s="47">
        <f t="shared" si="44"/>
        <v>0</v>
      </c>
      <c r="BC29" s="47">
        <f t="shared" si="45"/>
        <v>-1</v>
      </c>
      <c r="BD29" s="47" t="b">
        <f t="shared" si="46"/>
        <v>0</v>
      </c>
      <c r="BE29" s="47" t="b">
        <f t="shared" si="47"/>
        <v>0</v>
      </c>
      <c r="BF29" s="47" t="b">
        <f t="shared" si="48"/>
        <v>0</v>
      </c>
      <c r="BG29" s="47" t="b">
        <f t="shared" si="49"/>
        <v>0</v>
      </c>
      <c r="BH29" s="47" t="b">
        <f t="shared" si="50"/>
        <v>0</v>
      </c>
      <c r="BI29" s="47" t="b">
        <f t="shared" si="51"/>
        <v>0</v>
      </c>
      <c r="BJ29" s="47" t="b">
        <f t="shared" si="52"/>
        <v>0</v>
      </c>
      <c r="BK29" s="69" t="b">
        <f t="shared" si="53"/>
        <v>0</v>
      </c>
      <c r="BL29" s="69" t="b">
        <f t="shared" si="54"/>
        <v>0</v>
      </c>
      <c r="BM29" s="69" t="b">
        <f t="shared" si="55"/>
        <v>0</v>
      </c>
      <c r="BN29" s="69" t="b">
        <f t="shared" si="56"/>
        <v>0</v>
      </c>
      <c r="BO29" s="69" t="b">
        <f t="shared" si="57"/>
        <v>0</v>
      </c>
      <c r="BP29" s="69" t="b">
        <f t="shared" si="58"/>
        <v>0</v>
      </c>
      <c r="BQ29" s="69" t="b">
        <f t="shared" si="59"/>
        <v>0</v>
      </c>
      <c r="BR29" s="69" t="b">
        <f t="shared" si="60"/>
        <v>0</v>
      </c>
      <c r="BS29" s="37" t="b">
        <f t="shared" si="61"/>
        <v>0</v>
      </c>
      <c r="BT29" s="37" t="b">
        <f t="shared" si="62"/>
        <v>0</v>
      </c>
    </row>
    <row r="30" spans="1:72" x14ac:dyDescent="0.25">
      <c r="A30" s="8">
        <v>29</v>
      </c>
      <c r="B30">
        <v>57876</v>
      </c>
      <c r="C30" s="7">
        <f>DATA!C201-DATA!E201</f>
        <v>-208</v>
      </c>
      <c r="D30" s="7">
        <f>DATA!D201-DATA!F201</f>
        <v>2</v>
      </c>
      <c r="E30" s="38">
        <f t="shared" si="1"/>
        <v>74142.666666666657</v>
      </c>
      <c r="F30" s="38">
        <f t="shared" si="2"/>
        <v>75200.833333333328</v>
      </c>
      <c r="G30" s="38">
        <f t="shared" si="0"/>
        <v>74671.75</v>
      </c>
      <c r="H30" s="27">
        <f>AM62</f>
        <v>1578</v>
      </c>
      <c r="I30" s="27">
        <f>BS62</f>
        <v>9</v>
      </c>
      <c r="K30" s="47">
        <f t="shared" si="3"/>
        <v>0</v>
      </c>
      <c r="L30" s="47">
        <f t="shared" si="4"/>
        <v>0</v>
      </c>
      <c r="M30" s="47">
        <f t="shared" si="5"/>
        <v>0</v>
      </c>
      <c r="N30" s="48">
        <f t="shared" si="6"/>
        <v>0</v>
      </c>
      <c r="O30" s="48">
        <f t="shared" si="7"/>
        <v>0</v>
      </c>
      <c r="P30" s="48">
        <f t="shared" si="8"/>
        <v>0</v>
      </c>
      <c r="Q30" s="48">
        <f t="shared" si="9"/>
        <v>0</v>
      </c>
      <c r="R30" s="48">
        <f t="shared" si="10"/>
        <v>0</v>
      </c>
      <c r="S30" s="48">
        <f t="shared" si="11"/>
        <v>0</v>
      </c>
      <c r="T30" s="48">
        <f t="shared" si="12"/>
        <v>0</v>
      </c>
      <c r="U30" s="48">
        <f t="shared" si="13"/>
        <v>0</v>
      </c>
      <c r="V30" s="48">
        <f t="shared" si="14"/>
        <v>0</v>
      </c>
      <c r="W30" s="48">
        <f t="shared" si="15"/>
        <v>-208</v>
      </c>
      <c r="X30" s="48" t="b">
        <f t="shared" si="16"/>
        <v>0</v>
      </c>
      <c r="Y30" s="48" t="b">
        <f t="shared" si="17"/>
        <v>0</v>
      </c>
      <c r="Z30" s="48" t="b">
        <f t="shared" si="18"/>
        <v>0</v>
      </c>
      <c r="AA30" s="48" t="b">
        <f t="shared" si="19"/>
        <v>0</v>
      </c>
      <c r="AB30" s="48" t="b">
        <f t="shared" si="20"/>
        <v>0</v>
      </c>
      <c r="AC30" s="48" t="b">
        <f t="shared" si="21"/>
        <v>0</v>
      </c>
      <c r="AD30" s="48" t="b">
        <f t="shared" si="22"/>
        <v>0</v>
      </c>
      <c r="AE30" s="48" t="b">
        <f t="shared" si="23"/>
        <v>0</v>
      </c>
      <c r="AF30" s="48" t="b">
        <f t="shared" si="24"/>
        <v>0</v>
      </c>
      <c r="AG30" s="48" t="b">
        <f t="shared" si="25"/>
        <v>0</v>
      </c>
      <c r="AH30" s="48" t="b">
        <f t="shared" si="26"/>
        <v>0</v>
      </c>
      <c r="AI30" s="48" t="b">
        <f t="shared" si="27"/>
        <v>0</v>
      </c>
      <c r="AJ30" s="48" t="b">
        <f t="shared" si="28"/>
        <v>0</v>
      </c>
      <c r="AK30" s="48" t="b">
        <f t="shared" si="29"/>
        <v>0</v>
      </c>
      <c r="AL30" s="48" t="b">
        <f t="shared" si="30"/>
        <v>0</v>
      </c>
      <c r="AM30" s="48" t="b">
        <f t="shared" si="31"/>
        <v>0</v>
      </c>
      <c r="AN30" s="48" t="b">
        <f t="shared" si="32"/>
        <v>0</v>
      </c>
      <c r="AO30" s="48"/>
      <c r="AQ30" s="47">
        <f t="shared" si="33"/>
        <v>0</v>
      </c>
      <c r="AR30" s="47">
        <f t="shared" si="34"/>
        <v>0</v>
      </c>
      <c r="AS30" s="47">
        <f t="shared" si="35"/>
        <v>0</v>
      </c>
      <c r="AT30" s="47">
        <f t="shared" si="36"/>
        <v>0</v>
      </c>
      <c r="AU30" s="47">
        <f t="shared" si="37"/>
        <v>0</v>
      </c>
      <c r="AV30" s="47">
        <f t="shared" si="38"/>
        <v>0</v>
      </c>
      <c r="AW30" s="47">
        <f t="shared" si="39"/>
        <v>0</v>
      </c>
      <c r="AX30" s="47">
        <f t="shared" si="40"/>
        <v>0</v>
      </c>
      <c r="AY30" s="47">
        <f t="shared" si="41"/>
        <v>0</v>
      </c>
      <c r="AZ30" s="47">
        <f t="shared" si="42"/>
        <v>0</v>
      </c>
      <c r="BA30" s="47">
        <f t="shared" si="43"/>
        <v>0</v>
      </c>
      <c r="BB30" s="47">
        <f t="shared" si="44"/>
        <v>0</v>
      </c>
      <c r="BC30" s="47">
        <f t="shared" si="45"/>
        <v>2</v>
      </c>
      <c r="BD30" s="47" t="b">
        <f t="shared" si="46"/>
        <v>0</v>
      </c>
      <c r="BE30" s="47" t="b">
        <f t="shared" si="47"/>
        <v>0</v>
      </c>
      <c r="BF30" s="47" t="b">
        <f t="shared" si="48"/>
        <v>0</v>
      </c>
      <c r="BG30" s="47" t="b">
        <f t="shared" si="49"/>
        <v>0</v>
      </c>
      <c r="BH30" s="47" t="b">
        <f t="shared" si="50"/>
        <v>0</v>
      </c>
      <c r="BI30" s="47" t="b">
        <f t="shared" si="51"/>
        <v>0</v>
      </c>
      <c r="BJ30" s="47" t="b">
        <f t="shared" si="52"/>
        <v>0</v>
      </c>
      <c r="BK30" s="69" t="b">
        <f t="shared" si="53"/>
        <v>0</v>
      </c>
      <c r="BL30" s="69" t="b">
        <f t="shared" si="54"/>
        <v>0</v>
      </c>
      <c r="BM30" s="69" t="b">
        <f t="shared" si="55"/>
        <v>0</v>
      </c>
      <c r="BN30" s="69" t="b">
        <f t="shared" si="56"/>
        <v>0</v>
      </c>
      <c r="BO30" s="69" t="b">
        <f t="shared" si="57"/>
        <v>0</v>
      </c>
      <c r="BP30" s="69" t="b">
        <f t="shared" si="58"/>
        <v>0</v>
      </c>
      <c r="BQ30" s="69" t="b">
        <f t="shared" si="59"/>
        <v>0</v>
      </c>
      <c r="BR30" s="69" t="b">
        <f t="shared" si="60"/>
        <v>0</v>
      </c>
      <c r="BS30" s="37" t="b">
        <f t="shared" si="61"/>
        <v>0</v>
      </c>
      <c r="BT30" s="37" t="b">
        <f t="shared" si="62"/>
        <v>0</v>
      </c>
    </row>
    <row r="31" spans="1:72" x14ac:dyDescent="0.25">
      <c r="A31" s="8">
        <v>30</v>
      </c>
      <c r="B31">
        <v>57916</v>
      </c>
      <c r="C31" s="7">
        <f>DATA!C237-DATA!E237</f>
        <v>-193</v>
      </c>
      <c r="D31" s="7">
        <f>DATA!D237-DATA!F237</f>
        <v>-2</v>
      </c>
      <c r="E31" s="38">
        <f t="shared" si="1"/>
        <v>75200.833333333328</v>
      </c>
      <c r="F31" s="38">
        <f t="shared" si="2"/>
        <v>76259</v>
      </c>
      <c r="G31" s="38">
        <f t="shared" si="0"/>
        <v>75729.916666666657</v>
      </c>
      <c r="H31" s="27">
        <f>AN62</f>
        <v>804</v>
      </c>
      <c r="I31" s="27">
        <f>BT62</f>
        <v>10</v>
      </c>
      <c r="K31" s="47">
        <f t="shared" si="3"/>
        <v>0</v>
      </c>
      <c r="L31" s="47">
        <f t="shared" si="4"/>
        <v>0</v>
      </c>
      <c r="M31" s="47">
        <f t="shared" si="5"/>
        <v>0</v>
      </c>
      <c r="N31" s="48">
        <f t="shared" si="6"/>
        <v>0</v>
      </c>
      <c r="O31" s="48">
        <f t="shared" si="7"/>
        <v>0</v>
      </c>
      <c r="P31" s="48">
        <f t="shared" si="8"/>
        <v>0</v>
      </c>
      <c r="Q31" s="48">
        <f t="shared" si="9"/>
        <v>0</v>
      </c>
      <c r="R31" s="48">
        <f t="shared" si="10"/>
        <v>0</v>
      </c>
      <c r="S31" s="48">
        <f t="shared" si="11"/>
        <v>0</v>
      </c>
      <c r="T31" s="48">
        <f t="shared" si="12"/>
        <v>0</v>
      </c>
      <c r="U31" s="48">
        <f t="shared" si="13"/>
        <v>0</v>
      </c>
      <c r="V31" s="48">
        <f t="shared" si="14"/>
        <v>0</v>
      </c>
      <c r="W31" s="48">
        <f t="shared" si="15"/>
        <v>-193</v>
      </c>
      <c r="X31" s="48" t="b">
        <f t="shared" si="16"/>
        <v>0</v>
      </c>
      <c r="Y31" s="48" t="b">
        <f t="shared" si="17"/>
        <v>0</v>
      </c>
      <c r="Z31" s="48" t="b">
        <f t="shared" si="18"/>
        <v>0</v>
      </c>
      <c r="AA31" s="48" t="b">
        <f t="shared" si="19"/>
        <v>0</v>
      </c>
      <c r="AB31" s="48" t="b">
        <f t="shared" si="20"/>
        <v>0</v>
      </c>
      <c r="AC31" s="48" t="b">
        <f t="shared" si="21"/>
        <v>0</v>
      </c>
      <c r="AD31" s="48" t="b">
        <f t="shared" si="22"/>
        <v>0</v>
      </c>
      <c r="AE31" s="48" t="b">
        <f t="shared" si="23"/>
        <v>0</v>
      </c>
      <c r="AF31" s="48" t="b">
        <f t="shared" si="24"/>
        <v>0</v>
      </c>
      <c r="AG31" s="48" t="b">
        <f t="shared" si="25"/>
        <v>0</v>
      </c>
      <c r="AH31" s="48" t="b">
        <f t="shared" si="26"/>
        <v>0</v>
      </c>
      <c r="AI31" s="48" t="b">
        <f t="shared" si="27"/>
        <v>0</v>
      </c>
      <c r="AJ31" s="48" t="b">
        <f t="shared" si="28"/>
        <v>0</v>
      </c>
      <c r="AK31" s="48" t="b">
        <f t="shared" si="29"/>
        <v>0</v>
      </c>
      <c r="AL31" s="48" t="b">
        <f t="shared" si="30"/>
        <v>0</v>
      </c>
      <c r="AM31" s="48" t="b">
        <f t="shared" si="31"/>
        <v>0</v>
      </c>
      <c r="AN31" s="48" t="b">
        <f t="shared" si="32"/>
        <v>0</v>
      </c>
      <c r="AO31" s="48"/>
      <c r="AQ31" s="47">
        <f t="shared" si="33"/>
        <v>0</v>
      </c>
      <c r="AR31" s="47">
        <f t="shared" si="34"/>
        <v>0</v>
      </c>
      <c r="AS31" s="47">
        <f t="shared" si="35"/>
        <v>0</v>
      </c>
      <c r="AT31" s="47">
        <f t="shared" si="36"/>
        <v>0</v>
      </c>
      <c r="AU31" s="47">
        <f t="shared" si="37"/>
        <v>0</v>
      </c>
      <c r="AV31" s="47">
        <f t="shared" si="38"/>
        <v>0</v>
      </c>
      <c r="AW31" s="47">
        <f t="shared" si="39"/>
        <v>0</v>
      </c>
      <c r="AX31" s="47">
        <f t="shared" si="40"/>
        <v>0</v>
      </c>
      <c r="AY31" s="47">
        <f t="shared" si="41"/>
        <v>0</v>
      </c>
      <c r="AZ31" s="47">
        <f t="shared" si="42"/>
        <v>0</v>
      </c>
      <c r="BA31" s="47">
        <f t="shared" si="43"/>
        <v>0</v>
      </c>
      <c r="BB31" s="47">
        <f t="shared" si="44"/>
        <v>0</v>
      </c>
      <c r="BC31" s="47">
        <f t="shared" si="45"/>
        <v>-2</v>
      </c>
      <c r="BD31" s="47" t="b">
        <f t="shared" si="46"/>
        <v>0</v>
      </c>
      <c r="BE31" s="47" t="b">
        <f t="shared" si="47"/>
        <v>0</v>
      </c>
      <c r="BF31" s="47" t="b">
        <f t="shared" si="48"/>
        <v>0</v>
      </c>
      <c r="BG31" s="47" t="b">
        <f t="shared" si="49"/>
        <v>0</v>
      </c>
      <c r="BH31" s="47" t="b">
        <f t="shared" si="50"/>
        <v>0</v>
      </c>
      <c r="BI31" s="47" t="b">
        <f t="shared" si="51"/>
        <v>0</v>
      </c>
      <c r="BJ31" s="47" t="b">
        <f t="shared" si="52"/>
        <v>0</v>
      </c>
      <c r="BK31" s="69" t="b">
        <f t="shared" si="53"/>
        <v>0</v>
      </c>
      <c r="BL31" s="69" t="b">
        <f t="shared" si="54"/>
        <v>0</v>
      </c>
      <c r="BM31" s="69" t="b">
        <f t="shared" si="55"/>
        <v>0</v>
      </c>
      <c r="BN31" s="69" t="b">
        <f t="shared" si="56"/>
        <v>0</v>
      </c>
      <c r="BO31" s="69" t="b">
        <f t="shared" si="57"/>
        <v>0</v>
      </c>
      <c r="BP31" s="69" t="b">
        <f t="shared" si="58"/>
        <v>0</v>
      </c>
      <c r="BQ31" s="69" t="b">
        <f t="shared" si="59"/>
        <v>0</v>
      </c>
      <c r="BR31" s="69" t="b">
        <f t="shared" si="60"/>
        <v>0</v>
      </c>
      <c r="BS31" s="37" t="b">
        <f t="shared" si="61"/>
        <v>0</v>
      </c>
      <c r="BT31" s="37" t="b">
        <f t="shared" si="62"/>
        <v>0</v>
      </c>
    </row>
    <row r="32" spans="1:72" x14ac:dyDescent="0.25">
      <c r="A32" s="8">
        <v>31</v>
      </c>
      <c r="B32">
        <v>58008</v>
      </c>
      <c r="C32" s="7">
        <f>DATA!C345-DATA!E345</f>
        <v>-256</v>
      </c>
      <c r="D32" s="7">
        <f>DATA!D345-DATA!F345</f>
        <v>-45</v>
      </c>
      <c r="K32" s="47">
        <f t="shared" si="3"/>
        <v>0</v>
      </c>
      <c r="L32" s="47">
        <f t="shared" si="4"/>
        <v>0</v>
      </c>
      <c r="M32" s="47">
        <f t="shared" si="5"/>
        <v>0</v>
      </c>
      <c r="N32" s="48">
        <f t="shared" si="6"/>
        <v>0</v>
      </c>
      <c r="O32" s="48">
        <f t="shared" si="7"/>
        <v>0</v>
      </c>
      <c r="P32" s="48">
        <f t="shared" si="8"/>
        <v>0</v>
      </c>
      <c r="Q32" s="48">
        <f t="shared" si="9"/>
        <v>0</v>
      </c>
      <c r="R32" s="48">
        <f t="shared" si="10"/>
        <v>0</v>
      </c>
      <c r="S32" s="48">
        <f t="shared" si="11"/>
        <v>0</v>
      </c>
      <c r="T32" s="48">
        <f t="shared" si="12"/>
        <v>0</v>
      </c>
      <c r="U32" s="48">
        <f t="shared" si="13"/>
        <v>0</v>
      </c>
      <c r="V32" s="48">
        <f t="shared" si="14"/>
        <v>0</v>
      </c>
      <c r="W32" s="48">
        <f t="shared" si="15"/>
        <v>-256</v>
      </c>
      <c r="X32" s="48" t="b">
        <f t="shared" si="16"/>
        <v>0</v>
      </c>
      <c r="Y32" s="48" t="b">
        <f t="shared" si="17"/>
        <v>0</v>
      </c>
      <c r="Z32" s="48" t="b">
        <f t="shared" si="18"/>
        <v>0</v>
      </c>
      <c r="AA32" s="48" t="b">
        <f t="shared" si="19"/>
        <v>0</v>
      </c>
      <c r="AB32" s="48" t="b">
        <f t="shared" si="20"/>
        <v>0</v>
      </c>
      <c r="AC32" s="48" t="b">
        <f t="shared" si="21"/>
        <v>0</v>
      </c>
      <c r="AD32" s="48" t="b">
        <f t="shared" si="22"/>
        <v>0</v>
      </c>
      <c r="AE32" s="48" t="b">
        <f t="shared" si="23"/>
        <v>0</v>
      </c>
      <c r="AF32" s="48" t="b">
        <f t="shared" si="24"/>
        <v>0</v>
      </c>
      <c r="AG32" s="48" t="b">
        <f t="shared" si="25"/>
        <v>0</v>
      </c>
      <c r="AH32" s="48" t="b">
        <f t="shared" si="26"/>
        <v>0</v>
      </c>
      <c r="AI32" s="48" t="b">
        <f t="shared" si="27"/>
        <v>0</v>
      </c>
      <c r="AJ32" s="48" t="b">
        <f t="shared" si="28"/>
        <v>0</v>
      </c>
      <c r="AK32" s="48" t="b">
        <f t="shared" si="29"/>
        <v>0</v>
      </c>
      <c r="AL32" s="48" t="b">
        <f t="shared" si="30"/>
        <v>0</v>
      </c>
      <c r="AM32" s="48" t="b">
        <f t="shared" si="31"/>
        <v>0</v>
      </c>
      <c r="AN32" s="48" t="b">
        <f t="shared" si="32"/>
        <v>0</v>
      </c>
      <c r="AO32" s="48"/>
      <c r="AQ32" s="47">
        <f t="shared" si="33"/>
        <v>0</v>
      </c>
      <c r="AR32" s="47">
        <f t="shared" si="34"/>
        <v>0</v>
      </c>
      <c r="AS32" s="47">
        <f t="shared" si="35"/>
        <v>0</v>
      </c>
      <c r="AT32" s="47">
        <f t="shared" si="36"/>
        <v>0</v>
      </c>
      <c r="AU32" s="47">
        <f t="shared" si="37"/>
        <v>0</v>
      </c>
      <c r="AV32" s="47">
        <f t="shared" si="38"/>
        <v>0</v>
      </c>
      <c r="AW32" s="47">
        <f t="shared" si="39"/>
        <v>0</v>
      </c>
      <c r="AX32" s="47">
        <f t="shared" si="40"/>
        <v>0</v>
      </c>
      <c r="AY32" s="47">
        <f t="shared" si="41"/>
        <v>0</v>
      </c>
      <c r="AZ32" s="47">
        <f t="shared" si="42"/>
        <v>0</v>
      </c>
      <c r="BA32" s="47">
        <f t="shared" si="43"/>
        <v>0</v>
      </c>
      <c r="BB32" s="47">
        <f t="shared" si="44"/>
        <v>0</v>
      </c>
      <c r="BC32" s="47">
        <f t="shared" si="45"/>
        <v>-45</v>
      </c>
      <c r="BD32" s="47" t="b">
        <f t="shared" si="46"/>
        <v>0</v>
      </c>
      <c r="BE32" s="47" t="b">
        <f t="shared" si="47"/>
        <v>0</v>
      </c>
      <c r="BF32" s="47" t="b">
        <f t="shared" si="48"/>
        <v>0</v>
      </c>
      <c r="BG32" s="47" t="b">
        <f t="shared" si="49"/>
        <v>0</v>
      </c>
      <c r="BH32" s="47" t="b">
        <f t="shared" si="50"/>
        <v>0</v>
      </c>
      <c r="BI32" s="47" t="b">
        <f t="shared" si="51"/>
        <v>0</v>
      </c>
      <c r="BJ32" s="47" t="b">
        <f t="shared" si="52"/>
        <v>0</v>
      </c>
      <c r="BK32" s="69" t="b">
        <f t="shared" si="53"/>
        <v>0</v>
      </c>
      <c r="BL32" s="69" t="b">
        <f t="shared" si="54"/>
        <v>0</v>
      </c>
      <c r="BM32" s="69" t="b">
        <f t="shared" si="55"/>
        <v>0</v>
      </c>
      <c r="BN32" s="69" t="b">
        <f t="shared" si="56"/>
        <v>0</v>
      </c>
      <c r="BO32" s="69" t="b">
        <f t="shared" si="57"/>
        <v>0</v>
      </c>
      <c r="BP32" s="69" t="b">
        <f t="shared" si="58"/>
        <v>0</v>
      </c>
      <c r="BQ32" s="69" t="b">
        <f t="shared" si="59"/>
        <v>0</v>
      </c>
      <c r="BR32" s="69" t="b">
        <f t="shared" si="60"/>
        <v>0</v>
      </c>
      <c r="BS32" s="37" t="b">
        <f t="shared" si="61"/>
        <v>0</v>
      </c>
      <c r="BT32" s="37" t="b">
        <f t="shared" si="62"/>
        <v>0</v>
      </c>
    </row>
    <row r="33" spans="1:72" x14ac:dyDescent="0.25">
      <c r="A33" s="8">
        <v>32</v>
      </c>
      <c r="B33">
        <v>58033</v>
      </c>
      <c r="C33" s="7">
        <f>DATA!C192-DATA!E192</f>
        <v>-932</v>
      </c>
      <c r="D33" s="7">
        <f>DATA!D192-DATA!F192</f>
        <v>-4</v>
      </c>
      <c r="K33" s="47">
        <f t="shared" si="3"/>
        <v>0</v>
      </c>
      <c r="L33" s="47">
        <f t="shared" si="4"/>
        <v>0</v>
      </c>
      <c r="M33" s="47">
        <f t="shared" si="5"/>
        <v>0</v>
      </c>
      <c r="N33" s="48">
        <f t="shared" si="6"/>
        <v>0</v>
      </c>
      <c r="O33" s="48">
        <f t="shared" si="7"/>
        <v>0</v>
      </c>
      <c r="P33" s="48">
        <f t="shared" si="8"/>
        <v>0</v>
      </c>
      <c r="Q33" s="48">
        <f t="shared" si="9"/>
        <v>0</v>
      </c>
      <c r="R33" s="48">
        <f t="shared" si="10"/>
        <v>0</v>
      </c>
      <c r="S33" s="48">
        <f t="shared" si="11"/>
        <v>0</v>
      </c>
      <c r="T33" s="48">
        <f t="shared" si="12"/>
        <v>0</v>
      </c>
      <c r="U33" s="48">
        <f t="shared" si="13"/>
        <v>0</v>
      </c>
      <c r="V33" s="48">
        <f t="shared" si="14"/>
        <v>0</v>
      </c>
      <c r="W33" s="48">
        <f t="shared" si="15"/>
        <v>-932</v>
      </c>
      <c r="X33" s="48" t="b">
        <f t="shared" si="16"/>
        <v>0</v>
      </c>
      <c r="Y33" s="48" t="b">
        <f t="shared" si="17"/>
        <v>0</v>
      </c>
      <c r="Z33" s="48" t="b">
        <f t="shared" si="18"/>
        <v>0</v>
      </c>
      <c r="AA33" s="48" t="b">
        <f t="shared" si="19"/>
        <v>0</v>
      </c>
      <c r="AB33" s="48" t="b">
        <f t="shared" si="20"/>
        <v>0</v>
      </c>
      <c r="AC33" s="48" t="b">
        <f t="shared" si="21"/>
        <v>0</v>
      </c>
      <c r="AD33" s="48" t="b">
        <f t="shared" si="22"/>
        <v>0</v>
      </c>
      <c r="AE33" s="48" t="b">
        <f t="shared" si="23"/>
        <v>0</v>
      </c>
      <c r="AF33" s="48" t="b">
        <f t="shared" si="24"/>
        <v>0</v>
      </c>
      <c r="AG33" s="48" t="b">
        <f t="shared" si="25"/>
        <v>0</v>
      </c>
      <c r="AH33" s="48" t="b">
        <f t="shared" si="26"/>
        <v>0</v>
      </c>
      <c r="AI33" s="48" t="b">
        <f t="shared" si="27"/>
        <v>0</v>
      </c>
      <c r="AJ33" s="48" t="b">
        <f t="shared" si="28"/>
        <v>0</v>
      </c>
      <c r="AK33" s="48" t="b">
        <f t="shared" si="29"/>
        <v>0</v>
      </c>
      <c r="AL33" s="48" t="b">
        <f t="shared" si="30"/>
        <v>0</v>
      </c>
      <c r="AM33" s="48" t="b">
        <f t="shared" si="31"/>
        <v>0</v>
      </c>
      <c r="AN33" s="48" t="b">
        <f t="shared" si="32"/>
        <v>0</v>
      </c>
      <c r="AO33" s="48"/>
      <c r="AQ33" s="47">
        <f t="shared" si="33"/>
        <v>0</v>
      </c>
      <c r="AR33" s="47">
        <f t="shared" si="34"/>
        <v>0</v>
      </c>
      <c r="AS33" s="47">
        <f t="shared" si="35"/>
        <v>0</v>
      </c>
      <c r="AT33" s="47">
        <f t="shared" si="36"/>
        <v>0</v>
      </c>
      <c r="AU33" s="47">
        <f t="shared" si="37"/>
        <v>0</v>
      </c>
      <c r="AV33" s="47">
        <f t="shared" si="38"/>
        <v>0</v>
      </c>
      <c r="AW33" s="47">
        <f t="shared" si="39"/>
        <v>0</v>
      </c>
      <c r="AX33" s="47">
        <f t="shared" si="40"/>
        <v>0</v>
      </c>
      <c r="AY33" s="47">
        <f t="shared" si="41"/>
        <v>0</v>
      </c>
      <c r="AZ33" s="47">
        <f t="shared" si="42"/>
        <v>0</v>
      </c>
      <c r="BA33" s="47">
        <f t="shared" si="43"/>
        <v>0</v>
      </c>
      <c r="BB33" s="47">
        <f t="shared" si="44"/>
        <v>0</v>
      </c>
      <c r="BC33" s="47">
        <f t="shared" si="45"/>
        <v>-4</v>
      </c>
      <c r="BD33" s="47" t="b">
        <f t="shared" si="46"/>
        <v>0</v>
      </c>
      <c r="BE33" s="47" t="b">
        <f t="shared" si="47"/>
        <v>0</v>
      </c>
      <c r="BF33" s="47" t="b">
        <f t="shared" si="48"/>
        <v>0</v>
      </c>
      <c r="BG33" s="47" t="b">
        <f t="shared" si="49"/>
        <v>0</v>
      </c>
      <c r="BH33" s="47" t="b">
        <f t="shared" si="50"/>
        <v>0</v>
      </c>
      <c r="BI33" s="47" t="b">
        <f t="shared" si="51"/>
        <v>0</v>
      </c>
      <c r="BJ33" s="47" t="b">
        <f t="shared" si="52"/>
        <v>0</v>
      </c>
      <c r="BK33" s="69" t="b">
        <f t="shared" si="53"/>
        <v>0</v>
      </c>
      <c r="BL33" s="69" t="b">
        <f t="shared" si="54"/>
        <v>0</v>
      </c>
      <c r="BM33" s="69" t="b">
        <f t="shared" si="55"/>
        <v>0</v>
      </c>
      <c r="BN33" s="69" t="b">
        <f t="shared" si="56"/>
        <v>0</v>
      </c>
      <c r="BO33" s="69" t="b">
        <f t="shared" si="57"/>
        <v>0</v>
      </c>
      <c r="BP33" s="69" t="b">
        <f t="shared" si="58"/>
        <v>0</v>
      </c>
      <c r="BQ33" s="69" t="b">
        <f t="shared" si="59"/>
        <v>0</v>
      </c>
      <c r="BR33" s="69" t="b">
        <f t="shared" si="60"/>
        <v>0</v>
      </c>
      <c r="BS33" s="37" t="b">
        <f t="shared" si="61"/>
        <v>0</v>
      </c>
      <c r="BT33" s="37" t="b">
        <f t="shared" si="62"/>
        <v>0</v>
      </c>
    </row>
    <row r="34" spans="1:72" x14ac:dyDescent="0.25">
      <c r="A34" s="8">
        <v>33</v>
      </c>
      <c r="B34">
        <v>58130</v>
      </c>
      <c r="C34" s="7">
        <f>DATA!C282-DATA!E282</f>
        <v>603</v>
      </c>
      <c r="D34" s="7">
        <f>DATA!D282-DATA!F282</f>
        <v>3</v>
      </c>
      <c r="K34" s="47">
        <f t="shared" si="3"/>
        <v>0</v>
      </c>
      <c r="L34" s="47">
        <f t="shared" si="4"/>
        <v>0</v>
      </c>
      <c r="M34" s="47">
        <f t="shared" si="5"/>
        <v>0</v>
      </c>
      <c r="N34" s="48">
        <f t="shared" si="6"/>
        <v>0</v>
      </c>
      <c r="O34" s="48">
        <f t="shared" si="7"/>
        <v>0</v>
      </c>
      <c r="P34" s="48">
        <f t="shared" si="8"/>
        <v>0</v>
      </c>
      <c r="Q34" s="48">
        <f t="shared" si="9"/>
        <v>0</v>
      </c>
      <c r="R34" s="48">
        <f t="shared" si="10"/>
        <v>0</v>
      </c>
      <c r="S34" s="48">
        <f t="shared" si="11"/>
        <v>0</v>
      </c>
      <c r="T34" s="48">
        <f t="shared" si="12"/>
        <v>0</v>
      </c>
      <c r="U34" s="48">
        <f t="shared" si="13"/>
        <v>0</v>
      </c>
      <c r="V34" s="48">
        <f t="shared" si="14"/>
        <v>0</v>
      </c>
      <c r="W34" s="48">
        <f t="shared" si="15"/>
        <v>603</v>
      </c>
      <c r="X34" s="48" t="b">
        <f t="shared" si="16"/>
        <v>0</v>
      </c>
      <c r="Y34" s="48" t="b">
        <f t="shared" si="17"/>
        <v>0</v>
      </c>
      <c r="Z34" s="48" t="b">
        <f t="shared" si="18"/>
        <v>0</v>
      </c>
      <c r="AA34" s="48" t="b">
        <f t="shared" si="19"/>
        <v>0</v>
      </c>
      <c r="AB34" s="48" t="b">
        <f t="shared" si="20"/>
        <v>0</v>
      </c>
      <c r="AC34" s="48" t="b">
        <f t="shared" si="21"/>
        <v>0</v>
      </c>
      <c r="AD34" s="48" t="b">
        <f t="shared" si="22"/>
        <v>0</v>
      </c>
      <c r="AE34" s="48" t="b">
        <f t="shared" si="23"/>
        <v>0</v>
      </c>
      <c r="AF34" s="48" t="b">
        <f t="shared" si="24"/>
        <v>0</v>
      </c>
      <c r="AG34" s="48" t="b">
        <f t="shared" si="25"/>
        <v>0</v>
      </c>
      <c r="AH34" s="48" t="b">
        <f t="shared" si="26"/>
        <v>0</v>
      </c>
      <c r="AI34" s="48" t="b">
        <f t="shared" si="27"/>
        <v>0</v>
      </c>
      <c r="AJ34" s="48" t="b">
        <f t="shared" si="28"/>
        <v>0</v>
      </c>
      <c r="AK34" s="48" t="b">
        <f t="shared" si="29"/>
        <v>0</v>
      </c>
      <c r="AL34" s="48" t="b">
        <f t="shared" si="30"/>
        <v>0</v>
      </c>
      <c r="AM34" s="48" t="b">
        <f t="shared" si="31"/>
        <v>0</v>
      </c>
      <c r="AN34" s="48" t="b">
        <f t="shared" si="32"/>
        <v>0</v>
      </c>
      <c r="AO34" s="48"/>
      <c r="AQ34" s="47">
        <f t="shared" si="33"/>
        <v>0</v>
      </c>
      <c r="AR34" s="47">
        <f t="shared" si="34"/>
        <v>0</v>
      </c>
      <c r="AS34" s="47">
        <f t="shared" si="35"/>
        <v>0</v>
      </c>
      <c r="AT34" s="47">
        <f t="shared" si="36"/>
        <v>0</v>
      </c>
      <c r="AU34" s="47">
        <f t="shared" si="37"/>
        <v>0</v>
      </c>
      <c r="AV34" s="47">
        <f t="shared" si="38"/>
        <v>0</v>
      </c>
      <c r="AW34" s="47">
        <f t="shared" si="39"/>
        <v>0</v>
      </c>
      <c r="AX34" s="47">
        <f t="shared" si="40"/>
        <v>0</v>
      </c>
      <c r="AY34" s="47">
        <f t="shared" si="41"/>
        <v>0</v>
      </c>
      <c r="AZ34" s="47">
        <f t="shared" si="42"/>
        <v>0</v>
      </c>
      <c r="BA34" s="47">
        <f t="shared" si="43"/>
        <v>0</v>
      </c>
      <c r="BB34" s="47">
        <f t="shared" si="44"/>
        <v>0</v>
      </c>
      <c r="BC34" s="47">
        <f t="shared" si="45"/>
        <v>3</v>
      </c>
      <c r="BD34" s="47" t="b">
        <f t="shared" si="46"/>
        <v>0</v>
      </c>
      <c r="BE34" s="47" t="b">
        <f t="shared" si="47"/>
        <v>0</v>
      </c>
      <c r="BF34" s="47" t="b">
        <f t="shared" si="48"/>
        <v>0</v>
      </c>
      <c r="BG34" s="47" t="b">
        <f t="shared" si="49"/>
        <v>0</v>
      </c>
      <c r="BH34" s="47" t="b">
        <f t="shared" si="50"/>
        <v>0</v>
      </c>
      <c r="BI34" s="47" t="b">
        <f t="shared" si="51"/>
        <v>0</v>
      </c>
      <c r="BJ34" s="47" t="b">
        <f t="shared" si="52"/>
        <v>0</v>
      </c>
      <c r="BK34" s="69" t="b">
        <f t="shared" si="53"/>
        <v>0</v>
      </c>
      <c r="BL34" s="69" t="b">
        <f t="shared" si="54"/>
        <v>0</v>
      </c>
      <c r="BM34" s="69" t="b">
        <f t="shared" si="55"/>
        <v>0</v>
      </c>
      <c r="BN34" s="69" t="b">
        <f t="shared" si="56"/>
        <v>0</v>
      </c>
      <c r="BO34" s="69" t="b">
        <f t="shared" si="57"/>
        <v>0</v>
      </c>
      <c r="BP34" s="69" t="b">
        <f t="shared" si="58"/>
        <v>0</v>
      </c>
      <c r="BQ34" s="69" t="b">
        <f t="shared" si="59"/>
        <v>0</v>
      </c>
      <c r="BR34" s="69" t="b">
        <f t="shared" si="60"/>
        <v>0</v>
      </c>
      <c r="BS34" s="37" t="b">
        <f t="shared" si="61"/>
        <v>0</v>
      </c>
      <c r="BT34" s="37" t="b">
        <f t="shared" si="62"/>
        <v>0</v>
      </c>
    </row>
    <row r="35" spans="1:72" x14ac:dyDescent="0.25">
      <c r="A35" s="8">
        <v>34</v>
      </c>
      <c r="B35">
        <v>58263</v>
      </c>
      <c r="C35" s="7">
        <f>DATA!C300-DATA!E300</f>
        <v>146</v>
      </c>
      <c r="D35" s="7">
        <f>DATA!D300-DATA!F300</f>
        <v>1</v>
      </c>
      <c r="K35" s="47">
        <f t="shared" si="3"/>
        <v>0</v>
      </c>
      <c r="L35" s="47">
        <f t="shared" si="4"/>
        <v>0</v>
      </c>
      <c r="M35" s="47">
        <f t="shared" si="5"/>
        <v>0</v>
      </c>
      <c r="N35" s="48">
        <f t="shared" si="6"/>
        <v>0</v>
      </c>
      <c r="O35" s="48">
        <f t="shared" si="7"/>
        <v>0</v>
      </c>
      <c r="P35" s="48">
        <f t="shared" si="8"/>
        <v>0</v>
      </c>
      <c r="Q35" s="48">
        <f t="shared" si="9"/>
        <v>0</v>
      </c>
      <c r="R35" s="48">
        <f t="shared" si="10"/>
        <v>0</v>
      </c>
      <c r="S35" s="48">
        <f t="shared" si="11"/>
        <v>0</v>
      </c>
      <c r="T35" s="48">
        <f t="shared" si="12"/>
        <v>0</v>
      </c>
      <c r="U35" s="48">
        <f t="shared" si="13"/>
        <v>0</v>
      </c>
      <c r="V35" s="48">
        <f t="shared" si="14"/>
        <v>0</v>
      </c>
      <c r="W35" s="48">
        <f t="shared" si="15"/>
        <v>146</v>
      </c>
      <c r="X35" s="48" t="b">
        <f t="shared" si="16"/>
        <v>0</v>
      </c>
      <c r="Y35" s="48" t="b">
        <f t="shared" si="17"/>
        <v>0</v>
      </c>
      <c r="Z35" s="48" t="b">
        <f t="shared" si="18"/>
        <v>0</v>
      </c>
      <c r="AA35" s="48" t="b">
        <f t="shared" si="19"/>
        <v>0</v>
      </c>
      <c r="AB35" s="48" t="b">
        <f t="shared" si="20"/>
        <v>0</v>
      </c>
      <c r="AC35" s="48" t="b">
        <f t="shared" si="21"/>
        <v>0</v>
      </c>
      <c r="AD35" s="48" t="b">
        <f t="shared" si="22"/>
        <v>0</v>
      </c>
      <c r="AE35" s="48" t="b">
        <f t="shared" si="23"/>
        <v>0</v>
      </c>
      <c r="AF35" s="48" t="b">
        <f t="shared" si="24"/>
        <v>0</v>
      </c>
      <c r="AG35" s="48" t="b">
        <f t="shared" si="25"/>
        <v>0</v>
      </c>
      <c r="AH35" s="48" t="b">
        <f t="shared" si="26"/>
        <v>0</v>
      </c>
      <c r="AI35" s="48" t="b">
        <f t="shared" si="27"/>
        <v>0</v>
      </c>
      <c r="AJ35" s="48" t="b">
        <f t="shared" si="28"/>
        <v>0</v>
      </c>
      <c r="AK35" s="48" t="b">
        <f t="shared" si="29"/>
        <v>0</v>
      </c>
      <c r="AL35" s="48" t="b">
        <f t="shared" si="30"/>
        <v>0</v>
      </c>
      <c r="AM35" s="48" t="b">
        <f t="shared" si="31"/>
        <v>0</v>
      </c>
      <c r="AN35" s="48" t="b">
        <f t="shared" si="32"/>
        <v>0</v>
      </c>
      <c r="AO35" s="48"/>
      <c r="AQ35" s="47">
        <f t="shared" si="33"/>
        <v>0</v>
      </c>
      <c r="AR35" s="47">
        <f t="shared" si="34"/>
        <v>0</v>
      </c>
      <c r="AS35" s="47">
        <f t="shared" si="35"/>
        <v>0</v>
      </c>
      <c r="AT35" s="47">
        <f t="shared" si="36"/>
        <v>0</v>
      </c>
      <c r="AU35" s="47">
        <f t="shared" si="37"/>
        <v>0</v>
      </c>
      <c r="AV35" s="47">
        <f t="shared" si="38"/>
        <v>0</v>
      </c>
      <c r="AW35" s="47">
        <f t="shared" si="39"/>
        <v>0</v>
      </c>
      <c r="AX35" s="47">
        <f t="shared" si="40"/>
        <v>0</v>
      </c>
      <c r="AY35" s="47">
        <f t="shared" si="41"/>
        <v>0</v>
      </c>
      <c r="AZ35" s="47">
        <f t="shared" si="42"/>
        <v>0</v>
      </c>
      <c r="BA35" s="47">
        <f t="shared" si="43"/>
        <v>0</v>
      </c>
      <c r="BB35" s="47">
        <f t="shared" si="44"/>
        <v>0</v>
      </c>
      <c r="BC35" s="47">
        <f t="shared" si="45"/>
        <v>1</v>
      </c>
      <c r="BD35" s="47" t="b">
        <f t="shared" si="46"/>
        <v>0</v>
      </c>
      <c r="BE35" s="47" t="b">
        <f t="shared" si="47"/>
        <v>0</v>
      </c>
      <c r="BF35" s="47" t="b">
        <f t="shared" si="48"/>
        <v>0</v>
      </c>
      <c r="BG35" s="47" t="b">
        <f t="shared" si="49"/>
        <v>0</v>
      </c>
      <c r="BH35" s="47" t="b">
        <f t="shared" si="50"/>
        <v>0</v>
      </c>
      <c r="BI35" s="47" t="b">
        <f t="shared" si="51"/>
        <v>0</v>
      </c>
      <c r="BJ35" s="47" t="b">
        <f t="shared" si="52"/>
        <v>0</v>
      </c>
      <c r="BK35" s="69" t="b">
        <f t="shared" si="53"/>
        <v>0</v>
      </c>
      <c r="BL35" s="69" t="b">
        <f t="shared" si="54"/>
        <v>0</v>
      </c>
      <c r="BM35" s="69" t="b">
        <f t="shared" si="55"/>
        <v>0</v>
      </c>
      <c r="BN35" s="69" t="b">
        <f t="shared" si="56"/>
        <v>0</v>
      </c>
      <c r="BO35" s="69" t="b">
        <f t="shared" si="57"/>
        <v>0</v>
      </c>
      <c r="BP35" s="69" t="b">
        <f t="shared" si="58"/>
        <v>0</v>
      </c>
      <c r="BQ35" s="69" t="b">
        <f t="shared" si="59"/>
        <v>0</v>
      </c>
      <c r="BR35" s="69" t="b">
        <f t="shared" si="60"/>
        <v>0</v>
      </c>
      <c r="BS35" s="37" t="b">
        <f t="shared" si="61"/>
        <v>0</v>
      </c>
      <c r="BT35" s="37" t="b">
        <f t="shared" si="62"/>
        <v>0</v>
      </c>
    </row>
    <row r="36" spans="1:72" x14ac:dyDescent="0.25">
      <c r="A36" s="8">
        <v>35</v>
      </c>
      <c r="B36">
        <v>58602</v>
      </c>
      <c r="C36" s="7">
        <f>DATA!C210-DATA!E210</f>
        <v>-361</v>
      </c>
      <c r="D36" s="7">
        <f>DATA!D210-DATA!F210</f>
        <v>2</v>
      </c>
      <c r="K36" s="47">
        <f t="shared" si="3"/>
        <v>0</v>
      </c>
      <c r="L36" s="47">
        <f t="shared" si="4"/>
        <v>0</v>
      </c>
      <c r="M36" s="47">
        <f t="shared" si="5"/>
        <v>0</v>
      </c>
      <c r="N36" s="48">
        <f t="shared" si="6"/>
        <v>0</v>
      </c>
      <c r="O36" s="48">
        <f t="shared" si="7"/>
        <v>0</v>
      </c>
      <c r="P36" s="48">
        <f t="shared" si="8"/>
        <v>0</v>
      </c>
      <c r="Q36" s="48">
        <f t="shared" si="9"/>
        <v>0</v>
      </c>
      <c r="R36" s="48">
        <f t="shared" si="10"/>
        <v>0</v>
      </c>
      <c r="S36" s="48">
        <f t="shared" si="11"/>
        <v>0</v>
      </c>
      <c r="T36" s="48">
        <f t="shared" si="12"/>
        <v>0</v>
      </c>
      <c r="U36" s="48">
        <f t="shared" si="13"/>
        <v>0</v>
      </c>
      <c r="V36" s="48">
        <f t="shared" si="14"/>
        <v>0</v>
      </c>
      <c r="W36" s="48">
        <f t="shared" si="15"/>
        <v>0</v>
      </c>
      <c r="X36" s="48">
        <f t="shared" si="16"/>
        <v>-361</v>
      </c>
      <c r="Y36" s="48" t="b">
        <f t="shared" si="17"/>
        <v>0</v>
      </c>
      <c r="Z36" s="48" t="b">
        <f t="shared" si="18"/>
        <v>0</v>
      </c>
      <c r="AA36" s="48" t="b">
        <f t="shared" si="19"/>
        <v>0</v>
      </c>
      <c r="AB36" s="48" t="b">
        <f t="shared" si="20"/>
        <v>0</v>
      </c>
      <c r="AC36" s="48" t="b">
        <f t="shared" si="21"/>
        <v>0</v>
      </c>
      <c r="AD36" s="48" t="b">
        <f t="shared" si="22"/>
        <v>0</v>
      </c>
      <c r="AE36" s="48" t="b">
        <f t="shared" si="23"/>
        <v>0</v>
      </c>
      <c r="AF36" s="48" t="b">
        <f t="shared" si="24"/>
        <v>0</v>
      </c>
      <c r="AG36" s="48" t="b">
        <f t="shared" si="25"/>
        <v>0</v>
      </c>
      <c r="AH36" s="48" t="b">
        <f t="shared" si="26"/>
        <v>0</v>
      </c>
      <c r="AI36" s="48" t="b">
        <f t="shared" si="27"/>
        <v>0</v>
      </c>
      <c r="AJ36" s="48" t="b">
        <f t="shared" si="28"/>
        <v>0</v>
      </c>
      <c r="AK36" s="48" t="b">
        <f t="shared" si="29"/>
        <v>0</v>
      </c>
      <c r="AL36" s="48" t="b">
        <f t="shared" si="30"/>
        <v>0</v>
      </c>
      <c r="AM36" s="48" t="b">
        <f t="shared" si="31"/>
        <v>0</v>
      </c>
      <c r="AN36" s="48" t="b">
        <f t="shared" si="32"/>
        <v>0</v>
      </c>
      <c r="AO36" s="48"/>
      <c r="AQ36" s="47">
        <f t="shared" si="33"/>
        <v>0</v>
      </c>
      <c r="AR36" s="47">
        <f t="shared" si="34"/>
        <v>0</v>
      </c>
      <c r="AS36" s="47">
        <f t="shared" si="35"/>
        <v>0</v>
      </c>
      <c r="AT36" s="47">
        <f t="shared" si="36"/>
        <v>0</v>
      </c>
      <c r="AU36" s="47">
        <f t="shared" si="37"/>
        <v>0</v>
      </c>
      <c r="AV36" s="47">
        <f t="shared" si="38"/>
        <v>0</v>
      </c>
      <c r="AW36" s="47">
        <f t="shared" si="39"/>
        <v>0</v>
      </c>
      <c r="AX36" s="47">
        <f t="shared" si="40"/>
        <v>0</v>
      </c>
      <c r="AY36" s="47">
        <f t="shared" si="41"/>
        <v>0</v>
      </c>
      <c r="AZ36" s="47">
        <f t="shared" si="42"/>
        <v>0</v>
      </c>
      <c r="BA36" s="47">
        <f t="shared" si="43"/>
        <v>0</v>
      </c>
      <c r="BB36" s="47">
        <f t="shared" si="44"/>
        <v>0</v>
      </c>
      <c r="BC36" s="47">
        <f t="shared" si="45"/>
        <v>0</v>
      </c>
      <c r="BD36" s="47">
        <f t="shared" si="46"/>
        <v>2</v>
      </c>
      <c r="BE36" s="47" t="b">
        <f t="shared" si="47"/>
        <v>0</v>
      </c>
      <c r="BF36" s="47" t="b">
        <f t="shared" si="48"/>
        <v>0</v>
      </c>
      <c r="BG36" s="47" t="b">
        <f t="shared" si="49"/>
        <v>0</v>
      </c>
      <c r="BH36" s="47" t="b">
        <f t="shared" si="50"/>
        <v>0</v>
      </c>
      <c r="BI36" s="47" t="b">
        <f t="shared" si="51"/>
        <v>0</v>
      </c>
      <c r="BJ36" s="47" t="b">
        <f t="shared" si="52"/>
        <v>0</v>
      </c>
      <c r="BK36" s="69" t="b">
        <f t="shared" si="53"/>
        <v>0</v>
      </c>
      <c r="BL36" s="69" t="b">
        <f t="shared" si="54"/>
        <v>0</v>
      </c>
      <c r="BM36" s="69" t="b">
        <f t="shared" si="55"/>
        <v>0</v>
      </c>
      <c r="BN36" s="69" t="b">
        <f t="shared" si="56"/>
        <v>0</v>
      </c>
      <c r="BO36" s="69" t="b">
        <f t="shared" si="57"/>
        <v>0</v>
      </c>
      <c r="BP36" s="69" t="b">
        <f t="shared" si="58"/>
        <v>0</v>
      </c>
      <c r="BQ36" s="69" t="b">
        <f t="shared" si="59"/>
        <v>0</v>
      </c>
      <c r="BR36" s="69" t="b">
        <f t="shared" si="60"/>
        <v>0</v>
      </c>
      <c r="BS36" s="37" t="b">
        <f t="shared" si="61"/>
        <v>0</v>
      </c>
      <c r="BT36" s="37" t="b">
        <f t="shared" si="62"/>
        <v>0</v>
      </c>
    </row>
    <row r="37" spans="1:72" x14ac:dyDescent="0.25">
      <c r="A37" s="8">
        <v>36</v>
      </c>
      <c r="B37">
        <v>59067</v>
      </c>
      <c r="C37" s="7">
        <f>DATA!C309-DATA!E309</f>
        <v>-240</v>
      </c>
      <c r="D37" s="7">
        <f>DATA!D309-DATA!F309</f>
        <v>-4</v>
      </c>
      <c r="K37" s="47">
        <f t="shared" si="3"/>
        <v>0</v>
      </c>
      <c r="L37" s="47">
        <f t="shared" si="4"/>
        <v>0</v>
      </c>
      <c r="M37" s="47">
        <f t="shared" si="5"/>
        <v>0</v>
      </c>
      <c r="N37" s="48">
        <f t="shared" si="6"/>
        <v>0</v>
      </c>
      <c r="O37" s="48">
        <f t="shared" si="7"/>
        <v>0</v>
      </c>
      <c r="P37" s="48">
        <f t="shared" si="8"/>
        <v>0</v>
      </c>
      <c r="Q37" s="48">
        <f t="shared" si="9"/>
        <v>0</v>
      </c>
      <c r="R37" s="48">
        <f t="shared" si="10"/>
        <v>0</v>
      </c>
      <c r="S37" s="48">
        <f t="shared" si="11"/>
        <v>0</v>
      </c>
      <c r="T37" s="48">
        <f t="shared" si="12"/>
        <v>0</v>
      </c>
      <c r="U37" s="48">
        <f t="shared" si="13"/>
        <v>0</v>
      </c>
      <c r="V37" s="48">
        <f t="shared" si="14"/>
        <v>0</v>
      </c>
      <c r="W37" s="48">
        <f t="shared" si="15"/>
        <v>0</v>
      </c>
      <c r="X37" s="48">
        <f t="shared" si="16"/>
        <v>-240</v>
      </c>
      <c r="Y37" s="48" t="b">
        <f t="shared" si="17"/>
        <v>0</v>
      </c>
      <c r="Z37" s="48" t="b">
        <f t="shared" si="18"/>
        <v>0</v>
      </c>
      <c r="AA37" s="48" t="b">
        <f t="shared" si="19"/>
        <v>0</v>
      </c>
      <c r="AB37" s="48" t="b">
        <f t="shared" si="20"/>
        <v>0</v>
      </c>
      <c r="AC37" s="48" t="b">
        <f t="shared" si="21"/>
        <v>0</v>
      </c>
      <c r="AD37" s="48" t="b">
        <f t="shared" si="22"/>
        <v>0</v>
      </c>
      <c r="AE37" s="48" t="b">
        <f t="shared" si="23"/>
        <v>0</v>
      </c>
      <c r="AF37" s="48" t="b">
        <f t="shared" si="24"/>
        <v>0</v>
      </c>
      <c r="AG37" s="48" t="b">
        <f t="shared" si="25"/>
        <v>0</v>
      </c>
      <c r="AH37" s="48" t="b">
        <f t="shared" si="26"/>
        <v>0</v>
      </c>
      <c r="AI37" s="48" t="b">
        <f t="shared" si="27"/>
        <v>0</v>
      </c>
      <c r="AJ37" s="48" t="b">
        <f t="shared" si="28"/>
        <v>0</v>
      </c>
      <c r="AK37" s="48" t="b">
        <f t="shared" si="29"/>
        <v>0</v>
      </c>
      <c r="AL37" s="48" t="b">
        <f t="shared" si="30"/>
        <v>0</v>
      </c>
      <c r="AM37" s="48" t="b">
        <f t="shared" si="31"/>
        <v>0</v>
      </c>
      <c r="AN37" s="48" t="b">
        <f t="shared" si="32"/>
        <v>0</v>
      </c>
      <c r="AO37" s="48"/>
      <c r="AQ37" s="47">
        <f t="shared" si="33"/>
        <v>0</v>
      </c>
      <c r="AR37" s="47">
        <f t="shared" si="34"/>
        <v>0</v>
      </c>
      <c r="AS37" s="47">
        <f t="shared" si="35"/>
        <v>0</v>
      </c>
      <c r="AT37" s="47">
        <f t="shared" si="36"/>
        <v>0</v>
      </c>
      <c r="AU37" s="47">
        <f t="shared" si="37"/>
        <v>0</v>
      </c>
      <c r="AV37" s="47">
        <f t="shared" si="38"/>
        <v>0</v>
      </c>
      <c r="AW37" s="47">
        <f t="shared" si="39"/>
        <v>0</v>
      </c>
      <c r="AX37" s="47">
        <f t="shared" si="40"/>
        <v>0</v>
      </c>
      <c r="AY37" s="47">
        <f t="shared" si="41"/>
        <v>0</v>
      </c>
      <c r="AZ37" s="47">
        <f t="shared" si="42"/>
        <v>0</v>
      </c>
      <c r="BA37" s="47">
        <f t="shared" si="43"/>
        <v>0</v>
      </c>
      <c r="BB37" s="47">
        <f t="shared" si="44"/>
        <v>0</v>
      </c>
      <c r="BC37" s="47">
        <f t="shared" si="45"/>
        <v>0</v>
      </c>
      <c r="BD37" s="47">
        <f t="shared" si="46"/>
        <v>-4</v>
      </c>
      <c r="BE37" s="47" t="b">
        <f t="shared" si="47"/>
        <v>0</v>
      </c>
      <c r="BF37" s="47" t="b">
        <f t="shared" si="48"/>
        <v>0</v>
      </c>
      <c r="BG37" s="47" t="b">
        <f t="shared" si="49"/>
        <v>0</v>
      </c>
      <c r="BH37" s="47" t="b">
        <f t="shared" si="50"/>
        <v>0</v>
      </c>
      <c r="BI37" s="47" t="b">
        <f t="shared" si="51"/>
        <v>0</v>
      </c>
      <c r="BJ37" s="47" t="b">
        <f t="shared" si="52"/>
        <v>0</v>
      </c>
      <c r="BK37" s="69" t="b">
        <f t="shared" si="53"/>
        <v>0</v>
      </c>
      <c r="BL37" s="69" t="b">
        <f t="shared" si="54"/>
        <v>0</v>
      </c>
      <c r="BM37" s="69" t="b">
        <f t="shared" si="55"/>
        <v>0</v>
      </c>
      <c r="BN37" s="69" t="b">
        <f t="shared" si="56"/>
        <v>0</v>
      </c>
      <c r="BO37" s="69" t="b">
        <f t="shared" si="57"/>
        <v>0</v>
      </c>
      <c r="BP37" s="69" t="b">
        <f t="shared" si="58"/>
        <v>0</v>
      </c>
      <c r="BQ37" s="69" t="b">
        <f t="shared" si="59"/>
        <v>0</v>
      </c>
      <c r="BR37" s="69" t="b">
        <f t="shared" si="60"/>
        <v>0</v>
      </c>
      <c r="BS37" s="37" t="b">
        <f t="shared" si="61"/>
        <v>0</v>
      </c>
      <c r="BT37" s="37" t="b">
        <f t="shared" si="62"/>
        <v>0</v>
      </c>
    </row>
    <row r="38" spans="1:72" x14ac:dyDescent="0.25">
      <c r="A38" s="8">
        <v>37</v>
      </c>
      <c r="B38">
        <v>59611</v>
      </c>
      <c r="C38" s="7">
        <f>DATA!C318-DATA!E318</f>
        <v>-51</v>
      </c>
      <c r="D38" s="7">
        <f>DATA!D318-DATA!F318</f>
        <v>-2</v>
      </c>
      <c r="K38" s="47">
        <f t="shared" si="3"/>
        <v>0</v>
      </c>
      <c r="L38" s="47">
        <f t="shared" si="4"/>
        <v>0</v>
      </c>
      <c r="M38" s="47">
        <f t="shared" si="5"/>
        <v>0</v>
      </c>
      <c r="N38" s="48">
        <f t="shared" si="6"/>
        <v>0</v>
      </c>
      <c r="O38" s="48">
        <f t="shared" si="7"/>
        <v>0</v>
      </c>
      <c r="P38" s="48">
        <f t="shared" si="8"/>
        <v>0</v>
      </c>
      <c r="Q38" s="48">
        <f t="shared" si="9"/>
        <v>0</v>
      </c>
      <c r="R38" s="48">
        <f t="shared" si="10"/>
        <v>0</v>
      </c>
      <c r="S38" s="48">
        <f t="shared" si="11"/>
        <v>0</v>
      </c>
      <c r="T38" s="48">
        <f t="shared" si="12"/>
        <v>0</v>
      </c>
      <c r="U38" s="48">
        <f t="shared" si="13"/>
        <v>0</v>
      </c>
      <c r="V38" s="48">
        <f t="shared" si="14"/>
        <v>0</v>
      </c>
      <c r="W38" s="48">
        <f t="shared" si="15"/>
        <v>0</v>
      </c>
      <c r="X38" s="48">
        <f t="shared" si="16"/>
        <v>0</v>
      </c>
      <c r="Y38" s="48">
        <f t="shared" si="17"/>
        <v>-51</v>
      </c>
      <c r="Z38" s="48" t="b">
        <f t="shared" si="18"/>
        <v>0</v>
      </c>
      <c r="AA38" s="48" t="b">
        <f t="shared" si="19"/>
        <v>0</v>
      </c>
      <c r="AB38" s="48" t="b">
        <f t="shared" si="20"/>
        <v>0</v>
      </c>
      <c r="AC38" s="48" t="b">
        <f t="shared" si="21"/>
        <v>0</v>
      </c>
      <c r="AD38" s="48" t="b">
        <f t="shared" si="22"/>
        <v>0</v>
      </c>
      <c r="AE38" s="48" t="b">
        <f t="shared" si="23"/>
        <v>0</v>
      </c>
      <c r="AF38" s="48" t="b">
        <f t="shared" si="24"/>
        <v>0</v>
      </c>
      <c r="AG38" s="48" t="b">
        <f t="shared" si="25"/>
        <v>0</v>
      </c>
      <c r="AH38" s="48" t="b">
        <f t="shared" si="26"/>
        <v>0</v>
      </c>
      <c r="AI38" s="48" t="b">
        <f t="shared" si="27"/>
        <v>0</v>
      </c>
      <c r="AJ38" s="48" t="b">
        <f t="shared" si="28"/>
        <v>0</v>
      </c>
      <c r="AK38" s="48" t="b">
        <f t="shared" si="29"/>
        <v>0</v>
      </c>
      <c r="AL38" s="48" t="b">
        <f t="shared" si="30"/>
        <v>0</v>
      </c>
      <c r="AM38" s="48" t="b">
        <f t="shared" si="31"/>
        <v>0</v>
      </c>
      <c r="AN38" s="48" t="b">
        <f t="shared" si="32"/>
        <v>0</v>
      </c>
      <c r="AO38" s="48"/>
      <c r="AQ38" s="47">
        <f t="shared" si="33"/>
        <v>0</v>
      </c>
      <c r="AR38" s="47">
        <f t="shared" si="34"/>
        <v>0</v>
      </c>
      <c r="AS38" s="47">
        <f t="shared" si="35"/>
        <v>0</v>
      </c>
      <c r="AT38" s="47">
        <f t="shared" si="36"/>
        <v>0</v>
      </c>
      <c r="AU38" s="47">
        <f t="shared" si="37"/>
        <v>0</v>
      </c>
      <c r="AV38" s="47">
        <f t="shared" si="38"/>
        <v>0</v>
      </c>
      <c r="AW38" s="47">
        <f t="shared" si="39"/>
        <v>0</v>
      </c>
      <c r="AX38" s="47">
        <f t="shared" si="40"/>
        <v>0</v>
      </c>
      <c r="AY38" s="47">
        <f t="shared" si="41"/>
        <v>0</v>
      </c>
      <c r="AZ38" s="47">
        <f t="shared" si="42"/>
        <v>0</v>
      </c>
      <c r="BA38" s="47">
        <f t="shared" si="43"/>
        <v>0</v>
      </c>
      <c r="BB38" s="47">
        <f t="shared" si="44"/>
        <v>0</v>
      </c>
      <c r="BC38" s="47">
        <f t="shared" si="45"/>
        <v>0</v>
      </c>
      <c r="BD38" s="47">
        <f t="shared" si="46"/>
        <v>0</v>
      </c>
      <c r="BE38" s="47">
        <f t="shared" si="47"/>
        <v>-2</v>
      </c>
      <c r="BF38" s="47" t="b">
        <f t="shared" si="48"/>
        <v>0</v>
      </c>
      <c r="BG38" s="47" t="b">
        <f t="shared" si="49"/>
        <v>0</v>
      </c>
      <c r="BH38" s="47" t="b">
        <f t="shared" si="50"/>
        <v>0</v>
      </c>
      <c r="BI38" s="47" t="b">
        <f t="shared" si="51"/>
        <v>0</v>
      </c>
      <c r="BJ38" s="47" t="b">
        <f t="shared" si="52"/>
        <v>0</v>
      </c>
      <c r="BK38" s="69" t="b">
        <f t="shared" si="53"/>
        <v>0</v>
      </c>
      <c r="BL38" s="69" t="b">
        <f t="shared" si="54"/>
        <v>0</v>
      </c>
      <c r="BM38" s="69" t="b">
        <f t="shared" si="55"/>
        <v>0</v>
      </c>
      <c r="BN38" s="69" t="b">
        <f t="shared" si="56"/>
        <v>0</v>
      </c>
      <c r="BO38" s="69" t="b">
        <f t="shared" si="57"/>
        <v>0</v>
      </c>
      <c r="BP38" s="69" t="b">
        <f t="shared" si="58"/>
        <v>0</v>
      </c>
      <c r="BQ38" s="69" t="b">
        <f t="shared" si="59"/>
        <v>0</v>
      </c>
      <c r="BR38" s="69" t="b">
        <f t="shared" si="60"/>
        <v>0</v>
      </c>
      <c r="BS38" s="37" t="b">
        <f t="shared" si="61"/>
        <v>0</v>
      </c>
      <c r="BT38" s="37" t="b">
        <f t="shared" si="62"/>
        <v>0</v>
      </c>
    </row>
    <row r="39" spans="1:72" x14ac:dyDescent="0.25">
      <c r="A39" s="8">
        <v>38</v>
      </c>
      <c r="B39">
        <v>59782</v>
      </c>
      <c r="C39" s="7">
        <f>DATA!C327-DATA!E327</f>
        <v>73</v>
      </c>
      <c r="D39" s="7">
        <f>DATA!D327-DATA!F327</f>
        <v>5</v>
      </c>
      <c r="K39" s="47">
        <f t="shared" si="3"/>
        <v>0</v>
      </c>
      <c r="L39" s="47">
        <f t="shared" si="4"/>
        <v>0</v>
      </c>
      <c r="M39" s="47">
        <f t="shared" si="5"/>
        <v>0</v>
      </c>
      <c r="N39" s="48">
        <f t="shared" si="6"/>
        <v>0</v>
      </c>
      <c r="O39" s="48">
        <f t="shared" si="7"/>
        <v>0</v>
      </c>
      <c r="P39" s="48">
        <f t="shared" si="8"/>
        <v>0</v>
      </c>
      <c r="Q39" s="48">
        <f t="shared" si="9"/>
        <v>0</v>
      </c>
      <c r="R39" s="48">
        <f t="shared" si="10"/>
        <v>0</v>
      </c>
      <c r="S39" s="48">
        <f t="shared" si="11"/>
        <v>0</v>
      </c>
      <c r="T39" s="48">
        <f t="shared" si="12"/>
        <v>0</v>
      </c>
      <c r="U39" s="48">
        <f t="shared" si="13"/>
        <v>0</v>
      </c>
      <c r="V39" s="48">
        <f t="shared" si="14"/>
        <v>0</v>
      </c>
      <c r="W39" s="48">
        <f t="shared" si="15"/>
        <v>0</v>
      </c>
      <c r="X39" s="48">
        <f t="shared" si="16"/>
        <v>0</v>
      </c>
      <c r="Y39" s="48">
        <f t="shared" si="17"/>
        <v>73</v>
      </c>
      <c r="Z39" s="48" t="b">
        <f t="shared" si="18"/>
        <v>0</v>
      </c>
      <c r="AA39" s="48" t="b">
        <f t="shared" si="19"/>
        <v>0</v>
      </c>
      <c r="AB39" s="48" t="b">
        <f t="shared" si="20"/>
        <v>0</v>
      </c>
      <c r="AC39" s="48" t="b">
        <f t="shared" si="21"/>
        <v>0</v>
      </c>
      <c r="AD39" s="48" t="b">
        <f t="shared" si="22"/>
        <v>0</v>
      </c>
      <c r="AE39" s="48" t="b">
        <f t="shared" si="23"/>
        <v>0</v>
      </c>
      <c r="AF39" s="48" t="b">
        <f t="shared" si="24"/>
        <v>0</v>
      </c>
      <c r="AG39" s="48" t="b">
        <f t="shared" si="25"/>
        <v>0</v>
      </c>
      <c r="AH39" s="48" t="b">
        <f t="shared" si="26"/>
        <v>0</v>
      </c>
      <c r="AI39" s="48" t="b">
        <f t="shared" si="27"/>
        <v>0</v>
      </c>
      <c r="AJ39" s="48" t="b">
        <f t="shared" si="28"/>
        <v>0</v>
      </c>
      <c r="AK39" s="48" t="b">
        <f t="shared" si="29"/>
        <v>0</v>
      </c>
      <c r="AL39" s="48" t="b">
        <f t="shared" si="30"/>
        <v>0</v>
      </c>
      <c r="AM39" s="48" t="b">
        <f t="shared" si="31"/>
        <v>0</v>
      </c>
      <c r="AN39" s="48" t="b">
        <f t="shared" si="32"/>
        <v>0</v>
      </c>
      <c r="AO39" s="48"/>
      <c r="AQ39" s="47">
        <f t="shared" si="33"/>
        <v>0</v>
      </c>
      <c r="AR39" s="47">
        <f t="shared" si="34"/>
        <v>0</v>
      </c>
      <c r="AS39" s="47">
        <f t="shared" si="35"/>
        <v>0</v>
      </c>
      <c r="AT39" s="47">
        <f t="shared" si="36"/>
        <v>0</v>
      </c>
      <c r="AU39" s="47">
        <f t="shared" si="37"/>
        <v>0</v>
      </c>
      <c r="AV39" s="47">
        <f t="shared" si="38"/>
        <v>0</v>
      </c>
      <c r="AW39" s="47">
        <f t="shared" si="39"/>
        <v>0</v>
      </c>
      <c r="AX39" s="47">
        <f t="shared" si="40"/>
        <v>0</v>
      </c>
      <c r="AY39" s="47">
        <f t="shared" si="41"/>
        <v>0</v>
      </c>
      <c r="AZ39" s="47">
        <f t="shared" si="42"/>
        <v>0</v>
      </c>
      <c r="BA39" s="47">
        <f t="shared" si="43"/>
        <v>0</v>
      </c>
      <c r="BB39" s="47">
        <f t="shared" si="44"/>
        <v>0</v>
      </c>
      <c r="BC39" s="47">
        <f t="shared" si="45"/>
        <v>0</v>
      </c>
      <c r="BD39" s="47">
        <f t="shared" si="46"/>
        <v>0</v>
      </c>
      <c r="BE39" s="47">
        <f t="shared" si="47"/>
        <v>5</v>
      </c>
      <c r="BF39" s="47" t="b">
        <f t="shared" si="48"/>
        <v>0</v>
      </c>
      <c r="BG39" s="47" t="b">
        <f t="shared" si="49"/>
        <v>0</v>
      </c>
      <c r="BH39" s="47" t="b">
        <f t="shared" si="50"/>
        <v>0</v>
      </c>
      <c r="BI39" s="47" t="b">
        <f t="shared" si="51"/>
        <v>0</v>
      </c>
      <c r="BJ39" s="47" t="b">
        <f t="shared" si="52"/>
        <v>0</v>
      </c>
      <c r="BK39" s="69" t="b">
        <f t="shared" si="53"/>
        <v>0</v>
      </c>
      <c r="BL39" s="69" t="b">
        <f t="shared" si="54"/>
        <v>0</v>
      </c>
      <c r="BM39" s="69" t="b">
        <f t="shared" si="55"/>
        <v>0</v>
      </c>
      <c r="BN39" s="69" t="b">
        <f t="shared" si="56"/>
        <v>0</v>
      </c>
      <c r="BO39" s="69" t="b">
        <f t="shared" si="57"/>
        <v>0</v>
      </c>
      <c r="BP39" s="69" t="b">
        <f t="shared" si="58"/>
        <v>0</v>
      </c>
      <c r="BQ39" s="69" t="b">
        <f t="shared" si="59"/>
        <v>0</v>
      </c>
      <c r="BR39" s="69" t="b">
        <f t="shared" si="60"/>
        <v>0</v>
      </c>
      <c r="BS39" s="37" t="b">
        <f t="shared" si="61"/>
        <v>0</v>
      </c>
      <c r="BT39" s="37" t="b">
        <f t="shared" si="62"/>
        <v>0</v>
      </c>
    </row>
    <row r="40" spans="1:72" x14ac:dyDescent="0.25">
      <c r="A40" s="8">
        <v>39</v>
      </c>
      <c r="B40">
        <v>59999</v>
      </c>
      <c r="C40" s="7">
        <f>DATA!C336-DATA!E336</f>
        <v>583</v>
      </c>
      <c r="D40" s="7">
        <f>DATA!D336-DATA!F336</f>
        <v>-5</v>
      </c>
      <c r="K40" s="47">
        <f t="shared" si="3"/>
        <v>0</v>
      </c>
      <c r="L40" s="47">
        <f t="shared" si="4"/>
        <v>0</v>
      </c>
      <c r="M40" s="47">
        <f t="shared" si="5"/>
        <v>0</v>
      </c>
      <c r="N40" s="48">
        <f t="shared" si="6"/>
        <v>0</v>
      </c>
      <c r="O40" s="48">
        <f t="shared" si="7"/>
        <v>0</v>
      </c>
      <c r="P40" s="48">
        <f t="shared" si="8"/>
        <v>0</v>
      </c>
      <c r="Q40" s="48">
        <f t="shared" si="9"/>
        <v>0</v>
      </c>
      <c r="R40" s="48">
        <f t="shared" si="10"/>
        <v>0</v>
      </c>
      <c r="S40" s="48">
        <f t="shared" si="11"/>
        <v>0</v>
      </c>
      <c r="T40" s="48">
        <f t="shared" si="12"/>
        <v>0</v>
      </c>
      <c r="U40" s="48">
        <f t="shared" si="13"/>
        <v>0</v>
      </c>
      <c r="V40" s="48">
        <f t="shared" si="14"/>
        <v>0</v>
      </c>
      <c r="W40" s="48">
        <f t="shared" si="15"/>
        <v>0</v>
      </c>
      <c r="X40" s="48">
        <f t="shared" si="16"/>
        <v>0</v>
      </c>
      <c r="Y40" s="48">
        <f t="shared" si="17"/>
        <v>583</v>
      </c>
      <c r="Z40" s="48" t="b">
        <f t="shared" si="18"/>
        <v>0</v>
      </c>
      <c r="AA40" s="48" t="b">
        <f t="shared" si="19"/>
        <v>0</v>
      </c>
      <c r="AB40" s="48" t="b">
        <f t="shared" si="20"/>
        <v>0</v>
      </c>
      <c r="AC40" s="48" t="b">
        <f t="shared" si="21"/>
        <v>0</v>
      </c>
      <c r="AD40" s="48" t="b">
        <f t="shared" si="22"/>
        <v>0</v>
      </c>
      <c r="AE40" s="48" t="b">
        <f t="shared" si="23"/>
        <v>0</v>
      </c>
      <c r="AF40" s="48" t="b">
        <f t="shared" si="24"/>
        <v>0</v>
      </c>
      <c r="AG40" s="48" t="b">
        <f t="shared" si="25"/>
        <v>0</v>
      </c>
      <c r="AH40" s="48" t="b">
        <f t="shared" si="26"/>
        <v>0</v>
      </c>
      <c r="AI40" s="48" t="b">
        <f t="shared" si="27"/>
        <v>0</v>
      </c>
      <c r="AJ40" s="48" t="b">
        <f t="shared" si="28"/>
        <v>0</v>
      </c>
      <c r="AK40" s="48" t="b">
        <f t="shared" si="29"/>
        <v>0</v>
      </c>
      <c r="AL40" s="48" t="b">
        <f t="shared" si="30"/>
        <v>0</v>
      </c>
      <c r="AM40" s="48" t="b">
        <f t="shared" si="31"/>
        <v>0</v>
      </c>
      <c r="AN40" s="48" t="b">
        <f t="shared" si="32"/>
        <v>0</v>
      </c>
      <c r="AO40" s="48"/>
      <c r="AQ40" s="47">
        <f t="shared" si="33"/>
        <v>0</v>
      </c>
      <c r="AR40" s="47">
        <f t="shared" si="34"/>
        <v>0</v>
      </c>
      <c r="AS40" s="47">
        <f t="shared" si="35"/>
        <v>0</v>
      </c>
      <c r="AT40" s="47">
        <f t="shared" si="36"/>
        <v>0</v>
      </c>
      <c r="AU40" s="47">
        <f t="shared" si="37"/>
        <v>0</v>
      </c>
      <c r="AV40" s="47">
        <f t="shared" si="38"/>
        <v>0</v>
      </c>
      <c r="AW40" s="47">
        <f t="shared" si="39"/>
        <v>0</v>
      </c>
      <c r="AX40" s="47">
        <f t="shared" si="40"/>
        <v>0</v>
      </c>
      <c r="AY40" s="47">
        <f t="shared" si="41"/>
        <v>0</v>
      </c>
      <c r="AZ40" s="47">
        <f t="shared" si="42"/>
        <v>0</v>
      </c>
      <c r="BA40" s="47">
        <f t="shared" si="43"/>
        <v>0</v>
      </c>
      <c r="BB40" s="47">
        <f t="shared" si="44"/>
        <v>0</v>
      </c>
      <c r="BC40" s="47">
        <f t="shared" si="45"/>
        <v>0</v>
      </c>
      <c r="BD40" s="47">
        <f t="shared" si="46"/>
        <v>0</v>
      </c>
      <c r="BE40" s="47">
        <f t="shared" si="47"/>
        <v>-5</v>
      </c>
      <c r="BF40" s="47" t="b">
        <f t="shared" si="48"/>
        <v>0</v>
      </c>
      <c r="BG40" s="47" t="b">
        <f t="shared" si="49"/>
        <v>0</v>
      </c>
      <c r="BH40" s="47" t="b">
        <f t="shared" si="50"/>
        <v>0</v>
      </c>
      <c r="BI40" s="47" t="b">
        <f t="shared" si="51"/>
        <v>0</v>
      </c>
      <c r="BJ40" s="47" t="b">
        <f t="shared" si="52"/>
        <v>0</v>
      </c>
      <c r="BK40" s="69" t="b">
        <f t="shared" si="53"/>
        <v>0</v>
      </c>
      <c r="BL40" s="69" t="b">
        <f t="shared" si="54"/>
        <v>0</v>
      </c>
      <c r="BM40" s="69" t="b">
        <f t="shared" si="55"/>
        <v>0</v>
      </c>
      <c r="BN40" s="69" t="b">
        <f t="shared" si="56"/>
        <v>0</v>
      </c>
      <c r="BO40" s="69" t="b">
        <f t="shared" si="57"/>
        <v>0</v>
      </c>
      <c r="BP40" s="69" t="b">
        <f t="shared" si="58"/>
        <v>0</v>
      </c>
      <c r="BQ40" s="69" t="b">
        <f t="shared" si="59"/>
        <v>0</v>
      </c>
      <c r="BR40" s="69" t="b">
        <f t="shared" si="60"/>
        <v>0</v>
      </c>
      <c r="BS40" s="37" t="b">
        <f t="shared" si="61"/>
        <v>0</v>
      </c>
      <c r="BT40" s="37" t="b">
        <f t="shared" si="62"/>
        <v>0</v>
      </c>
    </row>
    <row r="41" spans="1:72" x14ac:dyDescent="0.25">
      <c r="A41" s="8">
        <v>40</v>
      </c>
      <c r="B41">
        <v>60422</v>
      </c>
      <c r="C41" s="7">
        <f>DATA!C183-DATA!E183</f>
        <v>-1127</v>
      </c>
      <c r="D41" s="7">
        <f>DATA!D183-DATA!F183</f>
        <v>-6</v>
      </c>
      <c r="K41" s="47">
        <f t="shared" si="3"/>
        <v>0</v>
      </c>
      <c r="L41" s="47">
        <f t="shared" si="4"/>
        <v>0</v>
      </c>
      <c r="M41" s="47">
        <f t="shared" si="5"/>
        <v>0</v>
      </c>
      <c r="N41" s="48">
        <f t="shared" si="6"/>
        <v>0</v>
      </c>
      <c r="O41" s="48">
        <f t="shared" si="7"/>
        <v>0</v>
      </c>
      <c r="P41" s="48">
        <f t="shared" si="8"/>
        <v>0</v>
      </c>
      <c r="Q41" s="48">
        <f t="shared" si="9"/>
        <v>0</v>
      </c>
      <c r="R41" s="48">
        <f t="shared" si="10"/>
        <v>0</v>
      </c>
      <c r="S41" s="48">
        <f t="shared" si="11"/>
        <v>0</v>
      </c>
      <c r="T41" s="48">
        <f t="shared" si="12"/>
        <v>0</v>
      </c>
      <c r="U41" s="48">
        <f t="shared" si="13"/>
        <v>0</v>
      </c>
      <c r="V41" s="48">
        <f t="shared" si="14"/>
        <v>0</v>
      </c>
      <c r="W41" s="48">
        <f t="shared" si="15"/>
        <v>0</v>
      </c>
      <c r="X41" s="48">
        <f t="shared" si="16"/>
        <v>0</v>
      </c>
      <c r="Y41" s="48">
        <f t="shared" si="17"/>
        <v>0</v>
      </c>
      <c r="Z41" s="48">
        <f t="shared" si="18"/>
        <v>-1127</v>
      </c>
      <c r="AA41" s="48" t="b">
        <f t="shared" si="19"/>
        <v>0</v>
      </c>
      <c r="AB41" s="48" t="b">
        <f t="shared" si="20"/>
        <v>0</v>
      </c>
      <c r="AC41" s="48" t="b">
        <f t="shared" si="21"/>
        <v>0</v>
      </c>
      <c r="AD41" s="48" t="b">
        <f t="shared" si="22"/>
        <v>0</v>
      </c>
      <c r="AE41" s="48" t="b">
        <f t="shared" si="23"/>
        <v>0</v>
      </c>
      <c r="AF41" s="48" t="b">
        <f t="shared" si="24"/>
        <v>0</v>
      </c>
      <c r="AG41" s="48" t="b">
        <f t="shared" si="25"/>
        <v>0</v>
      </c>
      <c r="AH41" s="48" t="b">
        <f t="shared" si="26"/>
        <v>0</v>
      </c>
      <c r="AI41" s="48" t="b">
        <f t="shared" si="27"/>
        <v>0</v>
      </c>
      <c r="AJ41" s="48" t="b">
        <f t="shared" si="28"/>
        <v>0</v>
      </c>
      <c r="AK41" s="48" t="b">
        <f t="shared" si="29"/>
        <v>0</v>
      </c>
      <c r="AL41" s="48" t="b">
        <f t="shared" si="30"/>
        <v>0</v>
      </c>
      <c r="AM41" s="48" t="b">
        <f t="shared" si="31"/>
        <v>0</v>
      </c>
      <c r="AN41" s="48" t="b">
        <f t="shared" si="32"/>
        <v>0</v>
      </c>
      <c r="AO41" s="48"/>
      <c r="AQ41" s="47">
        <f t="shared" si="33"/>
        <v>0</v>
      </c>
      <c r="AR41" s="47">
        <f t="shared" si="34"/>
        <v>0</v>
      </c>
      <c r="AS41" s="47">
        <f t="shared" si="35"/>
        <v>0</v>
      </c>
      <c r="AT41" s="47">
        <f t="shared" si="36"/>
        <v>0</v>
      </c>
      <c r="AU41" s="47">
        <f t="shared" si="37"/>
        <v>0</v>
      </c>
      <c r="AV41" s="47">
        <f t="shared" si="38"/>
        <v>0</v>
      </c>
      <c r="AW41" s="47">
        <f t="shared" si="39"/>
        <v>0</v>
      </c>
      <c r="AX41" s="47">
        <f t="shared" si="40"/>
        <v>0</v>
      </c>
      <c r="AY41" s="47">
        <f t="shared" si="41"/>
        <v>0</v>
      </c>
      <c r="AZ41" s="47">
        <f t="shared" si="42"/>
        <v>0</v>
      </c>
      <c r="BA41" s="47">
        <f t="shared" si="43"/>
        <v>0</v>
      </c>
      <c r="BB41" s="47">
        <f t="shared" si="44"/>
        <v>0</v>
      </c>
      <c r="BC41" s="47">
        <f t="shared" si="45"/>
        <v>0</v>
      </c>
      <c r="BD41" s="47">
        <f t="shared" si="46"/>
        <v>0</v>
      </c>
      <c r="BE41" s="47">
        <f t="shared" si="47"/>
        <v>0</v>
      </c>
      <c r="BF41" s="47">
        <f t="shared" si="48"/>
        <v>-6</v>
      </c>
      <c r="BG41" s="47" t="b">
        <f t="shared" si="49"/>
        <v>0</v>
      </c>
      <c r="BH41" s="47" t="b">
        <f t="shared" si="50"/>
        <v>0</v>
      </c>
      <c r="BI41" s="47" t="b">
        <f t="shared" si="51"/>
        <v>0</v>
      </c>
      <c r="BJ41" s="47" t="b">
        <f t="shared" si="52"/>
        <v>0</v>
      </c>
      <c r="BK41" s="69" t="b">
        <f t="shared" si="53"/>
        <v>0</v>
      </c>
      <c r="BL41" s="69" t="b">
        <f t="shared" si="54"/>
        <v>0</v>
      </c>
      <c r="BM41" s="69" t="b">
        <f t="shared" si="55"/>
        <v>0</v>
      </c>
      <c r="BN41" s="69" t="b">
        <f t="shared" si="56"/>
        <v>0</v>
      </c>
      <c r="BO41" s="69" t="b">
        <f t="shared" si="57"/>
        <v>0</v>
      </c>
      <c r="BP41" s="69" t="b">
        <f t="shared" si="58"/>
        <v>0</v>
      </c>
      <c r="BQ41" s="69" t="b">
        <f t="shared" si="59"/>
        <v>0</v>
      </c>
      <c r="BR41" s="69" t="b">
        <f t="shared" si="60"/>
        <v>0</v>
      </c>
      <c r="BS41" s="37" t="b">
        <f t="shared" si="61"/>
        <v>0</v>
      </c>
      <c r="BT41" s="37" t="b">
        <f t="shared" si="62"/>
        <v>0</v>
      </c>
    </row>
    <row r="42" spans="1:72" x14ac:dyDescent="0.25">
      <c r="A42" s="8">
        <v>41</v>
      </c>
      <c r="B42">
        <v>60553</v>
      </c>
      <c r="C42" s="7">
        <f>DATA!C3-DATA!E3</f>
        <v>974</v>
      </c>
      <c r="D42" s="7">
        <f>DATA!D3-DATA!F3</f>
        <v>-11</v>
      </c>
      <c r="K42" s="47">
        <f t="shared" si="3"/>
        <v>0</v>
      </c>
      <c r="L42" s="47">
        <f t="shared" si="4"/>
        <v>0</v>
      </c>
      <c r="M42" s="47">
        <f t="shared" si="5"/>
        <v>0</v>
      </c>
      <c r="N42" s="48">
        <f t="shared" si="6"/>
        <v>0</v>
      </c>
      <c r="O42" s="48">
        <f t="shared" si="7"/>
        <v>0</v>
      </c>
      <c r="P42" s="48">
        <f t="shared" si="8"/>
        <v>0</v>
      </c>
      <c r="Q42" s="48">
        <f t="shared" si="9"/>
        <v>0</v>
      </c>
      <c r="R42" s="48">
        <f t="shared" si="10"/>
        <v>0</v>
      </c>
      <c r="S42" s="48">
        <f t="shared" si="11"/>
        <v>0</v>
      </c>
      <c r="T42" s="48">
        <f t="shared" si="12"/>
        <v>0</v>
      </c>
      <c r="U42" s="48">
        <f t="shared" si="13"/>
        <v>0</v>
      </c>
      <c r="V42" s="48">
        <f t="shared" si="14"/>
        <v>0</v>
      </c>
      <c r="W42" s="48">
        <f t="shared" si="15"/>
        <v>0</v>
      </c>
      <c r="X42" s="48">
        <f t="shared" si="16"/>
        <v>0</v>
      </c>
      <c r="Y42" s="48">
        <f t="shared" si="17"/>
        <v>0</v>
      </c>
      <c r="Z42" s="48">
        <f t="shared" si="18"/>
        <v>974</v>
      </c>
      <c r="AA42" s="48" t="b">
        <f t="shared" si="19"/>
        <v>0</v>
      </c>
      <c r="AB42" s="48" t="b">
        <f t="shared" si="20"/>
        <v>0</v>
      </c>
      <c r="AC42" s="48" t="b">
        <f t="shared" si="21"/>
        <v>0</v>
      </c>
      <c r="AD42" s="48" t="b">
        <f t="shared" si="22"/>
        <v>0</v>
      </c>
      <c r="AE42" s="48" t="b">
        <f t="shared" si="23"/>
        <v>0</v>
      </c>
      <c r="AF42" s="48" t="b">
        <f t="shared" si="24"/>
        <v>0</v>
      </c>
      <c r="AG42" s="48" t="b">
        <f t="shared" si="25"/>
        <v>0</v>
      </c>
      <c r="AH42" s="48" t="b">
        <f t="shared" si="26"/>
        <v>0</v>
      </c>
      <c r="AI42" s="48" t="b">
        <f t="shared" si="27"/>
        <v>0</v>
      </c>
      <c r="AJ42" s="48" t="b">
        <f t="shared" si="28"/>
        <v>0</v>
      </c>
      <c r="AK42" s="48" t="b">
        <f t="shared" si="29"/>
        <v>0</v>
      </c>
      <c r="AL42" s="48" t="b">
        <f t="shared" si="30"/>
        <v>0</v>
      </c>
      <c r="AM42" s="48" t="b">
        <f t="shared" si="31"/>
        <v>0</v>
      </c>
      <c r="AN42" s="48" t="b">
        <f t="shared" si="32"/>
        <v>0</v>
      </c>
      <c r="AO42" s="48"/>
      <c r="AQ42" s="47">
        <f t="shared" si="33"/>
        <v>0</v>
      </c>
      <c r="AR42" s="47">
        <f t="shared" si="34"/>
        <v>0</v>
      </c>
      <c r="AS42" s="47">
        <f t="shared" si="35"/>
        <v>0</v>
      </c>
      <c r="AT42" s="47">
        <f t="shared" si="36"/>
        <v>0</v>
      </c>
      <c r="AU42" s="47">
        <f t="shared" si="37"/>
        <v>0</v>
      </c>
      <c r="AV42" s="47">
        <f t="shared" si="38"/>
        <v>0</v>
      </c>
      <c r="AW42" s="47">
        <f t="shared" si="39"/>
        <v>0</v>
      </c>
      <c r="AX42" s="47">
        <f t="shared" si="40"/>
        <v>0</v>
      </c>
      <c r="AY42" s="47">
        <f t="shared" si="41"/>
        <v>0</v>
      </c>
      <c r="AZ42" s="47">
        <f t="shared" si="42"/>
        <v>0</v>
      </c>
      <c r="BA42" s="47">
        <f t="shared" si="43"/>
        <v>0</v>
      </c>
      <c r="BB42" s="47">
        <f t="shared" si="44"/>
        <v>0</v>
      </c>
      <c r="BC42" s="47">
        <f t="shared" si="45"/>
        <v>0</v>
      </c>
      <c r="BD42" s="47">
        <f t="shared" si="46"/>
        <v>0</v>
      </c>
      <c r="BE42" s="47">
        <f t="shared" si="47"/>
        <v>0</v>
      </c>
      <c r="BF42" s="47">
        <f t="shared" si="48"/>
        <v>-11</v>
      </c>
      <c r="BG42" s="47" t="b">
        <f t="shared" si="49"/>
        <v>0</v>
      </c>
      <c r="BH42" s="47" t="b">
        <f t="shared" si="50"/>
        <v>0</v>
      </c>
      <c r="BI42" s="47" t="b">
        <f t="shared" si="51"/>
        <v>0</v>
      </c>
      <c r="BJ42" s="47" t="b">
        <f t="shared" si="52"/>
        <v>0</v>
      </c>
      <c r="BK42" s="69" t="b">
        <f t="shared" si="53"/>
        <v>0</v>
      </c>
      <c r="BL42" s="69" t="b">
        <f t="shared" si="54"/>
        <v>0</v>
      </c>
      <c r="BM42" s="69" t="b">
        <f t="shared" si="55"/>
        <v>0</v>
      </c>
      <c r="BN42" s="69" t="b">
        <f t="shared" si="56"/>
        <v>0</v>
      </c>
      <c r="BO42" s="69" t="b">
        <f t="shared" si="57"/>
        <v>0</v>
      </c>
      <c r="BP42" s="69" t="b">
        <f t="shared" si="58"/>
        <v>0</v>
      </c>
      <c r="BQ42" s="69" t="b">
        <f t="shared" si="59"/>
        <v>0</v>
      </c>
      <c r="BR42" s="69" t="b">
        <f t="shared" si="60"/>
        <v>0</v>
      </c>
      <c r="BS42" s="37" t="b">
        <f t="shared" si="61"/>
        <v>0</v>
      </c>
      <c r="BT42" s="37" t="b">
        <f t="shared" si="62"/>
        <v>0</v>
      </c>
    </row>
    <row r="43" spans="1:72" x14ac:dyDescent="0.25">
      <c r="A43" s="8">
        <v>42</v>
      </c>
      <c r="B43">
        <v>63441</v>
      </c>
      <c r="C43" s="7">
        <f>DATA!C174-DATA!E174</f>
        <v>-157</v>
      </c>
      <c r="D43" s="7">
        <f>DATA!D174-DATA!F174</f>
        <v>-8</v>
      </c>
      <c r="K43" s="47">
        <f t="shared" si="3"/>
        <v>0</v>
      </c>
      <c r="L43" s="47">
        <f t="shared" si="4"/>
        <v>0</v>
      </c>
      <c r="M43" s="47">
        <f t="shared" si="5"/>
        <v>0</v>
      </c>
      <c r="N43" s="48">
        <f t="shared" si="6"/>
        <v>0</v>
      </c>
      <c r="O43" s="48">
        <f t="shared" si="7"/>
        <v>0</v>
      </c>
      <c r="P43" s="48">
        <f t="shared" si="8"/>
        <v>0</v>
      </c>
      <c r="Q43" s="48">
        <f t="shared" si="9"/>
        <v>0</v>
      </c>
      <c r="R43" s="48">
        <f t="shared" si="10"/>
        <v>0</v>
      </c>
      <c r="S43" s="48">
        <f t="shared" si="11"/>
        <v>0</v>
      </c>
      <c r="T43" s="48">
        <f t="shared" si="12"/>
        <v>0</v>
      </c>
      <c r="U43" s="48">
        <f t="shared" si="13"/>
        <v>0</v>
      </c>
      <c r="V43" s="48">
        <f t="shared" si="14"/>
        <v>0</v>
      </c>
      <c r="W43" s="48">
        <f t="shared" si="15"/>
        <v>0</v>
      </c>
      <c r="X43" s="48">
        <f t="shared" si="16"/>
        <v>0</v>
      </c>
      <c r="Y43" s="48">
        <f t="shared" si="17"/>
        <v>0</v>
      </c>
      <c r="Z43" s="48">
        <f t="shared" si="18"/>
        <v>0</v>
      </c>
      <c r="AA43" s="48">
        <f t="shared" si="19"/>
        <v>0</v>
      </c>
      <c r="AB43" s="48">
        <f t="shared" si="20"/>
        <v>-157</v>
      </c>
      <c r="AC43" s="48" t="b">
        <f t="shared" si="21"/>
        <v>0</v>
      </c>
      <c r="AD43" s="48" t="b">
        <f t="shared" si="22"/>
        <v>0</v>
      </c>
      <c r="AE43" s="48" t="b">
        <f t="shared" si="23"/>
        <v>0</v>
      </c>
      <c r="AF43" s="48" t="b">
        <f t="shared" si="24"/>
        <v>0</v>
      </c>
      <c r="AG43" s="48" t="b">
        <f t="shared" si="25"/>
        <v>0</v>
      </c>
      <c r="AH43" s="48" t="b">
        <f t="shared" si="26"/>
        <v>0</v>
      </c>
      <c r="AI43" s="48" t="b">
        <f t="shared" si="27"/>
        <v>0</v>
      </c>
      <c r="AJ43" s="48" t="b">
        <f t="shared" si="28"/>
        <v>0</v>
      </c>
      <c r="AK43" s="48" t="b">
        <f t="shared" si="29"/>
        <v>0</v>
      </c>
      <c r="AL43" s="48" t="b">
        <f t="shared" si="30"/>
        <v>0</v>
      </c>
      <c r="AM43" s="48" t="b">
        <f t="shared" si="31"/>
        <v>0</v>
      </c>
      <c r="AN43" s="48" t="b">
        <f t="shared" si="32"/>
        <v>0</v>
      </c>
      <c r="AO43" s="48"/>
      <c r="AQ43" s="47">
        <f t="shared" si="33"/>
        <v>0</v>
      </c>
      <c r="AR43" s="47">
        <f t="shared" si="34"/>
        <v>0</v>
      </c>
      <c r="AS43" s="47">
        <f t="shared" si="35"/>
        <v>0</v>
      </c>
      <c r="AT43" s="47">
        <f t="shared" si="36"/>
        <v>0</v>
      </c>
      <c r="AU43" s="47">
        <f t="shared" si="37"/>
        <v>0</v>
      </c>
      <c r="AV43" s="47">
        <f t="shared" si="38"/>
        <v>0</v>
      </c>
      <c r="AW43" s="47">
        <f t="shared" si="39"/>
        <v>0</v>
      </c>
      <c r="AX43" s="47">
        <f t="shared" si="40"/>
        <v>0</v>
      </c>
      <c r="AY43" s="47">
        <f t="shared" si="41"/>
        <v>0</v>
      </c>
      <c r="AZ43" s="47">
        <f t="shared" si="42"/>
        <v>0</v>
      </c>
      <c r="BA43" s="47">
        <f t="shared" si="43"/>
        <v>0</v>
      </c>
      <c r="BB43" s="47">
        <f t="shared" si="44"/>
        <v>0</v>
      </c>
      <c r="BC43" s="47">
        <f t="shared" si="45"/>
        <v>0</v>
      </c>
      <c r="BD43" s="47">
        <f t="shared" si="46"/>
        <v>0</v>
      </c>
      <c r="BE43" s="47">
        <f t="shared" si="47"/>
        <v>0</v>
      </c>
      <c r="BF43" s="47">
        <f t="shared" si="48"/>
        <v>0</v>
      </c>
      <c r="BG43" s="47">
        <f t="shared" si="49"/>
        <v>0</v>
      </c>
      <c r="BH43" s="47">
        <f t="shared" si="50"/>
        <v>-8</v>
      </c>
      <c r="BI43" s="47" t="b">
        <f t="shared" si="51"/>
        <v>0</v>
      </c>
      <c r="BJ43" s="47" t="b">
        <f t="shared" si="52"/>
        <v>0</v>
      </c>
      <c r="BK43" s="69" t="b">
        <f t="shared" si="53"/>
        <v>0</v>
      </c>
      <c r="BL43" s="69" t="b">
        <f t="shared" si="54"/>
        <v>0</v>
      </c>
      <c r="BM43" s="69" t="b">
        <f t="shared" si="55"/>
        <v>0</v>
      </c>
      <c r="BN43" s="69" t="b">
        <f t="shared" si="56"/>
        <v>0</v>
      </c>
      <c r="BO43" s="69" t="b">
        <f t="shared" si="57"/>
        <v>0</v>
      </c>
      <c r="BP43" s="69" t="b">
        <f t="shared" si="58"/>
        <v>0</v>
      </c>
      <c r="BQ43" s="69" t="b">
        <f t="shared" si="59"/>
        <v>0</v>
      </c>
      <c r="BR43" s="69" t="b">
        <f t="shared" si="60"/>
        <v>0</v>
      </c>
      <c r="BS43" s="37" t="b">
        <f t="shared" si="61"/>
        <v>0</v>
      </c>
      <c r="BT43" s="37" t="b">
        <f t="shared" si="62"/>
        <v>0</v>
      </c>
    </row>
    <row r="44" spans="1:72" x14ac:dyDescent="0.25">
      <c r="A44" s="8">
        <v>43</v>
      </c>
      <c r="B44">
        <v>63740</v>
      </c>
      <c r="C44" s="7">
        <f>DATA!C12-DATA!E12</f>
        <v>1047</v>
      </c>
      <c r="D44" s="7">
        <f>DATA!D12-DATA!F12</f>
        <v>-14</v>
      </c>
      <c r="K44" s="47">
        <f t="shared" si="3"/>
        <v>0</v>
      </c>
      <c r="L44" s="47">
        <f t="shared" si="4"/>
        <v>0</v>
      </c>
      <c r="M44" s="47">
        <f t="shared" si="5"/>
        <v>0</v>
      </c>
      <c r="N44" s="48">
        <f t="shared" si="6"/>
        <v>0</v>
      </c>
      <c r="O44" s="48">
        <f t="shared" si="7"/>
        <v>0</v>
      </c>
      <c r="P44" s="48">
        <f t="shared" si="8"/>
        <v>0</v>
      </c>
      <c r="Q44" s="48">
        <f t="shared" si="9"/>
        <v>0</v>
      </c>
      <c r="R44" s="48">
        <f t="shared" si="10"/>
        <v>0</v>
      </c>
      <c r="S44" s="48">
        <f t="shared" si="11"/>
        <v>0</v>
      </c>
      <c r="T44" s="48">
        <f t="shared" si="12"/>
        <v>0</v>
      </c>
      <c r="U44" s="48">
        <f t="shared" si="13"/>
        <v>0</v>
      </c>
      <c r="V44" s="48">
        <f t="shared" si="14"/>
        <v>0</v>
      </c>
      <c r="W44" s="48">
        <f t="shared" si="15"/>
        <v>0</v>
      </c>
      <c r="X44" s="48">
        <f t="shared" si="16"/>
        <v>0</v>
      </c>
      <c r="Y44" s="48">
        <f t="shared" si="17"/>
        <v>0</v>
      </c>
      <c r="Z44" s="48">
        <f t="shared" si="18"/>
        <v>0</v>
      </c>
      <c r="AA44" s="48">
        <f t="shared" si="19"/>
        <v>0</v>
      </c>
      <c r="AB44" s="48">
        <f t="shared" si="20"/>
        <v>0</v>
      </c>
      <c r="AC44" s="48">
        <f t="shared" si="21"/>
        <v>1047</v>
      </c>
      <c r="AD44" s="48" t="b">
        <f t="shared" si="22"/>
        <v>0</v>
      </c>
      <c r="AE44" s="48" t="b">
        <f t="shared" si="23"/>
        <v>0</v>
      </c>
      <c r="AF44" s="48" t="b">
        <f t="shared" si="24"/>
        <v>0</v>
      </c>
      <c r="AG44" s="48" t="b">
        <f t="shared" si="25"/>
        <v>0</v>
      </c>
      <c r="AH44" s="48" t="b">
        <f t="shared" si="26"/>
        <v>0</v>
      </c>
      <c r="AI44" s="48" t="b">
        <f t="shared" si="27"/>
        <v>0</v>
      </c>
      <c r="AJ44" s="48" t="b">
        <f t="shared" si="28"/>
        <v>0</v>
      </c>
      <c r="AK44" s="48" t="b">
        <f t="shared" si="29"/>
        <v>0</v>
      </c>
      <c r="AL44" s="48" t="b">
        <f t="shared" si="30"/>
        <v>0</v>
      </c>
      <c r="AM44" s="48" t="b">
        <f t="shared" si="31"/>
        <v>0</v>
      </c>
      <c r="AN44" s="48" t="b">
        <f t="shared" si="32"/>
        <v>0</v>
      </c>
      <c r="AO44" s="48"/>
      <c r="AQ44" s="47">
        <f t="shared" si="33"/>
        <v>0</v>
      </c>
      <c r="AR44" s="47">
        <f t="shared" si="34"/>
        <v>0</v>
      </c>
      <c r="AS44" s="47">
        <f t="shared" si="35"/>
        <v>0</v>
      </c>
      <c r="AT44" s="47">
        <f t="shared" si="36"/>
        <v>0</v>
      </c>
      <c r="AU44" s="47">
        <f t="shared" si="37"/>
        <v>0</v>
      </c>
      <c r="AV44" s="47">
        <f t="shared" si="38"/>
        <v>0</v>
      </c>
      <c r="AW44" s="47">
        <f t="shared" si="39"/>
        <v>0</v>
      </c>
      <c r="AX44" s="47">
        <f t="shared" si="40"/>
        <v>0</v>
      </c>
      <c r="AY44" s="47">
        <f t="shared" si="41"/>
        <v>0</v>
      </c>
      <c r="AZ44" s="47">
        <f t="shared" si="42"/>
        <v>0</v>
      </c>
      <c r="BA44" s="47">
        <f t="shared" si="43"/>
        <v>0</v>
      </c>
      <c r="BB44" s="47">
        <f t="shared" si="44"/>
        <v>0</v>
      </c>
      <c r="BC44" s="47">
        <f t="shared" si="45"/>
        <v>0</v>
      </c>
      <c r="BD44" s="47">
        <f t="shared" si="46"/>
        <v>0</v>
      </c>
      <c r="BE44" s="47">
        <f t="shared" si="47"/>
        <v>0</v>
      </c>
      <c r="BF44" s="47">
        <f t="shared" si="48"/>
        <v>0</v>
      </c>
      <c r="BG44" s="47">
        <f t="shared" si="49"/>
        <v>0</v>
      </c>
      <c r="BH44" s="47">
        <f t="shared" si="50"/>
        <v>0</v>
      </c>
      <c r="BI44" s="47">
        <f t="shared" si="51"/>
        <v>-14</v>
      </c>
      <c r="BJ44" s="47" t="b">
        <f t="shared" si="52"/>
        <v>0</v>
      </c>
      <c r="BK44" s="69" t="b">
        <f t="shared" si="53"/>
        <v>0</v>
      </c>
      <c r="BL44" s="69" t="b">
        <f t="shared" si="54"/>
        <v>0</v>
      </c>
      <c r="BM44" s="69" t="b">
        <f t="shared" si="55"/>
        <v>0</v>
      </c>
      <c r="BN44" s="69" t="b">
        <f t="shared" si="56"/>
        <v>0</v>
      </c>
      <c r="BO44" s="69" t="b">
        <f t="shared" si="57"/>
        <v>0</v>
      </c>
      <c r="BP44" s="69" t="b">
        <f t="shared" si="58"/>
        <v>0</v>
      </c>
      <c r="BQ44" s="69" t="b">
        <f t="shared" si="59"/>
        <v>0</v>
      </c>
      <c r="BR44" s="69" t="b">
        <f t="shared" si="60"/>
        <v>0</v>
      </c>
      <c r="BS44" s="37" t="b">
        <f t="shared" si="61"/>
        <v>0</v>
      </c>
      <c r="BT44" s="37" t="b">
        <f t="shared" si="62"/>
        <v>0</v>
      </c>
    </row>
    <row r="45" spans="1:72" x14ac:dyDescent="0.25">
      <c r="A45" s="8">
        <v>44</v>
      </c>
      <c r="B45">
        <v>66400</v>
      </c>
      <c r="C45" s="7">
        <f>DATA!C21-DATA!E21</f>
        <v>758</v>
      </c>
      <c r="D45" s="7">
        <f>DATA!D21-DATA!F21</f>
        <v>-7</v>
      </c>
      <c r="K45" s="47">
        <f t="shared" si="3"/>
        <v>0</v>
      </c>
      <c r="L45" s="47">
        <f t="shared" si="4"/>
        <v>0</v>
      </c>
      <c r="M45" s="47">
        <f t="shared" si="5"/>
        <v>0</v>
      </c>
      <c r="N45" s="48">
        <f t="shared" si="6"/>
        <v>0</v>
      </c>
      <c r="O45" s="48">
        <f t="shared" si="7"/>
        <v>0</v>
      </c>
      <c r="P45" s="48">
        <f t="shared" si="8"/>
        <v>0</v>
      </c>
      <c r="Q45" s="48">
        <f t="shared" si="9"/>
        <v>0</v>
      </c>
      <c r="R45" s="48">
        <f t="shared" si="10"/>
        <v>0</v>
      </c>
      <c r="S45" s="48">
        <f t="shared" si="11"/>
        <v>0</v>
      </c>
      <c r="T45" s="48">
        <f t="shared" si="12"/>
        <v>0</v>
      </c>
      <c r="U45" s="48">
        <f t="shared" si="13"/>
        <v>0</v>
      </c>
      <c r="V45" s="48">
        <f t="shared" si="14"/>
        <v>0</v>
      </c>
      <c r="W45" s="48">
        <f t="shared" si="15"/>
        <v>0</v>
      </c>
      <c r="X45" s="48">
        <f t="shared" si="16"/>
        <v>0</v>
      </c>
      <c r="Y45" s="48">
        <f t="shared" si="17"/>
        <v>0</v>
      </c>
      <c r="Z45" s="48">
        <f t="shared" si="18"/>
        <v>0</v>
      </c>
      <c r="AA45" s="48">
        <f t="shared" si="19"/>
        <v>0</v>
      </c>
      <c r="AB45" s="48">
        <f t="shared" si="20"/>
        <v>0</v>
      </c>
      <c r="AC45" s="48">
        <f t="shared" si="21"/>
        <v>0</v>
      </c>
      <c r="AD45" s="48">
        <f t="shared" si="22"/>
        <v>0</v>
      </c>
      <c r="AE45" s="48">
        <f t="shared" si="23"/>
        <v>758</v>
      </c>
      <c r="AF45" s="48" t="b">
        <f t="shared" si="24"/>
        <v>0</v>
      </c>
      <c r="AG45" s="48" t="b">
        <f t="shared" si="25"/>
        <v>0</v>
      </c>
      <c r="AH45" s="48" t="b">
        <f t="shared" si="26"/>
        <v>0</v>
      </c>
      <c r="AI45" s="48" t="b">
        <f t="shared" si="27"/>
        <v>0</v>
      </c>
      <c r="AJ45" s="48" t="b">
        <f t="shared" si="28"/>
        <v>0</v>
      </c>
      <c r="AK45" s="48" t="b">
        <f t="shared" si="29"/>
        <v>0</v>
      </c>
      <c r="AL45" s="48" t="b">
        <f t="shared" si="30"/>
        <v>0</v>
      </c>
      <c r="AM45" s="48" t="b">
        <f t="shared" si="31"/>
        <v>0</v>
      </c>
      <c r="AN45" s="48" t="b">
        <f t="shared" si="32"/>
        <v>0</v>
      </c>
      <c r="AO45" s="48"/>
      <c r="AQ45" s="47">
        <f t="shared" si="33"/>
        <v>0</v>
      </c>
      <c r="AR45" s="47">
        <f t="shared" si="34"/>
        <v>0</v>
      </c>
      <c r="AS45" s="47">
        <f t="shared" si="35"/>
        <v>0</v>
      </c>
      <c r="AT45" s="47">
        <f t="shared" si="36"/>
        <v>0</v>
      </c>
      <c r="AU45" s="47">
        <f t="shared" si="37"/>
        <v>0</v>
      </c>
      <c r="AV45" s="47">
        <f t="shared" si="38"/>
        <v>0</v>
      </c>
      <c r="AW45" s="47">
        <f t="shared" si="39"/>
        <v>0</v>
      </c>
      <c r="AX45" s="47">
        <f t="shared" si="40"/>
        <v>0</v>
      </c>
      <c r="AY45" s="47">
        <f t="shared" si="41"/>
        <v>0</v>
      </c>
      <c r="AZ45" s="47">
        <f t="shared" si="42"/>
        <v>0</v>
      </c>
      <c r="BA45" s="47">
        <f t="shared" si="43"/>
        <v>0</v>
      </c>
      <c r="BB45" s="47">
        <f t="shared" si="44"/>
        <v>0</v>
      </c>
      <c r="BC45" s="47">
        <f t="shared" si="45"/>
        <v>0</v>
      </c>
      <c r="BD45" s="47">
        <f t="shared" si="46"/>
        <v>0</v>
      </c>
      <c r="BE45" s="47">
        <f t="shared" si="47"/>
        <v>0</v>
      </c>
      <c r="BF45" s="47">
        <f t="shared" si="48"/>
        <v>0</v>
      </c>
      <c r="BG45" s="47">
        <f t="shared" si="49"/>
        <v>0</v>
      </c>
      <c r="BH45" s="47">
        <f t="shared" si="50"/>
        <v>0</v>
      </c>
      <c r="BI45" s="47">
        <f t="shared" si="51"/>
        <v>0</v>
      </c>
      <c r="BJ45" s="47">
        <f t="shared" si="52"/>
        <v>0</v>
      </c>
      <c r="BK45" s="69">
        <f t="shared" si="53"/>
        <v>-7</v>
      </c>
      <c r="BL45" s="69" t="b">
        <f t="shared" si="54"/>
        <v>0</v>
      </c>
      <c r="BM45" s="69" t="b">
        <f t="shared" si="55"/>
        <v>0</v>
      </c>
      <c r="BN45" s="69" t="b">
        <f t="shared" si="56"/>
        <v>0</v>
      </c>
      <c r="BO45" s="69" t="b">
        <f t="shared" si="57"/>
        <v>0</v>
      </c>
      <c r="BP45" s="69" t="b">
        <f t="shared" si="58"/>
        <v>0</v>
      </c>
      <c r="BQ45" s="69" t="b">
        <f t="shared" si="59"/>
        <v>0</v>
      </c>
      <c r="BR45" s="69" t="b">
        <f t="shared" si="60"/>
        <v>0</v>
      </c>
      <c r="BS45" s="37" t="b">
        <f t="shared" si="61"/>
        <v>0</v>
      </c>
      <c r="BT45" s="37" t="b">
        <f t="shared" si="62"/>
        <v>0</v>
      </c>
    </row>
    <row r="46" spans="1:72" x14ac:dyDescent="0.25">
      <c r="A46" s="8">
        <v>45</v>
      </c>
      <c r="B46">
        <v>66611</v>
      </c>
      <c r="C46" s="7">
        <f>DATA!C165-DATA!E165</f>
        <v>495</v>
      </c>
      <c r="D46" s="7">
        <f>DATA!D165-DATA!F165</f>
        <v>-2</v>
      </c>
      <c r="K46" s="47">
        <f t="shared" si="3"/>
        <v>0</v>
      </c>
      <c r="L46" s="47">
        <f t="shared" si="4"/>
        <v>0</v>
      </c>
      <c r="M46" s="47">
        <f t="shared" si="5"/>
        <v>0</v>
      </c>
      <c r="N46" s="48">
        <f t="shared" si="6"/>
        <v>0</v>
      </c>
      <c r="O46" s="48">
        <f t="shared" si="7"/>
        <v>0</v>
      </c>
      <c r="P46" s="48">
        <f t="shared" si="8"/>
        <v>0</v>
      </c>
      <c r="Q46" s="48">
        <f t="shared" si="9"/>
        <v>0</v>
      </c>
      <c r="R46" s="48">
        <f t="shared" si="10"/>
        <v>0</v>
      </c>
      <c r="S46" s="48">
        <f t="shared" si="11"/>
        <v>0</v>
      </c>
      <c r="T46" s="48">
        <f t="shared" si="12"/>
        <v>0</v>
      </c>
      <c r="U46" s="48">
        <f t="shared" si="13"/>
        <v>0</v>
      </c>
      <c r="V46" s="48">
        <f t="shared" si="14"/>
        <v>0</v>
      </c>
      <c r="W46" s="48">
        <f t="shared" si="15"/>
        <v>0</v>
      </c>
      <c r="X46" s="48">
        <f t="shared" si="16"/>
        <v>0</v>
      </c>
      <c r="Y46" s="48">
        <f t="shared" si="17"/>
        <v>0</v>
      </c>
      <c r="Z46" s="48">
        <f t="shared" si="18"/>
        <v>0</v>
      </c>
      <c r="AA46" s="48">
        <f t="shared" si="19"/>
        <v>0</v>
      </c>
      <c r="AB46" s="48">
        <f t="shared" si="20"/>
        <v>0</v>
      </c>
      <c r="AC46" s="48">
        <f t="shared" si="21"/>
        <v>0</v>
      </c>
      <c r="AD46" s="48">
        <f t="shared" si="22"/>
        <v>0</v>
      </c>
      <c r="AE46" s="48">
        <f t="shared" si="23"/>
        <v>495</v>
      </c>
      <c r="AF46" s="48" t="b">
        <f t="shared" si="24"/>
        <v>0</v>
      </c>
      <c r="AG46" s="48" t="b">
        <f t="shared" si="25"/>
        <v>0</v>
      </c>
      <c r="AH46" s="48" t="b">
        <f t="shared" si="26"/>
        <v>0</v>
      </c>
      <c r="AI46" s="48" t="b">
        <f t="shared" si="27"/>
        <v>0</v>
      </c>
      <c r="AJ46" s="48" t="b">
        <f t="shared" si="28"/>
        <v>0</v>
      </c>
      <c r="AK46" s="48" t="b">
        <f t="shared" si="29"/>
        <v>0</v>
      </c>
      <c r="AL46" s="48" t="b">
        <f t="shared" si="30"/>
        <v>0</v>
      </c>
      <c r="AM46" s="48" t="b">
        <f t="shared" si="31"/>
        <v>0</v>
      </c>
      <c r="AN46" s="48" t="b">
        <f t="shared" si="32"/>
        <v>0</v>
      </c>
      <c r="AO46" s="48"/>
      <c r="AQ46" s="47">
        <f t="shared" si="33"/>
        <v>0</v>
      </c>
      <c r="AR46" s="47">
        <f t="shared" si="34"/>
        <v>0</v>
      </c>
      <c r="AS46" s="47">
        <f t="shared" si="35"/>
        <v>0</v>
      </c>
      <c r="AT46" s="47">
        <f t="shared" si="36"/>
        <v>0</v>
      </c>
      <c r="AU46" s="47">
        <f t="shared" si="37"/>
        <v>0</v>
      </c>
      <c r="AV46" s="47">
        <f t="shared" si="38"/>
        <v>0</v>
      </c>
      <c r="AW46" s="47">
        <f t="shared" si="39"/>
        <v>0</v>
      </c>
      <c r="AX46" s="47">
        <f t="shared" si="40"/>
        <v>0</v>
      </c>
      <c r="AY46" s="47">
        <f t="shared" si="41"/>
        <v>0</v>
      </c>
      <c r="AZ46" s="47">
        <f t="shared" si="42"/>
        <v>0</v>
      </c>
      <c r="BA46" s="47">
        <f t="shared" si="43"/>
        <v>0</v>
      </c>
      <c r="BB46" s="47">
        <f t="shared" si="44"/>
        <v>0</v>
      </c>
      <c r="BC46" s="47">
        <f t="shared" si="45"/>
        <v>0</v>
      </c>
      <c r="BD46" s="47">
        <f t="shared" si="46"/>
        <v>0</v>
      </c>
      <c r="BE46" s="47">
        <f t="shared" si="47"/>
        <v>0</v>
      </c>
      <c r="BF46" s="47">
        <f t="shared" si="48"/>
        <v>0</v>
      </c>
      <c r="BG46" s="47">
        <f t="shared" si="49"/>
        <v>0</v>
      </c>
      <c r="BH46" s="47">
        <f t="shared" si="50"/>
        <v>0</v>
      </c>
      <c r="BI46" s="47">
        <f t="shared" si="51"/>
        <v>0</v>
      </c>
      <c r="BJ46" s="47">
        <f t="shared" si="52"/>
        <v>0</v>
      </c>
      <c r="BK46" s="69">
        <f t="shared" si="53"/>
        <v>-2</v>
      </c>
      <c r="BL46" s="69" t="b">
        <f t="shared" si="54"/>
        <v>0</v>
      </c>
      <c r="BM46" s="69" t="b">
        <f t="shared" si="55"/>
        <v>0</v>
      </c>
      <c r="BN46" s="69" t="b">
        <f t="shared" si="56"/>
        <v>0</v>
      </c>
      <c r="BO46" s="69" t="b">
        <f t="shared" si="57"/>
        <v>0</v>
      </c>
      <c r="BP46" s="69" t="b">
        <f t="shared" si="58"/>
        <v>0</v>
      </c>
      <c r="BQ46" s="69" t="b">
        <f t="shared" si="59"/>
        <v>0</v>
      </c>
      <c r="BR46" s="69" t="b">
        <f t="shared" si="60"/>
        <v>0</v>
      </c>
      <c r="BS46" s="37" t="b">
        <f t="shared" si="61"/>
        <v>0</v>
      </c>
      <c r="BT46" s="37" t="b">
        <f t="shared" si="62"/>
        <v>0</v>
      </c>
    </row>
    <row r="47" spans="1:72" x14ac:dyDescent="0.25">
      <c r="A47" s="8">
        <v>46</v>
      </c>
      <c r="B47">
        <v>69018</v>
      </c>
      <c r="C47" s="7">
        <f>DATA!C147-DATA!E147</f>
        <v>-701</v>
      </c>
      <c r="D47" s="7">
        <f>DATA!D147-DATA!F147</f>
        <v>3</v>
      </c>
      <c r="K47" s="47">
        <f t="shared" si="3"/>
        <v>0</v>
      </c>
      <c r="L47" s="47">
        <f t="shared" si="4"/>
        <v>0</v>
      </c>
      <c r="M47" s="47">
        <f t="shared" si="5"/>
        <v>0</v>
      </c>
      <c r="N47" s="48">
        <f t="shared" si="6"/>
        <v>0</v>
      </c>
      <c r="O47" s="48">
        <f t="shared" si="7"/>
        <v>0</v>
      </c>
      <c r="P47" s="48">
        <f t="shared" si="8"/>
        <v>0</v>
      </c>
      <c r="Q47" s="48">
        <f t="shared" si="9"/>
        <v>0</v>
      </c>
      <c r="R47" s="48">
        <f t="shared" si="10"/>
        <v>0</v>
      </c>
      <c r="S47" s="48">
        <f t="shared" si="11"/>
        <v>0</v>
      </c>
      <c r="T47" s="48">
        <f t="shared" si="12"/>
        <v>0</v>
      </c>
      <c r="U47" s="48">
        <f t="shared" si="13"/>
        <v>0</v>
      </c>
      <c r="V47" s="48">
        <f t="shared" si="14"/>
        <v>0</v>
      </c>
      <c r="W47" s="48">
        <f t="shared" si="15"/>
        <v>0</v>
      </c>
      <c r="X47" s="48">
        <f t="shared" si="16"/>
        <v>0</v>
      </c>
      <c r="Y47" s="48">
        <f t="shared" si="17"/>
        <v>0</v>
      </c>
      <c r="Z47" s="48">
        <f t="shared" si="18"/>
        <v>0</v>
      </c>
      <c r="AA47" s="48">
        <f t="shared" si="19"/>
        <v>0</v>
      </c>
      <c r="AB47" s="48">
        <f t="shared" si="20"/>
        <v>0</v>
      </c>
      <c r="AC47" s="48">
        <f t="shared" si="21"/>
        <v>0</v>
      </c>
      <c r="AD47" s="48">
        <f t="shared" si="22"/>
        <v>0</v>
      </c>
      <c r="AE47" s="48">
        <f t="shared" si="23"/>
        <v>0</v>
      </c>
      <c r="AF47" s="48">
        <f t="shared" si="24"/>
        <v>0</v>
      </c>
      <c r="AG47" s="48">
        <f t="shared" si="25"/>
        <v>0</v>
      </c>
      <c r="AH47" s="48">
        <f t="shared" si="26"/>
        <v>-701</v>
      </c>
      <c r="AI47" s="48" t="b">
        <f t="shared" si="27"/>
        <v>0</v>
      </c>
      <c r="AJ47" s="48" t="b">
        <f t="shared" si="28"/>
        <v>0</v>
      </c>
      <c r="AK47" s="48" t="b">
        <f t="shared" si="29"/>
        <v>0</v>
      </c>
      <c r="AL47" s="48" t="b">
        <f t="shared" si="30"/>
        <v>0</v>
      </c>
      <c r="AM47" s="48" t="b">
        <f t="shared" si="31"/>
        <v>0</v>
      </c>
      <c r="AN47" s="48" t="b">
        <f t="shared" si="32"/>
        <v>0</v>
      </c>
      <c r="AO47" s="48"/>
      <c r="AQ47" s="47">
        <f t="shared" si="33"/>
        <v>0</v>
      </c>
      <c r="AR47" s="47">
        <f t="shared" si="34"/>
        <v>0</v>
      </c>
      <c r="AS47" s="47">
        <f t="shared" si="35"/>
        <v>0</v>
      </c>
      <c r="AT47" s="47">
        <f t="shared" si="36"/>
        <v>0</v>
      </c>
      <c r="AU47" s="47">
        <f t="shared" si="37"/>
        <v>0</v>
      </c>
      <c r="AV47" s="47">
        <f t="shared" si="38"/>
        <v>0</v>
      </c>
      <c r="AW47" s="47">
        <f t="shared" si="39"/>
        <v>0</v>
      </c>
      <c r="AX47" s="47">
        <f t="shared" si="40"/>
        <v>0</v>
      </c>
      <c r="AY47" s="47">
        <f t="shared" si="41"/>
        <v>0</v>
      </c>
      <c r="AZ47" s="47">
        <f t="shared" si="42"/>
        <v>0</v>
      </c>
      <c r="BA47" s="47">
        <f t="shared" si="43"/>
        <v>0</v>
      </c>
      <c r="BB47" s="47">
        <f t="shared" si="44"/>
        <v>0</v>
      </c>
      <c r="BC47" s="47">
        <f t="shared" si="45"/>
        <v>0</v>
      </c>
      <c r="BD47" s="47">
        <f t="shared" si="46"/>
        <v>0</v>
      </c>
      <c r="BE47" s="47">
        <f t="shared" si="47"/>
        <v>0</v>
      </c>
      <c r="BF47" s="47">
        <f t="shared" si="48"/>
        <v>0</v>
      </c>
      <c r="BG47" s="47">
        <f t="shared" si="49"/>
        <v>0</v>
      </c>
      <c r="BH47" s="47">
        <f t="shared" si="50"/>
        <v>0</v>
      </c>
      <c r="BI47" s="47">
        <f t="shared" si="51"/>
        <v>0</v>
      </c>
      <c r="BJ47" s="47">
        <f t="shared" si="52"/>
        <v>0</v>
      </c>
      <c r="BK47" s="69">
        <f t="shared" si="53"/>
        <v>0</v>
      </c>
      <c r="BL47" s="69">
        <f t="shared" si="54"/>
        <v>0</v>
      </c>
      <c r="BM47" s="69">
        <f t="shared" si="55"/>
        <v>0</v>
      </c>
      <c r="BN47" s="69">
        <f t="shared" si="56"/>
        <v>3</v>
      </c>
      <c r="BO47" s="69" t="b">
        <f t="shared" si="57"/>
        <v>0</v>
      </c>
      <c r="BP47" s="69" t="b">
        <f t="shared" si="58"/>
        <v>0</v>
      </c>
      <c r="BQ47" s="69" t="b">
        <f t="shared" si="59"/>
        <v>0</v>
      </c>
      <c r="BR47" s="69" t="b">
        <f t="shared" si="60"/>
        <v>0</v>
      </c>
      <c r="BS47" s="37" t="b">
        <f t="shared" si="61"/>
        <v>0</v>
      </c>
      <c r="BT47" s="37" t="b">
        <f t="shared" si="62"/>
        <v>0</v>
      </c>
    </row>
    <row r="48" spans="1:72" x14ac:dyDescent="0.25">
      <c r="A48" s="8">
        <v>47</v>
      </c>
      <c r="B48">
        <v>69398</v>
      </c>
      <c r="C48" s="7">
        <f>DATA!C156-DATA!E156</f>
        <v>142</v>
      </c>
      <c r="D48" s="7">
        <f>DATA!D156-DATA!F156</f>
        <v>-1</v>
      </c>
      <c r="K48" s="47">
        <f t="shared" si="3"/>
        <v>0</v>
      </c>
      <c r="L48" s="47">
        <f t="shared" si="4"/>
        <v>0</v>
      </c>
      <c r="M48" s="47">
        <f t="shared" si="5"/>
        <v>0</v>
      </c>
      <c r="N48" s="48">
        <f t="shared" si="6"/>
        <v>0</v>
      </c>
      <c r="O48" s="48">
        <f t="shared" si="7"/>
        <v>0</v>
      </c>
      <c r="P48" s="48">
        <f t="shared" si="8"/>
        <v>0</v>
      </c>
      <c r="Q48" s="48">
        <f t="shared" si="9"/>
        <v>0</v>
      </c>
      <c r="R48" s="48">
        <f t="shared" si="10"/>
        <v>0</v>
      </c>
      <c r="S48" s="48">
        <f t="shared" si="11"/>
        <v>0</v>
      </c>
      <c r="T48" s="48">
        <f t="shared" si="12"/>
        <v>0</v>
      </c>
      <c r="U48" s="48">
        <f t="shared" si="13"/>
        <v>0</v>
      </c>
      <c r="V48" s="48">
        <f t="shared" si="14"/>
        <v>0</v>
      </c>
      <c r="W48" s="48">
        <f t="shared" si="15"/>
        <v>0</v>
      </c>
      <c r="X48" s="48">
        <f t="shared" si="16"/>
        <v>0</v>
      </c>
      <c r="Y48" s="48">
        <f t="shared" si="17"/>
        <v>0</v>
      </c>
      <c r="Z48" s="48">
        <f t="shared" si="18"/>
        <v>0</v>
      </c>
      <c r="AA48" s="48">
        <f t="shared" si="19"/>
        <v>0</v>
      </c>
      <c r="AB48" s="48">
        <f t="shared" si="20"/>
        <v>0</v>
      </c>
      <c r="AC48" s="48">
        <f t="shared" si="21"/>
        <v>0</v>
      </c>
      <c r="AD48" s="48">
        <f t="shared" si="22"/>
        <v>0</v>
      </c>
      <c r="AE48" s="48">
        <f t="shared" si="23"/>
        <v>0</v>
      </c>
      <c r="AF48" s="48">
        <f t="shared" si="24"/>
        <v>0</v>
      </c>
      <c r="AG48" s="48">
        <f t="shared" si="25"/>
        <v>0</v>
      </c>
      <c r="AH48" s="48">
        <f t="shared" si="26"/>
        <v>142</v>
      </c>
      <c r="AI48" s="48" t="b">
        <f t="shared" si="27"/>
        <v>0</v>
      </c>
      <c r="AJ48" s="48" t="b">
        <f t="shared" si="28"/>
        <v>0</v>
      </c>
      <c r="AK48" s="48" t="b">
        <f t="shared" si="29"/>
        <v>0</v>
      </c>
      <c r="AL48" s="48" t="b">
        <f t="shared" si="30"/>
        <v>0</v>
      </c>
      <c r="AM48" s="48" t="b">
        <f t="shared" si="31"/>
        <v>0</v>
      </c>
      <c r="AN48" s="48" t="b">
        <f t="shared" si="32"/>
        <v>0</v>
      </c>
      <c r="AO48" s="48"/>
      <c r="AQ48" s="47">
        <f t="shared" si="33"/>
        <v>0</v>
      </c>
      <c r="AR48" s="47">
        <f t="shared" si="34"/>
        <v>0</v>
      </c>
      <c r="AS48" s="47">
        <f t="shared" si="35"/>
        <v>0</v>
      </c>
      <c r="AT48" s="47">
        <f t="shared" si="36"/>
        <v>0</v>
      </c>
      <c r="AU48" s="47">
        <f t="shared" si="37"/>
        <v>0</v>
      </c>
      <c r="AV48" s="47">
        <f t="shared" si="38"/>
        <v>0</v>
      </c>
      <c r="AW48" s="47">
        <f t="shared" si="39"/>
        <v>0</v>
      </c>
      <c r="AX48" s="47">
        <f t="shared" si="40"/>
        <v>0</v>
      </c>
      <c r="AY48" s="47">
        <f t="shared" si="41"/>
        <v>0</v>
      </c>
      <c r="AZ48" s="47">
        <f t="shared" si="42"/>
        <v>0</v>
      </c>
      <c r="BA48" s="47">
        <f t="shared" si="43"/>
        <v>0</v>
      </c>
      <c r="BB48" s="47">
        <f t="shared" si="44"/>
        <v>0</v>
      </c>
      <c r="BC48" s="47">
        <f t="shared" si="45"/>
        <v>0</v>
      </c>
      <c r="BD48" s="47">
        <f t="shared" si="46"/>
        <v>0</v>
      </c>
      <c r="BE48" s="47">
        <f t="shared" si="47"/>
        <v>0</v>
      </c>
      <c r="BF48" s="47">
        <f t="shared" si="48"/>
        <v>0</v>
      </c>
      <c r="BG48" s="47">
        <f t="shared" si="49"/>
        <v>0</v>
      </c>
      <c r="BH48" s="47">
        <f t="shared" si="50"/>
        <v>0</v>
      </c>
      <c r="BI48" s="47">
        <f t="shared" si="51"/>
        <v>0</v>
      </c>
      <c r="BJ48" s="47">
        <f t="shared" si="52"/>
        <v>0</v>
      </c>
      <c r="BK48" s="69">
        <f t="shared" si="53"/>
        <v>0</v>
      </c>
      <c r="BL48" s="69">
        <f t="shared" si="54"/>
        <v>0</v>
      </c>
      <c r="BM48" s="69">
        <f t="shared" si="55"/>
        <v>0</v>
      </c>
      <c r="BN48" s="69">
        <f t="shared" si="56"/>
        <v>-1</v>
      </c>
      <c r="BO48" s="69" t="b">
        <f t="shared" si="57"/>
        <v>0</v>
      </c>
      <c r="BP48" s="69" t="b">
        <f t="shared" si="58"/>
        <v>0</v>
      </c>
      <c r="BQ48" s="69" t="b">
        <f t="shared" si="59"/>
        <v>0</v>
      </c>
      <c r="BR48" s="69" t="b">
        <f t="shared" si="60"/>
        <v>0</v>
      </c>
      <c r="BS48" s="37" t="b">
        <f t="shared" si="61"/>
        <v>0</v>
      </c>
      <c r="BT48" s="37" t="b">
        <f t="shared" si="62"/>
        <v>0</v>
      </c>
    </row>
    <row r="49" spans="1:72" x14ac:dyDescent="0.25">
      <c r="A49" s="8">
        <v>48</v>
      </c>
      <c r="B49">
        <v>69775</v>
      </c>
      <c r="C49" s="7">
        <f>DATA!C138-DATA!E138</f>
        <v>-414</v>
      </c>
      <c r="D49" s="7">
        <f>DATA!D138-DATA!F138</f>
        <v>1</v>
      </c>
      <c r="K49" s="47">
        <f t="shared" si="3"/>
        <v>0</v>
      </c>
      <c r="L49" s="47">
        <f t="shared" si="4"/>
        <v>0</v>
      </c>
      <c r="M49" s="47">
        <f t="shared" si="5"/>
        <v>0</v>
      </c>
      <c r="N49" s="48">
        <f t="shared" si="6"/>
        <v>0</v>
      </c>
      <c r="O49" s="48">
        <f t="shared" si="7"/>
        <v>0</v>
      </c>
      <c r="P49" s="48">
        <f t="shared" si="8"/>
        <v>0</v>
      </c>
      <c r="Q49" s="48">
        <f t="shared" si="9"/>
        <v>0</v>
      </c>
      <c r="R49" s="48">
        <f t="shared" si="10"/>
        <v>0</v>
      </c>
      <c r="S49" s="48">
        <f t="shared" si="11"/>
        <v>0</v>
      </c>
      <c r="T49" s="48">
        <f t="shared" si="12"/>
        <v>0</v>
      </c>
      <c r="U49" s="48">
        <f t="shared" si="13"/>
        <v>0</v>
      </c>
      <c r="V49" s="48">
        <f t="shared" si="14"/>
        <v>0</v>
      </c>
      <c r="W49" s="48">
        <f t="shared" si="15"/>
        <v>0</v>
      </c>
      <c r="X49" s="48">
        <f t="shared" si="16"/>
        <v>0</v>
      </c>
      <c r="Y49" s="48">
        <f t="shared" si="17"/>
        <v>0</v>
      </c>
      <c r="Z49" s="48">
        <f t="shared" si="18"/>
        <v>0</v>
      </c>
      <c r="AA49" s="48">
        <f t="shared" si="19"/>
        <v>0</v>
      </c>
      <c r="AB49" s="48">
        <f t="shared" si="20"/>
        <v>0</v>
      </c>
      <c r="AC49" s="48">
        <f t="shared" si="21"/>
        <v>0</v>
      </c>
      <c r="AD49" s="48">
        <f t="shared" si="22"/>
        <v>0</v>
      </c>
      <c r="AE49" s="48">
        <f t="shared" si="23"/>
        <v>0</v>
      </c>
      <c r="AF49" s="48">
        <f t="shared" si="24"/>
        <v>0</v>
      </c>
      <c r="AG49" s="48">
        <f t="shared" si="25"/>
        <v>0</v>
      </c>
      <c r="AH49" s="48">
        <f t="shared" si="26"/>
        <v>-414</v>
      </c>
      <c r="AI49" s="48" t="b">
        <f t="shared" si="27"/>
        <v>0</v>
      </c>
      <c r="AJ49" s="48" t="b">
        <f t="shared" si="28"/>
        <v>0</v>
      </c>
      <c r="AK49" s="48" t="b">
        <f t="shared" si="29"/>
        <v>0</v>
      </c>
      <c r="AL49" s="48" t="b">
        <f t="shared" si="30"/>
        <v>0</v>
      </c>
      <c r="AM49" s="48" t="b">
        <f t="shared" si="31"/>
        <v>0</v>
      </c>
      <c r="AN49" s="48" t="b">
        <f t="shared" si="32"/>
        <v>0</v>
      </c>
      <c r="AO49" s="48"/>
      <c r="AQ49" s="47">
        <f t="shared" si="33"/>
        <v>0</v>
      </c>
      <c r="AR49" s="47">
        <f t="shared" si="34"/>
        <v>0</v>
      </c>
      <c r="AS49" s="47">
        <f t="shared" si="35"/>
        <v>0</v>
      </c>
      <c r="AT49" s="47">
        <f t="shared" si="36"/>
        <v>0</v>
      </c>
      <c r="AU49" s="47">
        <f t="shared" si="37"/>
        <v>0</v>
      </c>
      <c r="AV49" s="47">
        <f t="shared" si="38"/>
        <v>0</v>
      </c>
      <c r="AW49" s="47">
        <f t="shared" si="39"/>
        <v>0</v>
      </c>
      <c r="AX49" s="47">
        <f t="shared" si="40"/>
        <v>0</v>
      </c>
      <c r="AY49" s="47">
        <f t="shared" si="41"/>
        <v>0</v>
      </c>
      <c r="AZ49" s="47">
        <f t="shared" si="42"/>
        <v>0</v>
      </c>
      <c r="BA49" s="47">
        <f t="shared" si="43"/>
        <v>0</v>
      </c>
      <c r="BB49" s="47">
        <f t="shared" si="44"/>
        <v>0</v>
      </c>
      <c r="BC49" s="47">
        <f t="shared" si="45"/>
        <v>0</v>
      </c>
      <c r="BD49" s="47">
        <f t="shared" si="46"/>
        <v>0</v>
      </c>
      <c r="BE49" s="47">
        <f t="shared" si="47"/>
        <v>0</v>
      </c>
      <c r="BF49" s="47">
        <f t="shared" si="48"/>
        <v>0</v>
      </c>
      <c r="BG49" s="47">
        <f t="shared" si="49"/>
        <v>0</v>
      </c>
      <c r="BH49" s="47">
        <f t="shared" si="50"/>
        <v>0</v>
      </c>
      <c r="BI49" s="47">
        <f t="shared" si="51"/>
        <v>0</v>
      </c>
      <c r="BJ49" s="47">
        <f t="shared" si="52"/>
        <v>0</v>
      </c>
      <c r="BK49" s="69">
        <f t="shared" si="53"/>
        <v>0</v>
      </c>
      <c r="BL49" s="69">
        <f t="shared" si="54"/>
        <v>0</v>
      </c>
      <c r="BM49" s="69">
        <f t="shared" si="55"/>
        <v>0</v>
      </c>
      <c r="BN49" s="69">
        <f t="shared" si="56"/>
        <v>1</v>
      </c>
      <c r="BO49" s="69" t="b">
        <f t="shared" si="57"/>
        <v>0</v>
      </c>
      <c r="BP49" s="69" t="b">
        <f t="shared" si="58"/>
        <v>0</v>
      </c>
      <c r="BQ49" s="69" t="b">
        <f t="shared" si="59"/>
        <v>0</v>
      </c>
      <c r="BR49" s="69" t="b">
        <f t="shared" si="60"/>
        <v>0</v>
      </c>
      <c r="BS49" s="37" t="b">
        <f t="shared" si="61"/>
        <v>0</v>
      </c>
      <c r="BT49" s="37" t="b">
        <f t="shared" si="62"/>
        <v>0</v>
      </c>
    </row>
    <row r="50" spans="1:72" x14ac:dyDescent="0.25">
      <c r="A50" s="8">
        <v>49</v>
      </c>
      <c r="B50">
        <v>69894</v>
      </c>
      <c r="C50" s="7">
        <f>DATA!C30-DATA!E30</f>
        <v>978</v>
      </c>
      <c r="D50" s="7">
        <f>DATA!D30-DATA!F30</f>
        <v>3</v>
      </c>
      <c r="K50" s="47">
        <f t="shared" si="3"/>
        <v>0</v>
      </c>
      <c r="L50" s="47">
        <f t="shared" si="4"/>
        <v>0</v>
      </c>
      <c r="M50" s="47">
        <f t="shared" si="5"/>
        <v>0</v>
      </c>
      <c r="N50" s="48">
        <f t="shared" si="6"/>
        <v>0</v>
      </c>
      <c r="O50" s="48">
        <f t="shared" si="7"/>
        <v>0</v>
      </c>
      <c r="P50" s="48">
        <f t="shared" si="8"/>
        <v>0</v>
      </c>
      <c r="Q50" s="48">
        <f t="shared" si="9"/>
        <v>0</v>
      </c>
      <c r="R50" s="48">
        <f t="shared" si="10"/>
        <v>0</v>
      </c>
      <c r="S50" s="48">
        <f t="shared" si="11"/>
        <v>0</v>
      </c>
      <c r="T50" s="48">
        <f t="shared" si="12"/>
        <v>0</v>
      </c>
      <c r="U50" s="48">
        <f t="shared" si="13"/>
        <v>0</v>
      </c>
      <c r="V50" s="48">
        <f t="shared" si="14"/>
        <v>0</v>
      </c>
      <c r="W50" s="48">
        <f t="shared" si="15"/>
        <v>0</v>
      </c>
      <c r="X50" s="48">
        <f t="shared" si="16"/>
        <v>0</v>
      </c>
      <c r="Y50" s="48">
        <f t="shared" si="17"/>
        <v>0</v>
      </c>
      <c r="Z50" s="48">
        <f t="shared" si="18"/>
        <v>0</v>
      </c>
      <c r="AA50" s="48">
        <f t="shared" si="19"/>
        <v>0</v>
      </c>
      <c r="AB50" s="48">
        <f t="shared" si="20"/>
        <v>0</v>
      </c>
      <c r="AC50" s="48">
        <f t="shared" si="21"/>
        <v>0</v>
      </c>
      <c r="AD50" s="48">
        <f t="shared" si="22"/>
        <v>0</v>
      </c>
      <c r="AE50" s="48">
        <f t="shared" si="23"/>
        <v>0</v>
      </c>
      <c r="AF50" s="48">
        <f t="shared" si="24"/>
        <v>0</v>
      </c>
      <c r="AG50" s="48">
        <f t="shared" si="25"/>
        <v>0</v>
      </c>
      <c r="AH50" s="48">
        <f t="shared" si="26"/>
        <v>978</v>
      </c>
      <c r="AI50" s="48" t="b">
        <f t="shared" si="27"/>
        <v>0</v>
      </c>
      <c r="AJ50" s="48" t="b">
        <f t="shared" si="28"/>
        <v>0</v>
      </c>
      <c r="AK50" s="48" t="b">
        <f t="shared" si="29"/>
        <v>0</v>
      </c>
      <c r="AL50" s="48" t="b">
        <f t="shared" si="30"/>
        <v>0</v>
      </c>
      <c r="AM50" s="48" t="b">
        <f t="shared" si="31"/>
        <v>0</v>
      </c>
      <c r="AN50" s="48" t="b">
        <f t="shared" si="32"/>
        <v>0</v>
      </c>
      <c r="AO50" s="48"/>
      <c r="AQ50" s="47">
        <f t="shared" si="33"/>
        <v>0</v>
      </c>
      <c r="AR50" s="47">
        <f t="shared" si="34"/>
        <v>0</v>
      </c>
      <c r="AS50" s="47">
        <f t="shared" si="35"/>
        <v>0</v>
      </c>
      <c r="AT50" s="47">
        <f t="shared" si="36"/>
        <v>0</v>
      </c>
      <c r="AU50" s="47">
        <f t="shared" si="37"/>
        <v>0</v>
      </c>
      <c r="AV50" s="47">
        <f t="shared" si="38"/>
        <v>0</v>
      </c>
      <c r="AW50" s="47">
        <f t="shared" si="39"/>
        <v>0</v>
      </c>
      <c r="AX50" s="47">
        <f t="shared" si="40"/>
        <v>0</v>
      </c>
      <c r="AY50" s="47">
        <f t="shared" si="41"/>
        <v>0</v>
      </c>
      <c r="AZ50" s="47">
        <f t="shared" si="42"/>
        <v>0</v>
      </c>
      <c r="BA50" s="47">
        <f t="shared" si="43"/>
        <v>0</v>
      </c>
      <c r="BB50" s="47">
        <f t="shared" si="44"/>
        <v>0</v>
      </c>
      <c r="BC50" s="47">
        <f t="shared" si="45"/>
        <v>0</v>
      </c>
      <c r="BD50" s="47">
        <f t="shared" si="46"/>
        <v>0</v>
      </c>
      <c r="BE50" s="47">
        <f t="shared" si="47"/>
        <v>0</v>
      </c>
      <c r="BF50" s="47">
        <f t="shared" si="48"/>
        <v>0</v>
      </c>
      <c r="BG50" s="47">
        <f t="shared" si="49"/>
        <v>0</v>
      </c>
      <c r="BH50" s="47">
        <f t="shared" si="50"/>
        <v>0</v>
      </c>
      <c r="BI50" s="47">
        <f t="shared" si="51"/>
        <v>0</v>
      </c>
      <c r="BJ50" s="47">
        <f t="shared" si="52"/>
        <v>0</v>
      </c>
      <c r="BK50" s="69">
        <f t="shared" si="53"/>
        <v>0</v>
      </c>
      <c r="BL50" s="69">
        <f t="shared" si="54"/>
        <v>0</v>
      </c>
      <c r="BM50" s="69">
        <f t="shared" si="55"/>
        <v>0</v>
      </c>
      <c r="BN50" s="69">
        <f t="shared" si="56"/>
        <v>3</v>
      </c>
      <c r="BO50" s="69" t="b">
        <f t="shared" si="57"/>
        <v>0</v>
      </c>
      <c r="BP50" s="69" t="b">
        <f t="shared" si="58"/>
        <v>0</v>
      </c>
      <c r="BQ50" s="69" t="b">
        <f t="shared" si="59"/>
        <v>0</v>
      </c>
      <c r="BR50" s="69" t="b">
        <f t="shared" si="60"/>
        <v>0</v>
      </c>
      <c r="BS50" s="37" t="b">
        <f t="shared" si="61"/>
        <v>0</v>
      </c>
      <c r="BT50" s="37" t="b">
        <f t="shared" si="62"/>
        <v>0</v>
      </c>
    </row>
    <row r="51" spans="1:72" x14ac:dyDescent="0.25">
      <c r="A51" s="8">
        <v>50</v>
      </c>
      <c r="B51">
        <v>70550</v>
      </c>
      <c r="C51" s="7">
        <f>DATA!C84-DATA!E84</f>
        <v>744</v>
      </c>
      <c r="D51" s="7">
        <f>DATA!D84-DATA!F84</f>
        <v>4</v>
      </c>
      <c r="K51" s="47">
        <f t="shared" si="3"/>
        <v>0</v>
      </c>
      <c r="L51" s="47">
        <f t="shared" si="4"/>
        <v>0</v>
      </c>
      <c r="M51" s="47">
        <f t="shared" si="5"/>
        <v>0</v>
      </c>
      <c r="N51" s="48">
        <f t="shared" si="6"/>
        <v>0</v>
      </c>
      <c r="O51" s="48">
        <f t="shared" si="7"/>
        <v>0</v>
      </c>
      <c r="P51" s="48">
        <f t="shared" si="8"/>
        <v>0</v>
      </c>
      <c r="Q51" s="48">
        <f t="shared" si="9"/>
        <v>0</v>
      </c>
      <c r="R51" s="48">
        <f t="shared" si="10"/>
        <v>0</v>
      </c>
      <c r="S51" s="48">
        <f t="shared" si="11"/>
        <v>0</v>
      </c>
      <c r="T51" s="48">
        <f t="shared" si="12"/>
        <v>0</v>
      </c>
      <c r="U51" s="48">
        <f t="shared" si="13"/>
        <v>0</v>
      </c>
      <c r="V51" s="48">
        <f t="shared" si="14"/>
        <v>0</v>
      </c>
      <c r="W51" s="48">
        <f t="shared" si="15"/>
        <v>0</v>
      </c>
      <c r="X51" s="48">
        <f t="shared" si="16"/>
        <v>0</v>
      </c>
      <c r="Y51" s="48">
        <f t="shared" si="17"/>
        <v>0</v>
      </c>
      <c r="Z51" s="48">
        <f t="shared" si="18"/>
        <v>0</v>
      </c>
      <c r="AA51" s="48">
        <f t="shared" si="19"/>
        <v>0</v>
      </c>
      <c r="AB51" s="48">
        <f t="shared" si="20"/>
        <v>0</v>
      </c>
      <c r="AC51" s="48">
        <f t="shared" si="21"/>
        <v>0</v>
      </c>
      <c r="AD51" s="48">
        <f t="shared" si="22"/>
        <v>0</v>
      </c>
      <c r="AE51" s="48">
        <f t="shared" si="23"/>
        <v>0</v>
      </c>
      <c r="AF51" s="48">
        <f t="shared" si="24"/>
        <v>0</v>
      </c>
      <c r="AG51" s="48">
        <f t="shared" si="25"/>
        <v>0</v>
      </c>
      <c r="AH51" s="48">
        <f t="shared" si="26"/>
        <v>0</v>
      </c>
      <c r="AI51" s="48">
        <f t="shared" si="27"/>
        <v>744</v>
      </c>
      <c r="AJ51" s="48" t="b">
        <f t="shared" si="28"/>
        <v>0</v>
      </c>
      <c r="AK51" s="48" t="b">
        <f t="shared" si="29"/>
        <v>0</v>
      </c>
      <c r="AL51" s="48" t="b">
        <f t="shared" si="30"/>
        <v>0</v>
      </c>
      <c r="AM51" s="48" t="b">
        <f t="shared" si="31"/>
        <v>0</v>
      </c>
      <c r="AN51" s="48" t="b">
        <f t="shared" si="32"/>
        <v>0</v>
      </c>
      <c r="AO51" s="48"/>
      <c r="AQ51" s="47">
        <f t="shared" si="33"/>
        <v>0</v>
      </c>
      <c r="AR51" s="47">
        <f t="shared" si="34"/>
        <v>0</v>
      </c>
      <c r="AS51" s="47">
        <f t="shared" si="35"/>
        <v>0</v>
      </c>
      <c r="AT51" s="47">
        <f t="shared" si="36"/>
        <v>0</v>
      </c>
      <c r="AU51" s="47">
        <f t="shared" si="37"/>
        <v>0</v>
      </c>
      <c r="AV51" s="47">
        <f t="shared" si="38"/>
        <v>0</v>
      </c>
      <c r="AW51" s="47">
        <f t="shared" si="39"/>
        <v>0</v>
      </c>
      <c r="AX51" s="47">
        <f t="shared" si="40"/>
        <v>0</v>
      </c>
      <c r="AY51" s="47">
        <f t="shared" si="41"/>
        <v>0</v>
      </c>
      <c r="AZ51" s="47">
        <f t="shared" si="42"/>
        <v>0</v>
      </c>
      <c r="BA51" s="47">
        <f t="shared" si="43"/>
        <v>0</v>
      </c>
      <c r="BB51" s="47">
        <f t="shared" si="44"/>
        <v>0</v>
      </c>
      <c r="BC51" s="47">
        <f t="shared" si="45"/>
        <v>0</v>
      </c>
      <c r="BD51" s="47">
        <f t="shared" si="46"/>
        <v>0</v>
      </c>
      <c r="BE51" s="47">
        <f t="shared" si="47"/>
        <v>0</v>
      </c>
      <c r="BF51" s="47">
        <f t="shared" si="48"/>
        <v>0</v>
      </c>
      <c r="BG51" s="47">
        <f t="shared" si="49"/>
        <v>0</v>
      </c>
      <c r="BH51" s="47">
        <f t="shared" si="50"/>
        <v>0</v>
      </c>
      <c r="BI51" s="47">
        <f t="shared" si="51"/>
        <v>0</v>
      </c>
      <c r="BJ51" s="47">
        <f t="shared" si="52"/>
        <v>0</v>
      </c>
      <c r="BK51" s="69">
        <f t="shared" si="53"/>
        <v>0</v>
      </c>
      <c r="BL51" s="69">
        <f t="shared" si="54"/>
        <v>0</v>
      </c>
      <c r="BM51" s="69">
        <f t="shared" si="55"/>
        <v>0</v>
      </c>
      <c r="BN51" s="69">
        <f t="shared" si="56"/>
        <v>0</v>
      </c>
      <c r="BO51" s="69">
        <f t="shared" si="57"/>
        <v>4</v>
      </c>
      <c r="BP51" s="69" t="b">
        <f t="shared" si="58"/>
        <v>0</v>
      </c>
      <c r="BQ51" s="69" t="b">
        <f t="shared" si="59"/>
        <v>0</v>
      </c>
      <c r="BR51" s="69" t="b">
        <f t="shared" si="60"/>
        <v>0</v>
      </c>
      <c r="BS51" s="37" t="b">
        <f t="shared" si="61"/>
        <v>0</v>
      </c>
      <c r="BT51" s="37" t="b">
        <f t="shared" si="62"/>
        <v>0</v>
      </c>
    </row>
    <row r="52" spans="1:72" x14ac:dyDescent="0.25">
      <c r="A52" s="8">
        <v>51</v>
      </c>
      <c r="B52">
        <v>71124</v>
      </c>
      <c r="C52" s="7">
        <f>DATA!C129-DATA!E129</f>
        <v>143</v>
      </c>
      <c r="D52" s="7">
        <f>DATA!D129-DATA!F129</f>
        <v>-1</v>
      </c>
      <c r="K52" s="47">
        <f t="shared" si="3"/>
        <v>0</v>
      </c>
      <c r="L52" s="47">
        <f t="shared" si="4"/>
        <v>0</v>
      </c>
      <c r="M52" s="47">
        <f t="shared" si="5"/>
        <v>0</v>
      </c>
      <c r="N52" s="48">
        <f t="shared" si="6"/>
        <v>0</v>
      </c>
      <c r="O52" s="48">
        <f t="shared" si="7"/>
        <v>0</v>
      </c>
      <c r="P52" s="48">
        <f t="shared" si="8"/>
        <v>0</v>
      </c>
      <c r="Q52" s="48">
        <f t="shared" si="9"/>
        <v>0</v>
      </c>
      <c r="R52" s="48">
        <f t="shared" si="10"/>
        <v>0</v>
      </c>
      <c r="S52" s="48">
        <f t="shared" si="11"/>
        <v>0</v>
      </c>
      <c r="T52" s="48">
        <f t="shared" si="12"/>
        <v>0</v>
      </c>
      <c r="U52" s="48">
        <f t="shared" si="13"/>
        <v>0</v>
      </c>
      <c r="V52" s="48">
        <f t="shared" si="14"/>
        <v>0</v>
      </c>
      <c r="W52" s="48">
        <f t="shared" si="15"/>
        <v>0</v>
      </c>
      <c r="X52" s="48">
        <f t="shared" si="16"/>
        <v>0</v>
      </c>
      <c r="Y52" s="48">
        <f t="shared" si="17"/>
        <v>0</v>
      </c>
      <c r="Z52" s="48">
        <f t="shared" si="18"/>
        <v>0</v>
      </c>
      <c r="AA52" s="48">
        <f t="shared" si="19"/>
        <v>0</v>
      </c>
      <c r="AB52" s="48">
        <f t="shared" si="20"/>
        <v>0</v>
      </c>
      <c r="AC52" s="48">
        <f t="shared" si="21"/>
        <v>0</v>
      </c>
      <c r="AD52" s="48">
        <f t="shared" si="22"/>
        <v>0</v>
      </c>
      <c r="AE52" s="48">
        <f t="shared" si="23"/>
        <v>0</v>
      </c>
      <c r="AF52" s="48">
        <f t="shared" si="24"/>
        <v>0</v>
      </c>
      <c r="AG52" s="48">
        <f t="shared" si="25"/>
        <v>0</v>
      </c>
      <c r="AH52" s="48">
        <f t="shared" si="26"/>
        <v>0</v>
      </c>
      <c r="AI52" s="48">
        <f t="shared" si="27"/>
        <v>0</v>
      </c>
      <c r="AJ52" s="48">
        <f t="shared" si="28"/>
        <v>143</v>
      </c>
      <c r="AK52" s="48" t="b">
        <f t="shared" si="29"/>
        <v>0</v>
      </c>
      <c r="AL52" s="48" t="b">
        <f t="shared" si="30"/>
        <v>0</v>
      </c>
      <c r="AM52" s="48" t="b">
        <f t="shared" si="31"/>
        <v>0</v>
      </c>
      <c r="AN52" s="48" t="b">
        <f t="shared" si="32"/>
        <v>0</v>
      </c>
      <c r="AO52" s="48"/>
      <c r="AQ52" s="47">
        <f t="shared" si="33"/>
        <v>0</v>
      </c>
      <c r="AR52" s="47">
        <f t="shared" si="34"/>
        <v>0</v>
      </c>
      <c r="AS52" s="47">
        <f t="shared" si="35"/>
        <v>0</v>
      </c>
      <c r="AT52" s="47">
        <f t="shared" si="36"/>
        <v>0</v>
      </c>
      <c r="AU52" s="47">
        <f t="shared" si="37"/>
        <v>0</v>
      </c>
      <c r="AV52" s="47">
        <f t="shared" si="38"/>
        <v>0</v>
      </c>
      <c r="AW52" s="47">
        <f t="shared" si="39"/>
        <v>0</v>
      </c>
      <c r="AX52" s="47">
        <f t="shared" si="40"/>
        <v>0</v>
      </c>
      <c r="AY52" s="47">
        <f t="shared" si="41"/>
        <v>0</v>
      </c>
      <c r="AZ52" s="47">
        <f t="shared" si="42"/>
        <v>0</v>
      </c>
      <c r="BA52" s="47">
        <f t="shared" si="43"/>
        <v>0</v>
      </c>
      <c r="BB52" s="47">
        <f t="shared" si="44"/>
        <v>0</v>
      </c>
      <c r="BC52" s="47">
        <f t="shared" si="45"/>
        <v>0</v>
      </c>
      <c r="BD52" s="47">
        <f t="shared" si="46"/>
        <v>0</v>
      </c>
      <c r="BE52" s="47">
        <f t="shared" si="47"/>
        <v>0</v>
      </c>
      <c r="BF52" s="47">
        <f t="shared" si="48"/>
        <v>0</v>
      </c>
      <c r="BG52" s="47">
        <f t="shared" si="49"/>
        <v>0</v>
      </c>
      <c r="BH52" s="47">
        <f t="shared" si="50"/>
        <v>0</v>
      </c>
      <c r="BI52" s="47">
        <f t="shared" si="51"/>
        <v>0</v>
      </c>
      <c r="BJ52" s="47">
        <f t="shared" si="52"/>
        <v>0</v>
      </c>
      <c r="BK52" s="69">
        <f t="shared" si="53"/>
        <v>0</v>
      </c>
      <c r="BL52" s="69">
        <f t="shared" si="54"/>
        <v>0</v>
      </c>
      <c r="BM52" s="69">
        <f t="shared" si="55"/>
        <v>0</v>
      </c>
      <c r="BN52" s="69">
        <f t="shared" si="56"/>
        <v>0</v>
      </c>
      <c r="BO52" s="69">
        <f t="shared" si="57"/>
        <v>0</v>
      </c>
      <c r="BP52" s="69">
        <f t="shared" si="58"/>
        <v>-1</v>
      </c>
      <c r="BQ52" s="69" t="b">
        <f t="shared" si="59"/>
        <v>0</v>
      </c>
      <c r="BR52" s="69" t="b">
        <f t="shared" si="60"/>
        <v>0</v>
      </c>
      <c r="BS52" s="37" t="b">
        <f t="shared" si="61"/>
        <v>0</v>
      </c>
      <c r="BT52" s="37" t="b">
        <f t="shared" si="62"/>
        <v>0</v>
      </c>
    </row>
    <row r="53" spans="1:72" x14ac:dyDescent="0.25">
      <c r="A53" s="8">
        <v>52</v>
      </c>
      <c r="B53">
        <v>72095</v>
      </c>
      <c r="C53" s="7">
        <f>DATA!C75-DATA!E75</f>
        <v>209</v>
      </c>
      <c r="D53" s="7">
        <f>DATA!D75-DATA!F75</f>
        <v>-1</v>
      </c>
      <c r="K53" s="47">
        <f t="shared" si="3"/>
        <v>0</v>
      </c>
      <c r="L53" s="47">
        <f t="shared" si="4"/>
        <v>0</v>
      </c>
      <c r="M53" s="47">
        <f t="shared" si="5"/>
        <v>0</v>
      </c>
      <c r="N53" s="48">
        <f t="shared" si="6"/>
        <v>0</v>
      </c>
      <c r="O53" s="48">
        <f t="shared" si="7"/>
        <v>0</v>
      </c>
      <c r="P53" s="48">
        <f t="shared" si="8"/>
        <v>0</v>
      </c>
      <c r="Q53" s="48">
        <f t="shared" si="9"/>
        <v>0</v>
      </c>
      <c r="R53" s="48">
        <f t="shared" si="10"/>
        <v>0</v>
      </c>
      <c r="S53" s="48">
        <f t="shared" si="11"/>
        <v>0</v>
      </c>
      <c r="T53" s="48">
        <f t="shared" si="12"/>
        <v>0</v>
      </c>
      <c r="U53" s="48">
        <f t="shared" si="13"/>
        <v>0</v>
      </c>
      <c r="V53" s="48">
        <f t="shared" si="14"/>
        <v>0</v>
      </c>
      <c r="W53" s="48">
        <f t="shared" si="15"/>
        <v>0</v>
      </c>
      <c r="X53" s="48">
        <f t="shared" si="16"/>
        <v>0</v>
      </c>
      <c r="Y53" s="48">
        <f t="shared" si="17"/>
        <v>0</v>
      </c>
      <c r="Z53" s="48">
        <f t="shared" si="18"/>
        <v>0</v>
      </c>
      <c r="AA53" s="48">
        <f t="shared" si="19"/>
        <v>0</v>
      </c>
      <c r="AB53" s="48">
        <f t="shared" si="20"/>
        <v>0</v>
      </c>
      <c r="AC53" s="48">
        <f t="shared" si="21"/>
        <v>0</v>
      </c>
      <c r="AD53" s="48">
        <f t="shared" si="22"/>
        <v>0</v>
      </c>
      <c r="AE53" s="48">
        <f t="shared" si="23"/>
        <v>0</v>
      </c>
      <c r="AF53" s="48">
        <f t="shared" si="24"/>
        <v>0</v>
      </c>
      <c r="AG53" s="48">
        <f t="shared" si="25"/>
        <v>0</v>
      </c>
      <c r="AH53" s="48">
        <f t="shared" si="26"/>
        <v>0</v>
      </c>
      <c r="AI53" s="48">
        <f t="shared" si="27"/>
        <v>0</v>
      </c>
      <c r="AJ53" s="48">
        <f t="shared" si="28"/>
        <v>0</v>
      </c>
      <c r="AK53" s="48">
        <f t="shared" si="29"/>
        <v>209</v>
      </c>
      <c r="AL53" s="48" t="b">
        <f t="shared" si="30"/>
        <v>0</v>
      </c>
      <c r="AM53" s="48" t="b">
        <f t="shared" si="31"/>
        <v>0</v>
      </c>
      <c r="AN53" s="48" t="b">
        <f t="shared" si="32"/>
        <v>0</v>
      </c>
      <c r="AO53" s="48"/>
      <c r="AQ53" s="47">
        <f t="shared" si="33"/>
        <v>0</v>
      </c>
      <c r="AR53" s="47">
        <f t="shared" si="34"/>
        <v>0</v>
      </c>
      <c r="AS53" s="47">
        <f t="shared" si="35"/>
        <v>0</v>
      </c>
      <c r="AT53" s="47">
        <f t="shared" si="36"/>
        <v>0</v>
      </c>
      <c r="AU53" s="47">
        <f t="shared" si="37"/>
        <v>0</v>
      </c>
      <c r="AV53" s="47">
        <f t="shared" si="38"/>
        <v>0</v>
      </c>
      <c r="AW53" s="47">
        <f t="shared" si="39"/>
        <v>0</v>
      </c>
      <c r="AX53" s="47">
        <f t="shared" si="40"/>
        <v>0</v>
      </c>
      <c r="AY53" s="47">
        <f t="shared" si="41"/>
        <v>0</v>
      </c>
      <c r="AZ53" s="47">
        <f t="shared" si="42"/>
        <v>0</v>
      </c>
      <c r="BA53" s="47">
        <f t="shared" si="43"/>
        <v>0</v>
      </c>
      <c r="BB53" s="47">
        <f t="shared" si="44"/>
        <v>0</v>
      </c>
      <c r="BC53" s="47">
        <f t="shared" si="45"/>
        <v>0</v>
      </c>
      <c r="BD53" s="47">
        <f t="shared" si="46"/>
        <v>0</v>
      </c>
      <c r="BE53" s="47">
        <f t="shared" si="47"/>
        <v>0</v>
      </c>
      <c r="BF53" s="47">
        <f t="shared" si="48"/>
        <v>0</v>
      </c>
      <c r="BG53" s="47">
        <f t="shared" si="49"/>
        <v>0</v>
      </c>
      <c r="BH53" s="47">
        <f t="shared" si="50"/>
        <v>0</v>
      </c>
      <c r="BI53" s="47">
        <f t="shared" si="51"/>
        <v>0</v>
      </c>
      <c r="BJ53" s="47">
        <f t="shared" si="52"/>
        <v>0</v>
      </c>
      <c r="BK53" s="69">
        <f t="shared" si="53"/>
        <v>0</v>
      </c>
      <c r="BL53" s="69">
        <f t="shared" si="54"/>
        <v>0</v>
      </c>
      <c r="BM53" s="69">
        <f t="shared" si="55"/>
        <v>0</v>
      </c>
      <c r="BN53" s="69">
        <f t="shared" si="56"/>
        <v>0</v>
      </c>
      <c r="BO53" s="69">
        <f t="shared" si="57"/>
        <v>0</v>
      </c>
      <c r="BP53" s="69">
        <f t="shared" si="58"/>
        <v>0</v>
      </c>
      <c r="BQ53" s="69">
        <f t="shared" si="59"/>
        <v>-1</v>
      </c>
      <c r="BR53" s="69" t="b">
        <f t="shared" si="60"/>
        <v>0</v>
      </c>
      <c r="BS53" s="37" t="b">
        <f t="shared" si="61"/>
        <v>0</v>
      </c>
      <c r="BT53" s="37" t="b">
        <f t="shared" si="62"/>
        <v>0</v>
      </c>
    </row>
    <row r="54" spans="1:72" x14ac:dyDescent="0.25">
      <c r="A54" s="8">
        <v>53</v>
      </c>
      <c r="B54">
        <v>72119</v>
      </c>
      <c r="C54" s="7">
        <f>DATA!C39-DATA!E39</f>
        <v>-140</v>
      </c>
      <c r="D54" s="7">
        <f>DATA!D39-DATA!F39</f>
        <v>3</v>
      </c>
      <c r="K54" s="47">
        <f t="shared" si="3"/>
        <v>0</v>
      </c>
      <c r="L54" s="47">
        <f t="shared" si="4"/>
        <v>0</v>
      </c>
      <c r="M54" s="47">
        <f t="shared" si="5"/>
        <v>0</v>
      </c>
      <c r="N54" s="48">
        <f t="shared" si="6"/>
        <v>0</v>
      </c>
      <c r="O54" s="48">
        <f t="shared" si="7"/>
        <v>0</v>
      </c>
      <c r="P54" s="48">
        <f t="shared" si="8"/>
        <v>0</v>
      </c>
      <c r="Q54" s="48">
        <f t="shared" si="9"/>
        <v>0</v>
      </c>
      <c r="R54" s="48">
        <f t="shared" si="10"/>
        <v>0</v>
      </c>
      <c r="S54" s="48">
        <f t="shared" si="11"/>
        <v>0</v>
      </c>
      <c r="T54" s="48">
        <f t="shared" si="12"/>
        <v>0</v>
      </c>
      <c r="U54" s="48">
        <f t="shared" si="13"/>
        <v>0</v>
      </c>
      <c r="V54" s="48">
        <f t="shared" si="14"/>
        <v>0</v>
      </c>
      <c r="W54" s="48">
        <f t="shared" si="15"/>
        <v>0</v>
      </c>
      <c r="X54" s="48">
        <f t="shared" si="16"/>
        <v>0</v>
      </c>
      <c r="Y54" s="48">
        <f t="shared" si="17"/>
        <v>0</v>
      </c>
      <c r="Z54" s="48">
        <f t="shared" si="18"/>
        <v>0</v>
      </c>
      <c r="AA54" s="48">
        <f t="shared" si="19"/>
        <v>0</v>
      </c>
      <c r="AB54" s="48">
        <f t="shared" si="20"/>
        <v>0</v>
      </c>
      <c r="AC54" s="48">
        <f t="shared" si="21"/>
        <v>0</v>
      </c>
      <c r="AD54" s="48">
        <f t="shared" si="22"/>
        <v>0</v>
      </c>
      <c r="AE54" s="48">
        <f t="shared" si="23"/>
        <v>0</v>
      </c>
      <c r="AF54" s="48">
        <f t="shared" si="24"/>
        <v>0</v>
      </c>
      <c r="AG54" s="48">
        <f t="shared" si="25"/>
        <v>0</v>
      </c>
      <c r="AH54" s="48">
        <f t="shared" si="26"/>
        <v>0</v>
      </c>
      <c r="AI54" s="48">
        <f t="shared" si="27"/>
        <v>0</v>
      </c>
      <c r="AJ54" s="48">
        <f t="shared" si="28"/>
        <v>0</v>
      </c>
      <c r="AK54" s="48">
        <f t="shared" si="29"/>
        <v>-140</v>
      </c>
      <c r="AL54" s="48" t="b">
        <f t="shared" si="30"/>
        <v>0</v>
      </c>
      <c r="AM54" s="48" t="b">
        <f t="shared" si="31"/>
        <v>0</v>
      </c>
      <c r="AN54" s="48" t="b">
        <f t="shared" si="32"/>
        <v>0</v>
      </c>
      <c r="AO54" s="48"/>
      <c r="AQ54" s="47">
        <f t="shared" si="33"/>
        <v>0</v>
      </c>
      <c r="AR54" s="47">
        <f t="shared" si="34"/>
        <v>0</v>
      </c>
      <c r="AS54" s="47">
        <f t="shared" si="35"/>
        <v>0</v>
      </c>
      <c r="AT54" s="47">
        <f t="shared" si="36"/>
        <v>0</v>
      </c>
      <c r="AU54" s="47">
        <f t="shared" si="37"/>
        <v>0</v>
      </c>
      <c r="AV54" s="47">
        <f t="shared" si="38"/>
        <v>0</v>
      </c>
      <c r="AW54" s="47">
        <f t="shared" si="39"/>
        <v>0</v>
      </c>
      <c r="AX54" s="47">
        <f t="shared" si="40"/>
        <v>0</v>
      </c>
      <c r="AY54" s="47">
        <f t="shared" si="41"/>
        <v>0</v>
      </c>
      <c r="AZ54" s="47">
        <f t="shared" si="42"/>
        <v>0</v>
      </c>
      <c r="BA54" s="47">
        <f t="shared" si="43"/>
        <v>0</v>
      </c>
      <c r="BB54" s="47">
        <f t="shared" si="44"/>
        <v>0</v>
      </c>
      <c r="BC54" s="47">
        <f t="shared" si="45"/>
        <v>0</v>
      </c>
      <c r="BD54" s="47">
        <f t="shared" si="46"/>
        <v>0</v>
      </c>
      <c r="BE54" s="47">
        <f t="shared" si="47"/>
        <v>0</v>
      </c>
      <c r="BF54" s="47">
        <f t="shared" si="48"/>
        <v>0</v>
      </c>
      <c r="BG54" s="47">
        <f t="shared" si="49"/>
        <v>0</v>
      </c>
      <c r="BH54" s="47">
        <f t="shared" si="50"/>
        <v>0</v>
      </c>
      <c r="BI54" s="47">
        <f t="shared" si="51"/>
        <v>0</v>
      </c>
      <c r="BJ54" s="47">
        <f t="shared" si="52"/>
        <v>0</v>
      </c>
      <c r="BK54" s="69">
        <f t="shared" si="53"/>
        <v>0</v>
      </c>
      <c r="BL54" s="69">
        <f t="shared" si="54"/>
        <v>0</v>
      </c>
      <c r="BM54" s="69">
        <f t="shared" si="55"/>
        <v>0</v>
      </c>
      <c r="BN54" s="69">
        <f t="shared" si="56"/>
        <v>0</v>
      </c>
      <c r="BO54" s="69">
        <f t="shared" si="57"/>
        <v>0</v>
      </c>
      <c r="BP54" s="69">
        <f t="shared" si="58"/>
        <v>0</v>
      </c>
      <c r="BQ54" s="69">
        <f t="shared" si="59"/>
        <v>3</v>
      </c>
      <c r="BR54" s="69" t="b">
        <f t="shared" si="60"/>
        <v>0</v>
      </c>
      <c r="BS54" s="37" t="b">
        <f t="shared" si="61"/>
        <v>0</v>
      </c>
      <c r="BT54" s="37" t="b">
        <f t="shared" si="62"/>
        <v>0</v>
      </c>
    </row>
    <row r="55" spans="1:72" x14ac:dyDescent="0.25">
      <c r="A55" s="8">
        <v>54</v>
      </c>
      <c r="B55">
        <v>74238</v>
      </c>
      <c r="C55" s="7">
        <f>DATA!C93-DATA!E93</f>
        <v>807</v>
      </c>
      <c r="D55" s="7">
        <f>DATA!D93-DATA!F93</f>
        <v>11</v>
      </c>
      <c r="K55" s="47">
        <f t="shared" si="3"/>
        <v>0</v>
      </c>
      <c r="L55" s="47">
        <f t="shared" si="4"/>
        <v>0</v>
      </c>
      <c r="M55" s="47">
        <f t="shared" si="5"/>
        <v>0</v>
      </c>
      <c r="N55" s="48">
        <f t="shared" si="6"/>
        <v>0</v>
      </c>
      <c r="O55" s="48">
        <f t="shared" si="7"/>
        <v>0</v>
      </c>
      <c r="P55" s="48">
        <f t="shared" si="8"/>
        <v>0</v>
      </c>
      <c r="Q55" s="48">
        <f t="shared" si="9"/>
        <v>0</v>
      </c>
      <c r="R55" s="48">
        <f t="shared" si="10"/>
        <v>0</v>
      </c>
      <c r="S55" s="48">
        <f t="shared" si="11"/>
        <v>0</v>
      </c>
      <c r="T55" s="48">
        <f t="shared" si="12"/>
        <v>0</v>
      </c>
      <c r="U55" s="48">
        <f t="shared" si="13"/>
        <v>0</v>
      </c>
      <c r="V55" s="48">
        <f t="shared" si="14"/>
        <v>0</v>
      </c>
      <c r="W55" s="48">
        <f t="shared" si="15"/>
        <v>0</v>
      </c>
      <c r="X55" s="48">
        <f t="shared" si="16"/>
        <v>0</v>
      </c>
      <c r="Y55" s="48">
        <f t="shared" si="17"/>
        <v>0</v>
      </c>
      <c r="Z55" s="48">
        <f t="shared" si="18"/>
        <v>0</v>
      </c>
      <c r="AA55" s="48">
        <f t="shared" si="19"/>
        <v>0</v>
      </c>
      <c r="AB55" s="48">
        <f t="shared" si="20"/>
        <v>0</v>
      </c>
      <c r="AC55" s="48">
        <f t="shared" si="21"/>
        <v>0</v>
      </c>
      <c r="AD55" s="48">
        <f t="shared" si="22"/>
        <v>0</v>
      </c>
      <c r="AE55" s="48">
        <f t="shared" si="23"/>
        <v>0</v>
      </c>
      <c r="AF55" s="48">
        <f t="shared" si="24"/>
        <v>0</v>
      </c>
      <c r="AG55" s="48">
        <f t="shared" si="25"/>
        <v>0</v>
      </c>
      <c r="AH55" s="48">
        <f t="shared" si="26"/>
        <v>0</v>
      </c>
      <c r="AI55" s="48">
        <f t="shared" si="27"/>
        <v>0</v>
      </c>
      <c r="AJ55" s="48">
        <f t="shared" si="28"/>
        <v>0</v>
      </c>
      <c r="AK55" s="48">
        <f t="shared" si="29"/>
        <v>0</v>
      </c>
      <c r="AL55" s="48">
        <f t="shared" si="30"/>
        <v>0</v>
      </c>
      <c r="AM55" s="48">
        <f t="shared" si="31"/>
        <v>807</v>
      </c>
      <c r="AN55" s="48" t="b">
        <f t="shared" si="32"/>
        <v>0</v>
      </c>
      <c r="AO55" s="48"/>
      <c r="AQ55" s="47">
        <f t="shared" si="33"/>
        <v>0</v>
      </c>
      <c r="AR55" s="47">
        <f t="shared" si="34"/>
        <v>0</v>
      </c>
      <c r="AS55" s="47">
        <f t="shared" si="35"/>
        <v>0</v>
      </c>
      <c r="AT55" s="47">
        <f t="shared" si="36"/>
        <v>0</v>
      </c>
      <c r="AU55" s="47">
        <f t="shared" si="37"/>
        <v>0</v>
      </c>
      <c r="AV55" s="47">
        <f t="shared" si="38"/>
        <v>0</v>
      </c>
      <c r="AW55" s="47">
        <f t="shared" si="39"/>
        <v>0</v>
      </c>
      <c r="AX55" s="47">
        <f t="shared" si="40"/>
        <v>0</v>
      </c>
      <c r="AY55" s="47">
        <f t="shared" si="41"/>
        <v>0</v>
      </c>
      <c r="AZ55" s="47">
        <f t="shared" si="42"/>
        <v>0</v>
      </c>
      <c r="BA55" s="47">
        <f t="shared" si="43"/>
        <v>0</v>
      </c>
      <c r="BB55" s="47">
        <f t="shared" si="44"/>
        <v>0</v>
      </c>
      <c r="BC55" s="47">
        <f t="shared" si="45"/>
        <v>0</v>
      </c>
      <c r="BD55" s="47">
        <f t="shared" si="46"/>
        <v>0</v>
      </c>
      <c r="BE55" s="47">
        <f t="shared" si="47"/>
        <v>0</v>
      </c>
      <c r="BF55" s="47">
        <f t="shared" si="48"/>
        <v>0</v>
      </c>
      <c r="BG55" s="47">
        <f t="shared" si="49"/>
        <v>0</v>
      </c>
      <c r="BH55" s="47">
        <f t="shared" si="50"/>
        <v>0</v>
      </c>
      <c r="BI55" s="47">
        <f t="shared" si="51"/>
        <v>0</v>
      </c>
      <c r="BJ55" s="47">
        <f t="shared" si="52"/>
        <v>0</v>
      </c>
      <c r="BK55" s="69">
        <f t="shared" si="53"/>
        <v>0</v>
      </c>
      <c r="BL55" s="69">
        <f t="shared" si="54"/>
        <v>0</v>
      </c>
      <c r="BM55" s="69">
        <f t="shared" si="55"/>
        <v>0</v>
      </c>
      <c r="BN55" s="69">
        <f t="shared" si="56"/>
        <v>0</v>
      </c>
      <c r="BO55" s="69">
        <f t="shared" si="57"/>
        <v>0</v>
      </c>
      <c r="BP55" s="69">
        <f t="shared" si="58"/>
        <v>0</v>
      </c>
      <c r="BQ55" s="69">
        <f t="shared" si="59"/>
        <v>0</v>
      </c>
      <c r="BR55" s="69">
        <f t="shared" si="60"/>
        <v>0</v>
      </c>
      <c r="BS55" s="37">
        <f t="shared" si="61"/>
        <v>11</v>
      </c>
      <c r="BT55" s="37" t="b">
        <f t="shared" si="62"/>
        <v>0</v>
      </c>
    </row>
    <row r="56" spans="1:72" x14ac:dyDescent="0.25">
      <c r="A56" s="8">
        <v>55</v>
      </c>
      <c r="B56">
        <v>74297</v>
      </c>
      <c r="C56" s="7">
        <f>DATA!C120-DATA!E120</f>
        <v>726</v>
      </c>
      <c r="D56" s="7">
        <f>DATA!D120-DATA!F120</f>
        <v>-2</v>
      </c>
      <c r="K56" s="47">
        <f t="shared" si="3"/>
        <v>0</v>
      </c>
      <c r="L56" s="47">
        <f t="shared" si="4"/>
        <v>0</v>
      </c>
      <c r="M56" s="47">
        <f t="shared" si="5"/>
        <v>0</v>
      </c>
      <c r="N56" s="48">
        <f t="shared" si="6"/>
        <v>0</v>
      </c>
      <c r="O56" s="48">
        <f t="shared" si="7"/>
        <v>0</v>
      </c>
      <c r="P56" s="48">
        <f t="shared" si="8"/>
        <v>0</v>
      </c>
      <c r="Q56" s="48">
        <f t="shared" si="9"/>
        <v>0</v>
      </c>
      <c r="R56" s="48">
        <f t="shared" si="10"/>
        <v>0</v>
      </c>
      <c r="S56" s="48">
        <f t="shared" si="11"/>
        <v>0</v>
      </c>
      <c r="T56" s="48">
        <f t="shared" si="12"/>
        <v>0</v>
      </c>
      <c r="U56" s="48">
        <f t="shared" si="13"/>
        <v>0</v>
      </c>
      <c r="V56" s="48">
        <f t="shared" si="14"/>
        <v>0</v>
      </c>
      <c r="W56" s="48">
        <f t="shared" si="15"/>
        <v>0</v>
      </c>
      <c r="X56" s="48">
        <f t="shared" si="16"/>
        <v>0</v>
      </c>
      <c r="Y56" s="48">
        <f t="shared" si="17"/>
        <v>0</v>
      </c>
      <c r="Z56" s="48">
        <f t="shared" si="18"/>
        <v>0</v>
      </c>
      <c r="AA56" s="48">
        <f t="shared" si="19"/>
        <v>0</v>
      </c>
      <c r="AB56" s="48">
        <f t="shared" si="20"/>
        <v>0</v>
      </c>
      <c r="AC56" s="48">
        <f t="shared" si="21"/>
        <v>0</v>
      </c>
      <c r="AD56" s="48">
        <f t="shared" si="22"/>
        <v>0</v>
      </c>
      <c r="AE56" s="48">
        <f t="shared" si="23"/>
        <v>0</v>
      </c>
      <c r="AF56" s="48">
        <f t="shared" si="24"/>
        <v>0</v>
      </c>
      <c r="AG56" s="48">
        <f t="shared" si="25"/>
        <v>0</v>
      </c>
      <c r="AH56" s="48">
        <f t="shared" si="26"/>
        <v>0</v>
      </c>
      <c r="AI56" s="48">
        <f t="shared" si="27"/>
        <v>0</v>
      </c>
      <c r="AJ56" s="48">
        <f t="shared" si="28"/>
        <v>0</v>
      </c>
      <c r="AK56" s="48">
        <f t="shared" si="29"/>
        <v>0</v>
      </c>
      <c r="AL56" s="48">
        <f t="shared" si="30"/>
        <v>0</v>
      </c>
      <c r="AM56" s="48">
        <f t="shared" si="31"/>
        <v>726</v>
      </c>
      <c r="AN56" s="48" t="b">
        <f t="shared" si="32"/>
        <v>0</v>
      </c>
      <c r="AO56" s="48"/>
      <c r="AQ56" s="47">
        <f t="shared" si="33"/>
        <v>0</v>
      </c>
      <c r="AR56" s="47">
        <f t="shared" si="34"/>
        <v>0</v>
      </c>
      <c r="AS56" s="47">
        <f t="shared" si="35"/>
        <v>0</v>
      </c>
      <c r="AT56" s="47">
        <f t="shared" si="36"/>
        <v>0</v>
      </c>
      <c r="AU56" s="47">
        <f t="shared" si="37"/>
        <v>0</v>
      </c>
      <c r="AV56" s="47">
        <f t="shared" si="38"/>
        <v>0</v>
      </c>
      <c r="AW56" s="47">
        <f t="shared" si="39"/>
        <v>0</v>
      </c>
      <c r="AX56" s="47">
        <f t="shared" si="40"/>
        <v>0</v>
      </c>
      <c r="AY56" s="47">
        <f t="shared" si="41"/>
        <v>0</v>
      </c>
      <c r="AZ56" s="47">
        <f t="shared" si="42"/>
        <v>0</v>
      </c>
      <c r="BA56" s="47">
        <f t="shared" si="43"/>
        <v>0</v>
      </c>
      <c r="BB56" s="47">
        <f t="shared" si="44"/>
        <v>0</v>
      </c>
      <c r="BC56" s="47">
        <f t="shared" si="45"/>
        <v>0</v>
      </c>
      <c r="BD56" s="47">
        <f t="shared" si="46"/>
        <v>0</v>
      </c>
      <c r="BE56" s="47">
        <f t="shared" si="47"/>
        <v>0</v>
      </c>
      <c r="BF56" s="47">
        <f t="shared" si="48"/>
        <v>0</v>
      </c>
      <c r="BG56" s="47">
        <f t="shared" si="49"/>
        <v>0</v>
      </c>
      <c r="BH56" s="47">
        <f t="shared" si="50"/>
        <v>0</v>
      </c>
      <c r="BI56" s="47">
        <f t="shared" si="51"/>
        <v>0</v>
      </c>
      <c r="BJ56" s="47">
        <f t="shared" si="52"/>
        <v>0</v>
      </c>
      <c r="BK56" s="69">
        <f t="shared" si="53"/>
        <v>0</v>
      </c>
      <c r="BL56" s="69">
        <f t="shared" si="54"/>
        <v>0</v>
      </c>
      <c r="BM56" s="69">
        <f t="shared" si="55"/>
        <v>0</v>
      </c>
      <c r="BN56" s="69">
        <f t="shared" si="56"/>
        <v>0</v>
      </c>
      <c r="BO56" s="69">
        <f t="shared" si="57"/>
        <v>0</v>
      </c>
      <c r="BP56" s="69">
        <f t="shared" si="58"/>
        <v>0</v>
      </c>
      <c r="BQ56" s="69">
        <f t="shared" si="59"/>
        <v>0</v>
      </c>
      <c r="BR56" s="69">
        <f t="shared" si="60"/>
        <v>0</v>
      </c>
      <c r="BS56" s="37">
        <f t="shared" si="61"/>
        <v>-2</v>
      </c>
      <c r="BT56" s="37" t="b">
        <f t="shared" si="62"/>
        <v>0</v>
      </c>
    </row>
    <row r="57" spans="1:72" x14ac:dyDescent="0.25">
      <c r="A57" s="8">
        <v>56</v>
      </c>
      <c r="B57">
        <v>74474</v>
      </c>
      <c r="C57" s="7">
        <f>DATA!C66-DATA!E66</f>
        <v>45</v>
      </c>
      <c r="D57" s="7">
        <f>DATA!D66-DATA!F66</f>
        <v>0</v>
      </c>
      <c r="K57" s="47">
        <f t="shared" si="3"/>
        <v>0</v>
      </c>
      <c r="L57" s="47">
        <f t="shared" si="4"/>
        <v>0</v>
      </c>
      <c r="M57" s="47">
        <f t="shared" si="5"/>
        <v>0</v>
      </c>
      <c r="N57" s="48">
        <f t="shared" si="6"/>
        <v>0</v>
      </c>
      <c r="O57" s="48">
        <f t="shared" si="7"/>
        <v>0</v>
      </c>
      <c r="P57" s="48">
        <f t="shared" si="8"/>
        <v>0</v>
      </c>
      <c r="Q57" s="48">
        <f t="shared" si="9"/>
        <v>0</v>
      </c>
      <c r="R57" s="48">
        <f t="shared" si="10"/>
        <v>0</v>
      </c>
      <c r="S57" s="48">
        <f t="shared" si="11"/>
        <v>0</v>
      </c>
      <c r="T57" s="48">
        <f t="shared" si="12"/>
        <v>0</v>
      </c>
      <c r="U57" s="48">
        <f t="shared" si="13"/>
        <v>0</v>
      </c>
      <c r="V57" s="48">
        <f t="shared" si="14"/>
        <v>0</v>
      </c>
      <c r="W57" s="48">
        <f t="shared" si="15"/>
        <v>0</v>
      </c>
      <c r="X57" s="48">
        <f t="shared" si="16"/>
        <v>0</v>
      </c>
      <c r="Y57" s="48">
        <f t="shared" si="17"/>
        <v>0</v>
      </c>
      <c r="Z57" s="48">
        <f t="shared" si="18"/>
        <v>0</v>
      </c>
      <c r="AA57" s="48">
        <f t="shared" si="19"/>
        <v>0</v>
      </c>
      <c r="AB57" s="48">
        <f t="shared" si="20"/>
        <v>0</v>
      </c>
      <c r="AC57" s="48">
        <f t="shared" si="21"/>
        <v>0</v>
      </c>
      <c r="AD57" s="48">
        <f t="shared" si="22"/>
        <v>0</v>
      </c>
      <c r="AE57" s="48">
        <f t="shared" si="23"/>
        <v>0</v>
      </c>
      <c r="AF57" s="48">
        <f t="shared" si="24"/>
        <v>0</v>
      </c>
      <c r="AG57" s="48">
        <f t="shared" si="25"/>
        <v>0</v>
      </c>
      <c r="AH57" s="48">
        <f t="shared" si="26"/>
        <v>0</v>
      </c>
      <c r="AI57" s="48">
        <f t="shared" si="27"/>
        <v>0</v>
      </c>
      <c r="AJ57" s="48">
        <f t="shared" si="28"/>
        <v>0</v>
      </c>
      <c r="AK57" s="48">
        <f t="shared" si="29"/>
        <v>0</v>
      </c>
      <c r="AL57" s="48">
        <f t="shared" si="30"/>
        <v>0</v>
      </c>
      <c r="AM57" s="48">
        <f t="shared" si="31"/>
        <v>45</v>
      </c>
      <c r="AN57" s="48" t="b">
        <f t="shared" si="32"/>
        <v>0</v>
      </c>
      <c r="AO57" s="48"/>
      <c r="AQ57" s="47">
        <f t="shared" si="33"/>
        <v>0</v>
      </c>
      <c r="AR57" s="47">
        <f t="shared" si="34"/>
        <v>0</v>
      </c>
      <c r="AS57" s="47">
        <f t="shared" si="35"/>
        <v>0</v>
      </c>
      <c r="AT57" s="47">
        <f t="shared" si="36"/>
        <v>0</v>
      </c>
      <c r="AU57" s="47">
        <f t="shared" si="37"/>
        <v>0</v>
      </c>
      <c r="AV57" s="47">
        <f t="shared" si="38"/>
        <v>0</v>
      </c>
      <c r="AW57" s="47">
        <f t="shared" si="39"/>
        <v>0</v>
      </c>
      <c r="AX57" s="47">
        <f t="shared" si="40"/>
        <v>0</v>
      </c>
      <c r="AY57" s="47">
        <f t="shared" si="41"/>
        <v>0</v>
      </c>
      <c r="AZ57" s="47">
        <f t="shared" si="42"/>
        <v>0</v>
      </c>
      <c r="BA57" s="47">
        <f t="shared" si="43"/>
        <v>0</v>
      </c>
      <c r="BB57" s="47">
        <f t="shared" si="44"/>
        <v>0</v>
      </c>
      <c r="BC57" s="47">
        <f t="shared" si="45"/>
        <v>0</v>
      </c>
      <c r="BD57" s="47">
        <f t="shared" si="46"/>
        <v>0</v>
      </c>
      <c r="BE57" s="47">
        <f t="shared" si="47"/>
        <v>0</v>
      </c>
      <c r="BF57" s="47">
        <f t="shared" si="48"/>
        <v>0</v>
      </c>
      <c r="BG57" s="47">
        <f t="shared" si="49"/>
        <v>0</v>
      </c>
      <c r="BH57" s="47">
        <f t="shared" si="50"/>
        <v>0</v>
      </c>
      <c r="BI57" s="47">
        <f t="shared" si="51"/>
        <v>0</v>
      </c>
      <c r="BJ57" s="47">
        <f t="shared" si="52"/>
        <v>0</v>
      </c>
      <c r="BK57" s="69">
        <f t="shared" si="53"/>
        <v>0</v>
      </c>
      <c r="BL57" s="69">
        <f t="shared" si="54"/>
        <v>0</v>
      </c>
      <c r="BM57" s="69">
        <f t="shared" si="55"/>
        <v>0</v>
      </c>
      <c r="BN57" s="69">
        <f t="shared" si="56"/>
        <v>0</v>
      </c>
      <c r="BO57" s="69">
        <f t="shared" si="57"/>
        <v>0</v>
      </c>
      <c r="BP57" s="69">
        <f t="shared" si="58"/>
        <v>0</v>
      </c>
      <c r="BQ57" s="69">
        <f t="shared" si="59"/>
        <v>0</v>
      </c>
      <c r="BR57" s="69">
        <f t="shared" si="60"/>
        <v>0</v>
      </c>
      <c r="BS57" s="37">
        <f t="shared" si="61"/>
        <v>0</v>
      </c>
      <c r="BT57" s="37" t="b">
        <f t="shared" si="62"/>
        <v>0</v>
      </c>
    </row>
    <row r="58" spans="1:72" x14ac:dyDescent="0.25">
      <c r="A58" s="8">
        <v>57</v>
      </c>
      <c r="B58">
        <v>75693</v>
      </c>
      <c r="C58" s="7">
        <f>DATA!C48-DATA!E48</f>
        <v>-168</v>
      </c>
      <c r="D58" s="7">
        <f>DATA!D48-DATA!F48</f>
        <v>-3</v>
      </c>
      <c r="K58" s="47">
        <f t="shared" si="3"/>
        <v>0</v>
      </c>
      <c r="L58" s="47">
        <f t="shared" si="4"/>
        <v>0</v>
      </c>
      <c r="M58" s="47">
        <f t="shared" si="5"/>
        <v>0</v>
      </c>
      <c r="N58" s="48">
        <f t="shared" si="6"/>
        <v>0</v>
      </c>
      <c r="O58" s="48">
        <f t="shared" si="7"/>
        <v>0</v>
      </c>
      <c r="P58" s="48">
        <f t="shared" si="8"/>
        <v>0</v>
      </c>
      <c r="Q58" s="48">
        <f t="shared" si="9"/>
        <v>0</v>
      </c>
      <c r="R58" s="48">
        <f t="shared" si="10"/>
        <v>0</v>
      </c>
      <c r="S58" s="48">
        <f t="shared" si="11"/>
        <v>0</v>
      </c>
      <c r="T58" s="48">
        <f t="shared" si="12"/>
        <v>0</v>
      </c>
      <c r="U58" s="48">
        <f t="shared" si="13"/>
        <v>0</v>
      </c>
      <c r="V58" s="48">
        <f t="shared" si="14"/>
        <v>0</v>
      </c>
      <c r="W58" s="48">
        <f t="shared" si="15"/>
        <v>0</v>
      </c>
      <c r="X58" s="48">
        <f t="shared" si="16"/>
        <v>0</v>
      </c>
      <c r="Y58" s="48">
        <f t="shared" si="17"/>
        <v>0</v>
      </c>
      <c r="Z58" s="48">
        <f t="shared" si="18"/>
        <v>0</v>
      </c>
      <c r="AA58" s="48">
        <f t="shared" si="19"/>
        <v>0</v>
      </c>
      <c r="AB58" s="48">
        <f t="shared" si="20"/>
        <v>0</v>
      </c>
      <c r="AC58" s="48">
        <f t="shared" si="21"/>
        <v>0</v>
      </c>
      <c r="AD58" s="48">
        <f t="shared" si="22"/>
        <v>0</v>
      </c>
      <c r="AE58" s="48">
        <f t="shared" si="23"/>
        <v>0</v>
      </c>
      <c r="AF58" s="48">
        <f t="shared" si="24"/>
        <v>0</v>
      </c>
      <c r="AG58" s="48">
        <f t="shared" si="25"/>
        <v>0</v>
      </c>
      <c r="AH58" s="48">
        <f t="shared" si="26"/>
        <v>0</v>
      </c>
      <c r="AI58" s="48">
        <f t="shared" si="27"/>
        <v>0</v>
      </c>
      <c r="AJ58" s="48">
        <f t="shared" si="28"/>
        <v>0</v>
      </c>
      <c r="AK58" s="48">
        <f t="shared" si="29"/>
        <v>0</v>
      </c>
      <c r="AL58" s="48">
        <f t="shared" si="30"/>
        <v>0</v>
      </c>
      <c r="AM58" s="48">
        <f t="shared" si="31"/>
        <v>0</v>
      </c>
      <c r="AN58" s="48">
        <f t="shared" si="32"/>
        <v>-168</v>
      </c>
      <c r="AO58" s="48"/>
      <c r="AQ58" s="47">
        <f t="shared" si="33"/>
        <v>0</v>
      </c>
      <c r="AR58" s="47">
        <f t="shared" si="34"/>
        <v>0</v>
      </c>
      <c r="AS58" s="47">
        <f t="shared" si="35"/>
        <v>0</v>
      </c>
      <c r="AT58" s="47">
        <f t="shared" si="36"/>
        <v>0</v>
      </c>
      <c r="AU58" s="47">
        <f t="shared" si="37"/>
        <v>0</v>
      </c>
      <c r="AV58" s="47">
        <f t="shared" si="38"/>
        <v>0</v>
      </c>
      <c r="AW58" s="47">
        <f t="shared" si="39"/>
        <v>0</v>
      </c>
      <c r="AX58" s="47">
        <f t="shared" si="40"/>
        <v>0</v>
      </c>
      <c r="AY58" s="47">
        <f t="shared" si="41"/>
        <v>0</v>
      </c>
      <c r="AZ58" s="47">
        <f t="shared" si="42"/>
        <v>0</v>
      </c>
      <c r="BA58" s="47">
        <f t="shared" si="43"/>
        <v>0</v>
      </c>
      <c r="BB58" s="47">
        <f t="shared" si="44"/>
        <v>0</v>
      </c>
      <c r="BC58" s="47">
        <f t="shared" si="45"/>
        <v>0</v>
      </c>
      <c r="BD58" s="47">
        <f t="shared" si="46"/>
        <v>0</v>
      </c>
      <c r="BE58" s="47">
        <f t="shared" si="47"/>
        <v>0</v>
      </c>
      <c r="BF58" s="47">
        <f t="shared" si="48"/>
        <v>0</v>
      </c>
      <c r="BG58" s="47">
        <f t="shared" si="49"/>
        <v>0</v>
      </c>
      <c r="BH58" s="47">
        <f t="shared" si="50"/>
        <v>0</v>
      </c>
      <c r="BI58" s="47">
        <f t="shared" si="51"/>
        <v>0</v>
      </c>
      <c r="BJ58" s="47">
        <f t="shared" si="52"/>
        <v>0</v>
      </c>
      <c r="BK58" s="69">
        <f t="shared" si="53"/>
        <v>0</v>
      </c>
      <c r="BL58" s="69">
        <f t="shared" si="54"/>
        <v>0</v>
      </c>
      <c r="BM58" s="69">
        <f t="shared" si="55"/>
        <v>0</v>
      </c>
      <c r="BN58" s="69">
        <f t="shared" si="56"/>
        <v>0</v>
      </c>
      <c r="BO58" s="69">
        <f t="shared" si="57"/>
        <v>0</v>
      </c>
      <c r="BP58" s="69">
        <f t="shared" si="58"/>
        <v>0</v>
      </c>
      <c r="BQ58" s="69">
        <f t="shared" si="59"/>
        <v>0</v>
      </c>
      <c r="BR58" s="69">
        <f t="shared" si="60"/>
        <v>0</v>
      </c>
      <c r="BS58" s="37">
        <f t="shared" si="61"/>
        <v>0</v>
      </c>
      <c r="BT58" s="37">
        <f t="shared" si="62"/>
        <v>-3</v>
      </c>
    </row>
    <row r="59" spans="1:72" x14ac:dyDescent="0.25">
      <c r="A59" s="8">
        <v>58</v>
      </c>
      <c r="B59">
        <v>75901</v>
      </c>
      <c r="C59" s="7">
        <f>DATA!C111-DATA!E111</f>
        <v>228</v>
      </c>
      <c r="D59" s="7">
        <f>DATA!D111-DATA!F111</f>
        <v>1</v>
      </c>
      <c r="K59" s="47">
        <f t="shared" si="3"/>
        <v>0</v>
      </c>
      <c r="L59" s="47">
        <f t="shared" si="4"/>
        <v>0</v>
      </c>
      <c r="M59" s="47">
        <f t="shared" si="5"/>
        <v>0</v>
      </c>
      <c r="N59" s="48">
        <f t="shared" si="6"/>
        <v>0</v>
      </c>
      <c r="O59" s="48">
        <f t="shared" si="7"/>
        <v>0</v>
      </c>
      <c r="P59" s="48">
        <f t="shared" si="8"/>
        <v>0</v>
      </c>
      <c r="Q59" s="48">
        <f t="shared" si="9"/>
        <v>0</v>
      </c>
      <c r="R59" s="48">
        <f t="shared" si="10"/>
        <v>0</v>
      </c>
      <c r="S59" s="48">
        <f t="shared" si="11"/>
        <v>0</v>
      </c>
      <c r="T59" s="48">
        <f t="shared" si="12"/>
        <v>0</v>
      </c>
      <c r="U59" s="48">
        <f t="shared" si="13"/>
        <v>0</v>
      </c>
      <c r="V59" s="48">
        <f t="shared" si="14"/>
        <v>0</v>
      </c>
      <c r="W59" s="48">
        <f t="shared" si="15"/>
        <v>0</v>
      </c>
      <c r="X59" s="48">
        <f t="shared" si="16"/>
        <v>0</v>
      </c>
      <c r="Y59" s="48">
        <f t="shared" si="17"/>
        <v>0</v>
      </c>
      <c r="Z59" s="48">
        <f t="shared" si="18"/>
        <v>0</v>
      </c>
      <c r="AA59" s="48">
        <f t="shared" si="19"/>
        <v>0</v>
      </c>
      <c r="AB59" s="48">
        <f t="shared" si="20"/>
        <v>0</v>
      </c>
      <c r="AC59" s="48">
        <f t="shared" si="21"/>
        <v>0</v>
      </c>
      <c r="AD59" s="48">
        <f t="shared" si="22"/>
        <v>0</v>
      </c>
      <c r="AE59" s="48">
        <f t="shared" si="23"/>
        <v>0</v>
      </c>
      <c r="AF59" s="48">
        <f t="shared" si="24"/>
        <v>0</v>
      </c>
      <c r="AG59" s="48">
        <f t="shared" si="25"/>
        <v>0</v>
      </c>
      <c r="AH59" s="48">
        <f t="shared" si="26"/>
        <v>0</v>
      </c>
      <c r="AI59" s="48">
        <f t="shared" si="27"/>
        <v>0</v>
      </c>
      <c r="AJ59" s="48">
        <f t="shared" si="28"/>
        <v>0</v>
      </c>
      <c r="AK59" s="48">
        <f t="shared" si="29"/>
        <v>0</v>
      </c>
      <c r="AL59" s="48">
        <f t="shared" si="30"/>
        <v>0</v>
      </c>
      <c r="AM59" s="48">
        <f t="shared" si="31"/>
        <v>0</v>
      </c>
      <c r="AN59" s="48">
        <f t="shared" si="32"/>
        <v>228</v>
      </c>
      <c r="AO59" s="48"/>
      <c r="AQ59" s="47">
        <f t="shared" si="33"/>
        <v>0</v>
      </c>
      <c r="AR59" s="47">
        <f t="shared" si="34"/>
        <v>0</v>
      </c>
      <c r="AS59" s="47">
        <f t="shared" si="35"/>
        <v>0</v>
      </c>
      <c r="AT59" s="47">
        <f t="shared" si="36"/>
        <v>0</v>
      </c>
      <c r="AU59" s="47">
        <f t="shared" si="37"/>
        <v>0</v>
      </c>
      <c r="AV59" s="47">
        <f t="shared" si="38"/>
        <v>0</v>
      </c>
      <c r="AW59" s="47">
        <f t="shared" si="39"/>
        <v>0</v>
      </c>
      <c r="AX59" s="47">
        <f t="shared" si="40"/>
        <v>0</v>
      </c>
      <c r="AY59" s="47">
        <f t="shared" si="41"/>
        <v>0</v>
      </c>
      <c r="AZ59" s="47">
        <f t="shared" si="42"/>
        <v>0</v>
      </c>
      <c r="BA59" s="47">
        <f t="shared" si="43"/>
        <v>0</v>
      </c>
      <c r="BB59" s="47">
        <f t="shared" si="44"/>
        <v>0</v>
      </c>
      <c r="BC59" s="47">
        <f t="shared" si="45"/>
        <v>0</v>
      </c>
      <c r="BD59" s="47">
        <f t="shared" si="46"/>
        <v>0</v>
      </c>
      <c r="BE59" s="47">
        <f t="shared" si="47"/>
        <v>0</v>
      </c>
      <c r="BF59" s="47">
        <f t="shared" si="48"/>
        <v>0</v>
      </c>
      <c r="BG59" s="47">
        <f t="shared" si="49"/>
        <v>0</v>
      </c>
      <c r="BH59" s="47">
        <f t="shared" si="50"/>
        <v>0</v>
      </c>
      <c r="BI59" s="47">
        <f t="shared" si="51"/>
        <v>0</v>
      </c>
      <c r="BJ59" s="47">
        <f t="shared" si="52"/>
        <v>0</v>
      </c>
      <c r="BK59" s="69">
        <f t="shared" si="53"/>
        <v>0</v>
      </c>
      <c r="BL59" s="69">
        <f t="shared" si="54"/>
        <v>0</v>
      </c>
      <c r="BM59" s="69">
        <f t="shared" si="55"/>
        <v>0</v>
      </c>
      <c r="BN59" s="69">
        <f t="shared" si="56"/>
        <v>0</v>
      </c>
      <c r="BO59" s="69">
        <f t="shared" si="57"/>
        <v>0</v>
      </c>
      <c r="BP59" s="69">
        <f t="shared" si="58"/>
        <v>0</v>
      </c>
      <c r="BQ59" s="69">
        <f t="shared" si="59"/>
        <v>0</v>
      </c>
      <c r="BR59" s="69">
        <f t="shared" si="60"/>
        <v>0</v>
      </c>
      <c r="BS59" s="37">
        <f t="shared" si="61"/>
        <v>0</v>
      </c>
      <c r="BT59" s="37">
        <f t="shared" si="62"/>
        <v>1</v>
      </c>
    </row>
    <row r="60" spans="1:72" x14ac:dyDescent="0.25">
      <c r="A60" s="8">
        <v>59</v>
      </c>
      <c r="B60">
        <v>76199</v>
      </c>
      <c r="C60" s="7">
        <f>DATA!C102-DATA!E102</f>
        <v>825</v>
      </c>
      <c r="D60" s="7">
        <f>DATA!D102-DATA!F102</f>
        <v>3</v>
      </c>
      <c r="K60" s="47">
        <f t="shared" si="3"/>
        <v>0</v>
      </c>
      <c r="L60" s="47">
        <f t="shared" si="4"/>
        <v>0</v>
      </c>
      <c r="M60" s="47">
        <f t="shared" si="5"/>
        <v>0</v>
      </c>
      <c r="N60" s="48">
        <f t="shared" si="6"/>
        <v>0</v>
      </c>
      <c r="O60" s="48">
        <f t="shared" si="7"/>
        <v>0</v>
      </c>
      <c r="P60" s="48">
        <f t="shared" si="8"/>
        <v>0</v>
      </c>
      <c r="Q60" s="48">
        <f t="shared" si="9"/>
        <v>0</v>
      </c>
      <c r="R60" s="48">
        <f t="shared" si="10"/>
        <v>0</v>
      </c>
      <c r="S60" s="48">
        <f t="shared" si="11"/>
        <v>0</v>
      </c>
      <c r="T60" s="48">
        <f t="shared" si="12"/>
        <v>0</v>
      </c>
      <c r="U60" s="48">
        <f t="shared" si="13"/>
        <v>0</v>
      </c>
      <c r="V60" s="48">
        <f t="shared" si="14"/>
        <v>0</v>
      </c>
      <c r="W60" s="48">
        <f t="shared" si="15"/>
        <v>0</v>
      </c>
      <c r="X60" s="48">
        <f t="shared" si="16"/>
        <v>0</v>
      </c>
      <c r="Y60" s="48">
        <f t="shared" si="17"/>
        <v>0</v>
      </c>
      <c r="Z60" s="48">
        <f t="shared" si="18"/>
        <v>0</v>
      </c>
      <c r="AA60" s="48">
        <f t="shared" si="19"/>
        <v>0</v>
      </c>
      <c r="AB60" s="48">
        <f t="shared" si="20"/>
        <v>0</v>
      </c>
      <c r="AC60" s="48">
        <f t="shared" si="21"/>
        <v>0</v>
      </c>
      <c r="AD60" s="48">
        <f t="shared" si="22"/>
        <v>0</v>
      </c>
      <c r="AE60" s="48">
        <f t="shared" si="23"/>
        <v>0</v>
      </c>
      <c r="AF60" s="48">
        <f t="shared" si="24"/>
        <v>0</v>
      </c>
      <c r="AG60" s="48">
        <f t="shared" si="25"/>
        <v>0</v>
      </c>
      <c r="AH60" s="48">
        <f t="shared" si="26"/>
        <v>0</v>
      </c>
      <c r="AI60" s="48">
        <f t="shared" si="27"/>
        <v>0</v>
      </c>
      <c r="AJ60" s="48">
        <f t="shared" si="28"/>
        <v>0</v>
      </c>
      <c r="AK60" s="48">
        <f t="shared" si="29"/>
        <v>0</v>
      </c>
      <c r="AL60" s="48">
        <f t="shared" si="30"/>
        <v>0</v>
      </c>
      <c r="AM60" s="48">
        <f t="shared" si="31"/>
        <v>0</v>
      </c>
      <c r="AN60" s="48">
        <f t="shared" si="32"/>
        <v>825</v>
      </c>
      <c r="AO60" s="48"/>
      <c r="AQ60" s="47">
        <f t="shared" si="33"/>
        <v>0</v>
      </c>
      <c r="AR60" s="47">
        <f t="shared" si="34"/>
        <v>0</v>
      </c>
      <c r="AS60" s="47">
        <f t="shared" si="35"/>
        <v>0</v>
      </c>
      <c r="AT60" s="47">
        <f t="shared" si="36"/>
        <v>0</v>
      </c>
      <c r="AU60" s="47">
        <f t="shared" si="37"/>
        <v>0</v>
      </c>
      <c r="AV60" s="47">
        <f t="shared" si="38"/>
        <v>0</v>
      </c>
      <c r="AW60" s="47">
        <f t="shared" si="39"/>
        <v>0</v>
      </c>
      <c r="AX60" s="47">
        <f t="shared" si="40"/>
        <v>0</v>
      </c>
      <c r="AY60" s="47">
        <f t="shared" si="41"/>
        <v>0</v>
      </c>
      <c r="AZ60" s="47">
        <f t="shared" si="42"/>
        <v>0</v>
      </c>
      <c r="BA60" s="47">
        <f t="shared" si="43"/>
        <v>0</v>
      </c>
      <c r="BB60" s="47">
        <f t="shared" si="44"/>
        <v>0</v>
      </c>
      <c r="BC60" s="47">
        <f t="shared" si="45"/>
        <v>0</v>
      </c>
      <c r="BD60" s="47">
        <f t="shared" si="46"/>
        <v>0</v>
      </c>
      <c r="BE60" s="47">
        <f t="shared" si="47"/>
        <v>0</v>
      </c>
      <c r="BF60" s="47">
        <f t="shared" si="48"/>
        <v>0</v>
      </c>
      <c r="BG60" s="47">
        <f t="shared" si="49"/>
        <v>0</v>
      </c>
      <c r="BH60" s="47">
        <f t="shared" si="50"/>
        <v>0</v>
      </c>
      <c r="BI60" s="47">
        <f t="shared" si="51"/>
        <v>0</v>
      </c>
      <c r="BJ60" s="47">
        <f t="shared" si="52"/>
        <v>0</v>
      </c>
      <c r="BK60" s="69">
        <f t="shared" si="53"/>
        <v>0</v>
      </c>
      <c r="BL60" s="69">
        <f t="shared" si="54"/>
        <v>0</v>
      </c>
      <c r="BM60" s="69">
        <f t="shared" si="55"/>
        <v>0</v>
      </c>
      <c r="BN60" s="69">
        <f t="shared" si="56"/>
        <v>0</v>
      </c>
      <c r="BO60" s="69">
        <f t="shared" si="57"/>
        <v>0</v>
      </c>
      <c r="BP60" s="69">
        <f t="shared" si="58"/>
        <v>0</v>
      </c>
      <c r="BQ60" s="69">
        <f t="shared" si="59"/>
        <v>0</v>
      </c>
      <c r="BR60" s="69">
        <f t="shared" si="60"/>
        <v>0</v>
      </c>
      <c r="BS60" s="37">
        <f t="shared" si="61"/>
        <v>0</v>
      </c>
      <c r="BT60" s="37">
        <f t="shared" si="62"/>
        <v>3</v>
      </c>
    </row>
    <row r="61" spans="1:72" x14ac:dyDescent="0.25">
      <c r="A61" s="8">
        <v>60</v>
      </c>
      <c r="B61">
        <v>76259</v>
      </c>
      <c r="C61" s="7">
        <f>DATA!C57-DATA!E57</f>
        <v>-81</v>
      </c>
      <c r="D61" s="7">
        <f>DATA!D57-DATA!F57</f>
        <v>9</v>
      </c>
      <c r="K61" s="47">
        <f t="shared" si="3"/>
        <v>0</v>
      </c>
      <c r="L61" s="47">
        <f t="shared" si="4"/>
        <v>0</v>
      </c>
      <c r="M61" s="47">
        <f t="shared" si="5"/>
        <v>0</v>
      </c>
      <c r="N61" s="48">
        <f t="shared" si="6"/>
        <v>0</v>
      </c>
      <c r="O61" s="48">
        <f t="shared" si="7"/>
        <v>0</v>
      </c>
      <c r="P61" s="48">
        <f t="shared" si="8"/>
        <v>0</v>
      </c>
      <c r="Q61" s="48">
        <f t="shared" si="9"/>
        <v>0</v>
      </c>
      <c r="R61" s="48">
        <f t="shared" si="10"/>
        <v>0</v>
      </c>
      <c r="S61" s="48">
        <f t="shared" si="11"/>
        <v>0</v>
      </c>
      <c r="T61" s="48">
        <f t="shared" si="12"/>
        <v>0</v>
      </c>
      <c r="U61" s="48">
        <f t="shared" si="13"/>
        <v>0</v>
      </c>
      <c r="V61" s="48">
        <f t="shared" si="14"/>
        <v>0</v>
      </c>
      <c r="W61" s="48">
        <f t="shared" si="15"/>
        <v>0</v>
      </c>
      <c r="X61" s="48">
        <f t="shared" si="16"/>
        <v>0</v>
      </c>
      <c r="Y61" s="48">
        <f t="shared" si="17"/>
        <v>0</v>
      </c>
      <c r="Z61" s="48">
        <f t="shared" si="18"/>
        <v>0</v>
      </c>
      <c r="AA61" s="48">
        <f t="shared" si="19"/>
        <v>0</v>
      </c>
      <c r="AB61" s="48">
        <f t="shared" si="20"/>
        <v>0</v>
      </c>
      <c r="AC61" s="48">
        <f t="shared" si="21"/>
        <v>0</v>
      </c>
      <c r="AD61" s="48">
        <f t="shared" si="22"/>
        <v>0</v>
      </c>
      <c r="AE61" s="48">
        <f t="shared" si="23"/>
        <v>0</v>
      </c>
      <c r="AF61" s="48">
        <f t="shared" si="24"/>
        <v>0</v>
      </c>
      <c r="AG61" s="48">
        <f t="shared" si="25"/>
        <v>0</v>
      </c>
      <c r="AH61" s="48">
        <f t="shared" si="26"/>
        <v>0</v>
      </c>
      <c r="AI61" s="48">
        <f t="shared" si="27"/>
        <v>0</v>
      </c>
      <c r="AJ61" s="48">
        <f t="shared" si="28"/>
        <v>0</v>
      </c>
      <c r="AK61" s="48">
        <f t="shared" si="29"/>
        <v>0</v>
      </c>
      <c r="AL61" s="48">
        <f t="shared" si="30"/>
        <v>0</v>
      </c>
      <c r="AM61" s="48">
        <f t="shared" si="31"/>
        <v>0</v>
      </c>
      <c r="AN61" s="48">
        <f t="shared" si="32"/>
        <v>-81</v>
      </c>
      <c r="AO61" s="48"/>
      <c r="AQ61" s="47">
        <f t="shared" si="33"/>
        <v>0</v>
      </c>
      <c r="AR61" s="47">
        <f t="shared" si="34"/>
        <v>0</v>
      </c>
      <c r="AS61" s="47">
        <f t="shared" si="35"/>
        <v>0</v>
      </c>
      <c r="AT61" s="47">
        <f t="shared" si="36"/>
        <v>0</v>
      </c>
      <c r="AU61" s="47">
        <f t="shared" si="37"/>
        <v>0</v>
      </c>
      <c r="AV61" s="47">
        <f t="shared" si="38"/>
        <v>0</v>
      </c>
      <c r="AW61" s="47">
        <f t="shared" si="39"/>
        <v>0</v>
      </c>
      <c r="AX61" s="47">
        <f t="shared" si="40"/>
        <v>0</v>
      </c>
      <c r="AY61" s="47">
        <f t="shared" si="41"/>
        <v>0</v>
      </c>
      <c r="AZ61" s="47">
        <f t="shared" si="42"/>
        <v>0</v>
      </c>
      <c r="BA61" s="47">
        <f t="shared" si="43"/>
        <v>0</v>
      </c>
      <c r="BB61" s="47">
        <f t="shared" si="44"/>
        <v>0</v>
      </c>
      <c r="BC61" s="47">
        <f t="shared" si="45"/>
        <v>0</v>
      </c>
      <c r="BD61" s="47">
        <f t="shared" si="46"/>
        <v>0</v>
      </c>
      <c r="BE61" s="47">
        <f t="shared" si="47"/>
        <v>0</v>
      </c>
      <c r="BF61" s="47">
        <f t="shared" si="48"/>
        <v>0</v>
      </c>
      <c r="BG61" s="47">
        <f t="shared" si="49"/>
        <v>0</v>
      </c>
      <c r="BH61" s="47">
        <f t="shared" si="50"/>
        <v>0</v>
      </c>
      <c r="BI61" s="47">
        <f t="shared" si="51"/>
        <v>0</v>
      </c>
      <c r="BJ61" s="47">
        <f t="shared" si="52"/>
        <v>0</v>
      </c>
      <c r="BK61" s="69">
        <f t="shared" si="53"/>
        <v>0</v>
      </c>
      <c r="BL61" s="69">
        <f t="shared" si="54"/>
        <v>0</v>
      </c>
      <c r="BM61" s="69">
        <f t="shared" si="55"/>
        <v>0</v>
      </c>
      <c r="BN61" s="69">
        <f t="shared" si="56"/>
        <v>0</v>
      </c>
      <c r="BO61" s="69">
        <f t="shared" si="57"/>
        <v>0</v>
      </c>
      <c r="BP61" s="69">
        <f t="shared" si="58"/>
        <v>0</v>
      </c>
      <c r="BQ61" s="69">
        <f t="shared" si="59"/>
        <v>0</v>
      </c>
      <c r="BR61" s="69">
        <f t="shared" si="60"/>
        <v>0</v>
      </c>
      <c r="BS61" s="37">
        <f t="shared" si="61"/>
        <v>0</v>
      </c>
      <c r="BT61" s="37">
        <f t="shared" si="62"/>
        <v>9</v>
      </c>
    </row>
    <row r="62" spans="1:72" x14ac:dyDescent="0.25">
      <c r="K62" s="50">
        <f>SUM(K2:K61)</f>
        <v>-3026</v>
      </c>
      <c r="L62" s="50">
        <f t="shared" ref="L62:AN62" si="63">SUM(L2:L61)</f>
        <v>-1316</v>
      </c>
      <c r="M62" s="50">
        <f t="shared" si="63"/>
        <v>-2650</v>
      </c>
      <c r="N62" s="50">
        <f t="shared" si="63"/>
        <v>-1510</v>
      </c>
      <c r="O62" s="50">
        <f t="shared" si="63"/>
        <v>-1273</v>
      </c>
      <c r="P62" s="50">
        <f t="shared" si="63"/>
        <v>-1362</v>
      </c>
      <c r="Q62" s="50">
        <f t="shared" si="63"/>
        <v>-367</v>
      </c>
      <c r="R62" s="50">
        <f t="shared" si="63"/>
        <v>0</v>
      </c>
      <c r="S62" s="50">
        <f t="shared" si="63"/>
        <v>-435</v>
      </c>
      <c r="T62" s="50">
        <f t="shared" si="63"/>
        <v>0</v>
      </c>
      <c r="U62" s="50">
        <f t="shared" si="63"/>
        <v>298</v>
      </c>
      <c r="V62" s="50">
        <f t="shared" si="63"/>
        <v>1103</v>
      </c>
      <c r="W62" s="50">
        <f t="shared" si="63"/>
        <v>-1580</v>
      </c>
      <c r="X62" s="50">
        <f t="shared" si="63"/>
        <v>-601</v>
      </c>
      <c r="Y62" s="50">
        <f t="shared" si="63"/>
        <v>605</v>
      </c>
      <c r="Z62" s="50">
        <f t="shared" si="63"/>
        <v>-153</v>
      </c>
      <c r="AA62" s="50">
        <f t="shared" si="63"/>
        <v>0</v>
      </c>
      <c r="AB62" s="50">
        <f t="shared" si="63"/>
        <v>-157</v>
      </c>
      <c r="AC62" s="50">
        <f t="shared" si="63"/>
        <v>1047</v>
      </c>
      <c r="AD62" s="50">
        <f t="shared" si="63"/>
        <v>0</v>
      </c>
      <c r="AE62" s="50">
        <f t="shared" si="63"/>
        <v>1253</v>
      </c>
      <c r="AF62" s="50">
        <f t="shared" si="63"/>
        <v>0</v>
      </c>
      <c r="AG62" s="50">
        <f t="shared" si="63"/>
        <v>0</v>
      </c>
      <c r="AH62" s="50">
        <f t="shared" si="63"/>
        <v>5</v>
      </c>
      <c r="AI62" s="50">
        <f t="shared" si="63"/>
        <v>744</v>
      </c>
      <c r="AJ62" s="50">
        <f t="shared" si="63"/>
        <v>143</v>
      </c>
      <c r="AK62" s="50">
        <f t="shared" si="63"/>
        <v>69</v>
      </c>
      <c r="AL62" s="50">
        <f t="shared" si="63"/>
        <v>0</v>
      </c>
      <c r="AM62" s="50">
        <f t="shared" si="63"/>
        <v>1578</v>
      </c>
      <c r="AN62" s="50">
        <f t="shared" si="63"/>
        <v>804</v>
      </c>
      <c r="AO62" s="50"/>
      <c r="AQ62" s="50">
        <f>SUM(AQ2:AQ61)</f>
        <v>15</v>
      </c>
      <c r="AR62" s="50">
        <f t="shared" ref="AR62:BT62" si="64">SUM(AR2:AR61)</f>
        <v>-2</v>
      </c>
      <c r="AS62" s="50">
        <f t="shared" si="64"/>
        <v>7</v>
      </c>
      <c r="AT62" s="50">
        <f t="shared" si="64"/>
        <v>-4</v>
      </c>
      <c r="AU62" s="50">
        <f t="shared" si="64"/>
        <v>-1</v>
      </c>
      <c r="AV62" s="50">
        <f t="shared" si="64"/>
        <v>14</v>
      </c>
      <c r="AW62" s="50">
        <f t="shared" si="64"/>
        <v>2</v>
      </c>
      <c r="AX62" s="50">
        <f t="shared" si="64"/>
        <v>0</v>
      </c>
      <c r="AY62" s="50">
        <f t="shared" si="64"/>
        <v>-1</v>
      </c>
      <c r="AZ62" s="50">
        <f t="shared" si="64"/>
        <v>0</v>
      </c>
      <c r="BA62" s="50">
        <f t="shared" si="64"/>
        <v>-6</v>
      </c>
      <c r="BB62" s="50">
        <f t="shared" si="64"/>
        <v>23</v>
      </c>
      <c r="BC62" s="50">
        <f t="shared" si="64"/>
        <v>-42</v>
      </c>
      <c r="BD62" s="50">
        <f t="shared" si="64"/>
        <v>-2</v>
      </c>
      <c r="BE62" s="50">
        <f t="shared" si="64"/>
        <v>-2</v>
      </c>
      <c r="BF62" s="50">
        <f t="shared" si="64"/>
        <v>-17</v>
      </c>
      <c r="BG62" s="50">
        <f t="shared" si="64"/>
        <v>0</v>
      </c>
      <c r="BH62" s="50">
        <f t="shared" si="64"/>
        <v>-8</v>
      </c>
      <c r="BI62" s="50">
        <f t="shared" si="64"/>
        <v>-14</v>
      </c>
      <c r="BJ62" s="50">
        <f t="shared" si="64"/>
        <v>0</v>
      </c>
      <c r="BK62" s="50">
        <f t="shared" si="64"/>
        <v>-9</v>
      </c>
      <c r="BL62" s="50">
        <f t="shared" si="64"/>
        <v>0</v>
      </c>
      <c r="BM62" s="50">
        <f t="shared" si="64"/>
        <v>0</v>
      </c>
      <c r="BN62" s="50">
        <f t="shared" si="64"/>
        <v>6</v>
      </c>
      <c r="BO62" s="50">
        <f t="shared" si="64"/>
        <v>4</v>
      </c>
      <c r="BP62" s="50">
        <f t="shared" si="64"/>
        <v>-1</v>
      </c>
      <c r="BQ62" s="50">
        <f t="shared" si="64"/>
        <v>2</v>
      </c>
      <c r="BR62" s="50">
        <f t="shared" si="64"/>
        <v>0</v>
      </c>
      <c r="BS62" s="50">
        <f t="shared" si="64"/>
        <v>9</v>
      </c>
      <c r="BT62" s="50">
        <f t="shared" si="64"/>
        <v>10</v>
      </c>
    </row>
  </sheetData>
  <sortState ref="B2:D61">
    <sortCondition ref="B2:B61"/>
  </sortState>
  <mergeCells count="2">
    <mergeCell ref="K1:AN1"/>
    <mergeCell ref="AQ1:BT1"/>
  </mergeCells>
  <dataValidations count="1">
    <dataValidation type="whole" operator="greaterThan" allowBlank="1" showInputMessage="1" showErrorMessage="1" errorTitle="اشتباه در ورود اطلاعات" error="لطفا در قسمت قیمت پایانی عدد مثبت وارد نمایید" sqref="B2:B61" xr:uid="{00000000-0002-0000-0E00-000000000000}">
      <formula1>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/>
  <dimension ref="A1:R61"/>
  <sheetViews>
    <sheetView topLeftCell="J1" zoomScale="80" zoomScaleNormal="80" workbookViewId="0">
      <pane ySplit="1" topLeftCell="A2" activePane="bottomLeft" state="frozen"/>
      <selection pane="bottomLeft" activeCell="R22" sqref="R22:R61"/>
    </sheetView>
  </sheetViews>
  <sheetFormatPr defaultRowHeight="15" x14ac:dyDescent="0.25"/>
  <cols>
    <col min="2" max="2" width="16.7109375" style="79" customWidth="1"/>
    <col min="3" max="3" width="17.5703125" style="79" customWidth="1"/>
    <col min="4" max="5" width="17.85546875" style="83" customWidth="1"/>
    <col min="6" max="6" width="42.42578125" style="81" customWidth="1"/>
    <col min="7" max="7" width="35.28515625" style="27" customWidth="1"/>
    <col min="8" max="8" width="41.5703125" style="27" customWidth="1"/>
    <col min="9" max="9" width="57.42578125" style="38" customWidth="1"/>
    <col min="10" max="10" width="14.42578125" style="33" customWidth="1"/>
    <col min="11" max="11" width="14.5703125" style="33" customWidth="1"/>
    <col min="12" max="12" width="10.85546875" style="33" customWidth="1"/>
    <col min="13" max="13" width="13" style="37" bestFit="1" customWidth="1"/>
    <col min="14" max="14" width="10.5703125" customWidth="1"/>
    <col min="15" max="15" width="16" style="57" bestFit="1" customWidth="1"/>
    <col min="16" max="16" width="16" style="57" customWidth="1"/>
    <col min="17" max="17" width="10.7109375" customWidth="1"/>
    <col min="18" max="18" width="33.140625" style="7" customWidth="1"/>
  </cols>
  <sheetData>
    <row r="1" spans="1:18" s="76" customFormat="1" ht="15.75" customHeight="1" x14ac:dyDescent="0.25">
      <c r="B1" s="77" t="s">
        <v>346</v>
      </c>
      <c r="C1" s="77" t="s">
        <v>347</v>
      </c>
      <c r="D1" s="77" t="s">
        <v>348</v>
      </c>
      <c r="E1" s="77" t="s">
        <v>461</v>
      </c>
      <c r="F1" s="78" t="s">
        <v>476</v>
      </c>
      <c r="G1" s="87" t="s">
        <v>479</v>
      </c>
      <c r="H1" s="87" t="s">
        <v>478</v>
      </c>
      <c r="I1" s="87" t="s">
        <v>477</v>
      </c>
      <c r="J1" s="94" t="s">
        <v>317</v>
      </c>
      <c r="K1" s="93" t="s">
        <v>485</v>
      </c>
      <c r="L1" s="93" t="s">
        <v>486</v>
      </c>
      <c r="M1" s="94" t="s">
        <v>484</v>
      </c>
      <c r="N1" s="76" t="s">
        <v>487</v>
      </c>
      <c r="O1" s="95" t="s">
        <v>488</v>
      </c>
      <c r="P1" s="96" t="s">
        <v>486</v>
      </c>
      <c r="Q1" s="76" t="s">
        <v>489</v>
      </c>
      <c r="R1" s="97" t="s">
        <v>490</v>
      </c>
    </row>
    <row r="2" spans="1:18" s="8" customFormat="1" x14ac:dyDescent="0.25">
      <c r="A2" s="8">
        <v>1</v>
      </c>
      <c r="B2" s="79">
        <f>(DATA!H3-DATA!H2)/DATA!H2</f>
        <v>1.069055186362323E-2</v>
      </c>
      <c r="C2" s="79">
        <f>(DATA!H6-DATA!H2)/DATA!H2</f>
        <v>6.0364945658213501E-2</v>
      </c>
      <c r="D2" s="79">
        <f>(DATA!H21-DATA!H2)/DATA!H2</f>
        <v>0.18754028404418466</v>
      </c>
      <c r="E2" s="79">
        <f>ABS(B2)</f>
        <v>1.069055186362323E-2</v>
      </c>
      <c r="F2" s="80">
        <f>C2/SUM(E2:E6)</f>
        <v>0.55410869598262347</v>
      </c>
      <c r="G2" s="27"/>
      <c r="H2" s="27"/>
      <c r="I2" s="38"/>
      <c r="J2" s="38">
        <f>DATA!D535+DATA!E535</f>
        <v>6053000</v>
      </c>
      <c r="K2" s="37"/>
      <c r="L2" s="37"/>
      <c r="M2" s="37"/>
      <c r="O2" s="37"/>
      <c r="P2" s="37"/>
      <c r="R2" s="38"/>
    </row>
    <row r="3" spans="1:18" s="8" customFormat="1" x14ac:dyDescent="0.25">
      <c r="A3" s="8">
        <v>2</v>
      </c>
      <c r="B3" s="79">
        <f>(DATA!H4-DATA!H3)/DATA!H3</f>
        <v>-2.1110964507190921E-2</v>
      </c>
      <c r="C3" s="79">
        <f>(DATA!H11-DATA!H7)/DATA!H7</f>
        <v>-8.2458770614692659E-3</v>
      </c>
      <c r="D3" s="79">
        <f>(DATA!H41-DATA!H22)/DATA!H22</f>
        <v>8.0565838653718899E-2</v>
      </c>
      <c r="E3" s="79">
        <f t="shared" ref="E3:E60" si="0">ABS(B3)</f>
        <v>2.1110964507190921E-2</v>
      </c>
      <c r="F3" s="80">
        <f>C3/SUM(E7:E11)</f>
        <v>-8.6065536301315262E-2</v>
      </c>
      <c r="G3" s="27"/>
      <c r="H3" s="27"/>
      <c r="I3" s="38"/>
      <c r="J3" s="38">
        <f>DATA!D526+DATA!E526</f>
        <v>4884116</v>
      </c>
      <c r="K3" s="38">
        <f>B2*J3</f>
        <v>52213.895405952033</v>
      </c>
      <c r="L3" s="37"/>
      <c r="M3" s="37"/>
      <c r="N3" s="35">
        <f>(J3-J2)/J2</f>
        <v>-0.19310821080455973</v>
      </c>
      <c r="O3" s="38">
        <f>N3/B2</f>
        <v>-18.06344642147517</v>
      </c>
      <c r="P3" s="38"/>
      <c r="R3" s="38"/>
    </row>
    <row r="4" spans="1:18" s="8" customFormat="1" x14ac:dyDescent="0.25">
      <c r="A4" s="8">
        <v>3</v>
      </c>
      <c r="B4" s="79">
        <f>(DATA!H5-DATA!H4)/DATA!H4</f>
        <v>3.756121669587096E-2</v>
      </c>
      <c r="C4" s="79">
        <f>(DATA!H16-DATA!H12)/DATA!H12</f>
        <v>1.1307718572375424E-2</v>
      </c>
      <c r="D4" s="79">
        <f>(DATA!H61-DATA!H42)/DATA!H42</f>
        <v>-4.5522611560347412E-2</v>
      </c>
      <c r="E4" s="79">
        <f t="shared" si="0"/>
        <v>3.756121669587096E-2</v>
      </c>
      <c r="F4" s="80">
        <f>C4/SUM(E12:E16)</f>
        <v>0.14655415546751779</v>
      </c>
      <c r="G4" s="27"/>
      <c r="H4" s="27"/>
      <c r="I4" s="38"/>
      <c r="J4" s="38">
        <f>DATA!D517+DATA!E517</f>
        <v>6420000</v>
      </c>
      <c r="K4" s="38">
        <f t="shared" ref="K4:K61" si="1">B3*J4</f>
        <v>-135532.3921361657</v>
      </c>
      <c r="L4" s="37"/>
      <c r="M4" s="37"/>
      <c r="N4" s="35">
        <f t="shared" ref="N4:N61" si="2">(J4-J3)/J3</f>
        <v>0.31446509460463262</v>
      </c>
      <c r="O4" s="38">
        <f t="shared" ref="O4:O61" si="3">N4/B3</f>
        <v>-14.895818450053193</v>
      </c>
      <c r="P4" s="38"/>
      <c r="R4" s="38"/>
    </row>
    <row r="5" spans="1:18" s="8" customFormat="1" x14ac:dyDescent="0.25">
      <c r="A5" s="8">
        <v>4</v>
      </c>
      <c r="B5" s="79">
        <f>(DATA!H6-DATA!H5)/DATA!H5</f>
        <v>3.2975360498852468E-2</v>
      </c>
      <c r="C5" s="79">
        <f>(DATA!H21-DATA!H17)/DATA!H17</f>
        <v>0.10422005455898156</v>
      </c>
      <c r="D5" s="80"/>
      <c r="E5" s="79">
        <f t="shared" si="0"/>
        <v>3.2975360498852468E-2</v>
      </c>
      <c r="F5" s="80">
        <f>C5/SUM(E17:E21)</f>
        <v>0.56465576107359861</v>
      </c>
      <c r="G5" s="27"/>
      <c r="H5" s="27"/>
      <c r="I5" s="38"/>
      <c r="J5" s="38">
        <f>DATA!D508+DATA!E508</f>
        <v>5608000</v>
      </c>
      <c r="K5" s="38">
        <f t="shared" si="1"/>
        <v>210643.30323044435</v>
      </c>
      <c r="L5" s="37"/>
      <c r="M5" s="37"/>
      <c r="N5" s="35">
        <f t="shared" si="2"/>
        <v>-0.12647975077881621</v>
      </c>
      <c r="O5" s="38">
        <f t="shared" si="3"/>
        <v>-3.3672964271341059</v>
      </c>
      <c r="P5" s="38"/>
      <c r="R5" s="38"/>
    </row>
    <row r="6" spans="1:18" s="8" customFormat="1" x14ac:dyDescent="0.25">
      <c r="A6" s="8">
        <v>5</v>
      </c>
      <c r="B6" s="79">
        <f>(DATA!H7-DATA!H6)/DATA!H6</f>
        <v>6.6025278249386907E-3</v>
      </c>
      <c r="C6" s="79">
        <f>(DATA!H26-DATA!H22)/DATA!H22</f>
        <v>6.6062199331151525E-2</v>
      </c>
      <c r="D6" s="80"/>
      <c r="E6" s="79">
        <f t="shared" si="0"/>
        <v>6.6025278249386907E-3</v>
      </c>
      <c r="F6" s="80">
        <f>C6/SUM(E22:E26)</f>
        <v>0.75654844590253612</v>
      </c>
      <c r="G6" s="27"/>
      <c r="H6" s="27"/>
      <c r="I6" s="38"/>
      <c r="J6" s="38">
        <f>DATA!D499+DATA!E499</f>
        <v>2455428</v>
      </c>
      <c r="K6" s="38">
        <f t="shared" si="1"/>
        <v>80968.623478976326</v>
      </c>
      <c r="L6" s="37"/>
      <c r="M6" s="37"/>
      <c r="N6" s="35">
        <f t="shared" si="2"/>
        <v>-0.56215620542082734</v>
      </c>
      <c r="O6" s="38">
        <f t="shared" si="3"/>
        <v>-17.047765268264168</v>
      </c>
      <c r="P6" s="38"/>
      <c r="R6" s="38"/>
    </row>
    <row r="7" spans="1:18" s="8" customFormat="1" x14ac:dyDescent="0.25">
      <c r="A7" s="8">
        <v>6</v>
      </c>
      <c r="B7" s="79">
        <f>(DATA!H8-DATA!H7)/DATA!H7</f>
        <v>1.3743128435782109E-3</v>
      </c>
      <c r="C7" s="79">
        <f>(DATA!H31-DATA!H27)/DATA!H27</f>
        <v>-2.6139807337430376E-2</v>
      </c>
      <c r="D7" s="80"/>
      <c r="E7" s="79">
        <f t="shared" si="0"/>
        <v>1.3743128435782109E-3</v>
      </c>
      <c r="F7" s="80">
        <f>C7/SUM(E27:E31)</f>
        <v>-0.38716943450205715</v>
      </c>
      <c r="G7" s="27"/>
      <c r="H7" s="27"/>
      <c r="I7" s="38"/>
      <c r="J7" s="38">
        <f>DATA!D490+DATA!E490</f>
        <v>5251000</v>
      </c>
      <c r="K7" s="38">
        <f t="shared" si="1"/>
        <v>34669.873608753063</v>
      </c>
      <c r="L7" s="37"/>
      <c r="M7" s="37"/>
      <c r="N7" s="35">
        <f t="shared" si="2"/>
        <v>1.1385273768972253</v>
      </c>
      <c r="O7" s="38">
        <f t="shared" si="3"/>
        <v>172.43810356949118</v>
      </c>
      <c r="P7" s="38"/>
      <c r="R7" s="38"/>
    </row>
    <row r="8" spans="1:18" s="8" customFormat="1" x14ac:dyDescent="0.25">
      <c r="A8" s="8">
        <v>7</v>
      </c>
      <c r="B8" s="79">
        <f>(DATA!H9-DATA!H8)/DATA!H8</f>
        <v>-1.8652526512788523E-2</v>
      </c>
      <c r="C8" s="79">
        <f>(DATA!H36-DATA!H32)/DATA!H32</f>
        <v>-1.2315995225822076E-2</v>
      </c>
      <c r="D8" s="80"/>
      <c r="E8" s="79">
        <f t="shared" si="0"/>
        <v>1.8652526512788523E-2</v>
      </c>
      <c r="F8" s="80">
        <f>C8/SUM(E32:E36)</f>
        <v>-0.13735183435227979</v>
      </c>
      <c r="G8" s="27"/>
      <c r="H8" s="27"/>
      <c r="I8" s="38"/>
      <c r="J8" s="38">
        <f>DATA!D481+DATA!E481</f>
        <v>2561607</v>
      </c>
      <c r="K8" s="38">
        <f t="shared" si="1"/>
        <v>3520.4494002998499</v>
      </c>
      <c r="L8" s="37"/>
      <c r="M8" s="37"/>
      <c r="N8" s="35">
        <f t="shared" si="2"/>
        <v>-0.51216777756617782</v>
      </c>
      <c r="O8" s="38">
        <f t="shared" si="3"/>
        <v>-372.67189923997154</v>
      </c>
      <c r="P8" s="38"/>
      <c r="R8" s="38"/>
    </row>
    <row r="9" spans="1:18" s="8" customFormat="1" x14ac:dyDescent="0.25">
      <c r="A9" s="8">
        <v>8</v>
      </c>
      <c r="B9" s="79">
        <f>(DATA!H10-DATA!H9)/DATA!H9</f>
        <v>1.9918208208844532E-2</v>
      </c>
      <c r="C9" s="79">
        <f>(DATA!H41-DATA!H37)/DATA!H37</f>
        <v>4.8902005034285219E-2</v>
      </c>
      <c r="D9" s="80"/>
      <c r="E9" s="79">
        <f t="shared" si="0"/>
        <v>1.9918208208844532E-2</v>
      </c>
      <c r="F9" s="80">
        <f>C9/SUM(E37:E41)</f>
        <v>0.39583830871933651</v>
      </c>
      <c r="G9" s="27"/>
      <c r="H9" s="27"/>
      <c r="I9" s="38"/>
      <c r="J9" s="38">
        <f>DATA!D472+DATA!E472</f>
        <v>2496822</v>
      </c>
      <c r="K9" s="38">
        <f t="shared" si="1"/>
        <v>-46572.038552713668</v>
      </c>
      <c r="L9" s="37"/>
      <c r="M9" s="37"/>
      <c r="N9" s="35">
        <f t="shared" si="2"/>
        <v>-2.529076474260103E-2</v>
      </c>
      <c r="O9" s="38">
        <f t="shared" si="3"/>
        <v>1.3558894943942958</v>
      </c>
      <c r="P9" s="38"/>
      <c r="R9" s="38"/>
    </row>
    <row r="10" spans="1:18" s="8" customFormat="1" x14ac:dyDescent="0.25">
      <c r="A10" s="8">
        <v>9</v>
      </c>
      <c r="B10" s="79">
        <f>(DATA!H11-DATA!H10)/DATA!H10</f>
        <v>-1.0491762408326928E-2</v>
      </c>
      <c r="C10" s="79">
        <f>(DATA!H46-DATA!H42)/DATA!H42</f>
        <v>9.9840796960955852E-2</v>
      </c>
      <c r="D10" s="80"/>
      <c r="E10" s="79">
        <f t="shared" si="0"/>
        <v>1.0491762408326928E-2</v>
      </c>
      <c r="F10" s="80">
        <f>C10/SUM(E42:E46)</f>
        <v>0.78254331474787087</v>
      </c>
      <c r="G10" s="27"/>
      <c r="H10" s="27"/>
      <c r="I10" s="38"/>
      <c r="J10" s="38">
        <f>DATA!D463+DATA!E463</f>
        <v>2064062</v>
      </c>
      <c r="K10" s="38">
        <f t="shared" si="1"/>
        <v>41112.416671964063</v>
      </c>
      <c r="L10" s="37"/>
      <c r="M10" s="37"/>
      <c r="N10" s="35">
        <f t="shared" si="2"/>
        <v>-0.17332432988815383</v>
      </c>
      <c r="O10" s="38">
        <f t="shared" si="3"/>
        <v>-8.70180329831026</v>
      </c>
      <c r="P10" s="38"/>
      <c r="R10" s="38"/>
    </row>
    <row r="11" spans="1:18" s="8" customFormat="1" x14ac:dyDescent="0.25">
      <c r="A11" s="8">
        <v>10</v>
      </c>
      <c r="B11" s="79">
        <f>(DATA!H12-DATA!H11)/DATA!H11</f>
        <v>4.5372469975644578E-2</v>
      </c>
      <c r="C11" s="79">
        <f>(DATA!H51-DATA!H47)/DATA!H47</f>
        <v>4.3782689387548507E-2</v>
      </c>
      <c r="D11" s="80"/>
      <c r="E11" s="79">
        <f t="shared" si="0"/>
        <v>4.5372469975644578E-2</v>
      </c>
      <c r="F11" s="80">
        <f>C11/SUM(E47:E51)</f>
        <v>0.30082774417902669</v>
      </c>
      <c r="G11" s="27"/>
      <c r="H11" s="27"/>
      <c r="I11" s="38"/>
      <c r="J11" s="38">
        <f>DATA!D454+DATA!E454</f>
        <v>4211000</v>
      </c>
      <c r="K11" s="38">
        <f t="shared" si="1"/>
        <v>-44180.81150146469</v>
      </c>
      <c r="L11" s="37"/>
      <c r="M11" s="37"/>
      <c r="N11" s="35">
        <f t="shared" si="2"/>
        <v>1.0401518946620789</v>
      </c>
      <c r="O11" s="38">
        <f t="shared" si="3"/>
        <v>-99.139863654989782</v>
      </c>
      <c r="P11" s="38"/>
      <c r="R11" s="38"/>
    </row>
    <row r="12" spans="1:18" s="8" customFormat="1" x14ac:dyDescent="0.25">
      <c r="A12" s="8">
        <v>11</v>
      </c>
      <c r="B12" s="79">
        <f>(DATA!H13-DATA!H12)/DATA!H12</f>
        <v>1.1207294783988431E-2</v>
      </c>
      <c r="C12" s="79">
        <f>(DATA!H56-DATA!H52)/DATA!H52</f>
        <v>7.2898653437278527E-2</v>
      </c>
      <c r="D12" s="80"/>
      <c r="E12" s="79">
        <f t="shared" si="0"/>
        <v>1.1207294783988431E-2</v>
      </c>
      <c r="F12" s="80">
        <f>C12/SUM(E52:E56)</f>
        <v>0.54603807071696397</v>
      </c>
      <c r="G12" s="27"/>
      <c r="H12" s="27"/>
      <c r="I12" s="38"/>
      <c r="J12" s="38">
        <f>DATA!D445+DATA!E445</f>
        <v>8737000</v>
      </c>
      <c r="K12" s="38">
        <f t="shared" si="1"/>
        <v>396419.27017720666</v>
      </c>
      <c r="L12" s="37"/>
      <c r="M12" s="37"/>
      <c r="N12" s="35">
        <f t="shared" si="2"/>
        <v>1.0748040845404891</v>
      </c>
      <c r="O12" s="38">
        <f t="shared" si="3"/>
        <v>23.688463183014537</v>
      </c>
      <c r="P12" s="38"/>
      <c r="R12" s="38"/>
    </row>
    <row r="13" spans="1:18" s="8" customFormat="1" x14ac:dyDescent="0.25">
      <c r="A13" s="8">
        <v>12</v>
      </c>
      <c r="B13" s="79">
        <f>(DATA!H14-DATA!H13)/DATA!H13</f>
        <v>1.3605577293582537E-2</v>
      </c>
      <c r="C13" s="79">
        <f>(DATA!H61-DATA!H57)/DATA!H57</f>
        <v>-0.16037382659216018</v>
      </c>
      <c r="D13" s="80"/>
      <c r="E13" s="79">
        <f t="shared" si="0"/>
        <v>1.3605577293582537E-2</v>
      </c>
      <c r="F13" s="80">
        <f>C13/SUM(E57:E61)</f>
        <v>-0.93839636124407899</v>
      </c>
      <c r="G13" s="27"/>
      <c r="H13" s="27"/>
      <c r="I13" s="38"/>
      <c r="J13" s="38">
        <f>DATA!D436+DATA!E436</f>
        <v>3338810</v>
      </c>
      <c r="K13" s="38">
        <f t="shared" si="1"/>
        <v>37419.027897728411</v>
      </c>
      <c r="L13" s="37"/>
      <c r="M13" s="37"/>
      <c r="N13" s="35">
        <f t="shared" si="2"/>
        <v>-0.6178539544466064</v>
      </c>
      <c r="O13" s="38">
        <f t="shared" si="3"/>
        <v>-55.129624619967899</v>
      </c>
      <c r="P13" s="38"/>
      <c r="R13" s="38"/>
    </row>
    <row r="14" spans="1:18" s="8" customFormat="1" x14ac:dyDescent="0.25">
      <c r="A14" s="8">
        <v>13</v>
      </c>
      <c r="B14" s="79">
        <f>(DATA!H15-DATA!H14)/DATA!H14</f>
        <v>-1.2188430788524848E-2</v>
      </c>
      <c r="C14" s="82"/>
      <c r="D14" s="80"/>
      <c r="E14" s="79">
        <f t="shared" si="0"/>
        <v>1.2188430788524848E-2</v>
      </c>
      <c r="F14" s="80"/>
      <c r="G14" s="27"/>
      <c r="H14" s="27"/>
      <c r="I14" s="38"/>
      <c r="J14" s="38">
        <f>DATA!D427+DATA!E427</f>
        <v>3597000</v>
      </c>
      <c r="K14" s="38">
        <f t="shared" si="1"/>
        <v>48939.261525016387</v>
      </c>
      <c r="L14" s="37"/>
      <c r="M14" s="37"/>
      <c r="N14" s="35">
        <f t="shared" si="2"/>
        <v>7.7329946897247828E-2</v>
      </c>
      <c r="O14" s="38">
        <f t="shared" si="3"/>
        <v>5.6836946517310016</v>
      </c>
      <c r="P14" s="38"/>
      <c r="R14" s="38"/>
    </row>
    <row r="15" spans="1:18" s="8" customFormat="1" x14ac:dyDescent="0.25">
      <c r="A15" s="8">
        <v>14</v>
      </c>
      <c r="B15" s="79">
        <f>(DATA!H16-DATA!H15)/DATA!H15</f>
        <v>-1.1505653640150764E-3</v>
      </c>
      <c r="C15" s="79"/>
      <c r="D15" s="80"/>
      <c r="E15" s="79">
        <f t="shared" si="0"/>
        <v>1.1505653640150764E-3</v>
      </c>
      <c r="F15" s="80"/>
      <c r="G15" s="27"/>
      <c r="H15" s="27"/>
      <c r="I15" s="38"/>
      <c r="J15" s="38">
        <f>DATA!D418+DATA!E418</f>
        <v>23527000</v>
      </c>
      <c r="K15" s="38">
        <f t="shared" si="1"/>
        <v>-286757.21116162412</v>
      </c>
      <c r="L15" s="37"/>
      <c r="M15" s="37"/>
      <c r="N15" s="35">
        <f t="shared" si="2"/>
        <v>5.5407283847650817</v>
      </c>
      <c r="O15" s="38">
        <f t="shared" si="3"/>
        <v>-454.58914940728556</v>
      </c>
      <c r="P15" s="38"/>
      <c r="R15" s="38"/>
    </row>
    <row r="16" spans="1:18" s="8" customFormat="1" x14ac:dyDescent="0.25">
      <c r="A16" s="8">
        <v>15</v>
      </c>
      <c r="B16" s="79">
        <f>(DATA!H17-DATA!H16)/DATA!H16</f>
        <v>-3.9005401970130284E-2</v>
      </c>
      <c r="C16" s="79"/>
      <c r="D16" s="80"/>
      <c r="E16" s="79">
        <f t="shared" si="0"/>
        <v>3.9005401970130284E-2</v>
      </c>
      <c r="F16" s="80"/>
      <c r="G16" s="27"/>
      <c r="H16" s="27"/>
      <c r="I16" s="38"/>
      <c r="J16" s="38">
        <f>DATA!D409+DATA!E409</f>
        <v>18107000</v>
      </c>
      <c r="K16" s="38">
        <f t="shared" si="1"/>
        <v>-20833.28704622099</v>
      </c>
      <c r="L16" s="37"/>
      <c r="M16" s="37"/>
      <c r="N16" s="35">
        <f t="shared" si="2"/>
        <v>-0.23037361329536277</v>
      </c>
      <c r="O16" s="38">
        <f t="shared" si="3"/>
        <v>200.22644562446959</v>
      </c>
      <c r="P16" s="38"/>
      <c r="R16" s="38"/>
    </row>
    <row r="17" spans="1:18" s="8" customFormat="1" x14ac:dyDescent="0.25">
      <c r="A17" s="8">
        <v>16</v>
      </c>
      <c r="B17" s="79">
        <f>(DATA!H18-DATA!H17)/DATA!H17</f>
        <v>-1.8062329503182609E-2</v>
      </c>
      <c r="C17" s="79"/>
      <c r="D17" s="80"/>
      <c r="E17" s="79">
        <f t="shared" si="0"/>
        <v>1.8062329503182609E-2</v>
      </c>
      <c r="F17" s="80"/>
      <c r="G17" s="27"/>
      <c r="H17" s="27"/>
      <c r="I17" s="38"/>
      <c r="J17" s="38">
        <f>DATA!D400+DATA!E5400</f>
        <v>5932000</v>
      </c>
      <c r="K17" s="38">
        <f t="shared" si="1"/>
        <v>-231380.04448681284</v>
      </c>
      <c r="L17" s="37"/>
      <c r="M17" s="37"/>
      <c r="N17" s="35">
        <f t="shared" si="2"/>
        <v>-0.6723918926382062</v>
      </c>
      <c r="O17" s="38">
        <f t="shared" si="3"/>
        <v>17.238430029592138</v>
      </c>
      <c r="P17" s="38"/>
      <c r="R17" s="38"/>
    </row>
    <row r="18" spans="1:18" s="8" customFormat="1" x14ac:dyDescent="0.25">
      <c r="A18" s="8">
        <v>17</v>
      </c>
      <c r="B18" s="79">
        <f>(DATA!H19-DATA!H18)/DATA!H18</f>
        <v>1.9994107000042092E-2</v>
      </c>
      <c r="C18" s="79"/>
      <c r="D18" s="80"/>
      <c r="E18" s="79">
        <f t="shared" si="0"/>
        <v>1.9994107000042092E-2</v>
      </c>
      <c r="F18" s="80"/>
      <c r="G18" s="27"/>
      <c r="H18" s="27"/>
      <c r="I18" s="38"/>
      <c r="J18" s="38">
        <f>DATA!D391+DATA!E391</f>
        <v>11862000</v>
      </c>
      <c r="K18" s="38">
        <f t="shared" si="1"/>
        <v>-214255.35256675212</v>
      </c>
      <c r="L18" s="37"/>
      <c r="M18" s="37"/>
      <c r="N18" s="35">
        <f t="shared" si="2"/>
        <v>0.99966284558327712</v>
      </c>
      <c r="O18" s="38">
        <f t="shared" si="3"/>
        <v>-55.345178228928617</v>
      </c>
      <c r="P18" s="38"/>
      <c r="R18" s="38"/>
    </row>
    <row r="19" spans="1:18" s="8" customFormat="1" x14ac:dyDescent="0.25">
      <c r="A19" s="8">
        <v>18</v>
      </c>
      <c r="B19" s="79">
        <f>(DATA!H20-DATA!H19)/DATA!H19</f>
        <v>4.9995873225486959E-2</v>
      </c>
      <c r="C19" s="79"/>
      <c r="D19" s="80"/>
      <c r="E19" s="79">
        <f t="shared" si="0"/>
        <v>4.9995873225486959E-2</v>
      </c>
      <c r="F19" s="80"/>
      <c r="G19" s="27"/>
      <c r="H19" s="27"/>
      <c r="I19" s="38"/>
      <c r="J19" s="38">
        <f>DATA!D382+DATA!E382</f>
        <v>43611</v>
      </c>
      <c r="K19" s="38">
        <f t="shared" si="1"/>
        <v>871.96300037883566</v>
      </c>
      <c r="L19" s="37"/>
      <c r="M19" s="37"/>
      <c r="N19" s="35">
        <f t="shared" si="2"/>
        <v>-0.99632346990389475</v>
      </c>
      <c r="O19" s="38">
        <f t="shared" si="3"/>
        <v>-49.830856156856484</v>
      </c>
      <c r="P19" s="38"/>
      <c r="R19" s="38"/>
    </row>
    <row r="20" spans="1:18" s="8" customFormat="1" x14ac:dyDescent="0.25">
      <c r="A20" s="8">
        <v>19</v>
      </c>
      <c r="B20" s="79">
        <f>(DATA!H21-DATA!H20)/DATA!H20</f>
        <v>4.9993122015445986E-2</v>
      </c>
      <c r="C20" s="79"/>
      <c r="D20" s="80"/>
      <c r="E20" s="79">
        <f t="shared" si="0"/>
        <v>4.9993122015445986E-2</v>
      </c>
      <c r="F20" s="80"/>
      <c r="G20" s="27"/>
      <c r="H20" s="27"/>
      <c r="I20" s="38"/>
      <c r="J20" s="38">
        <f>DATA!D373+DATA!E373</f>
        <v>186674</v>
      </c>
      <c r="K20" s="38">
        <f t="shared" si="1"/>
        <v>9332.9296384945519</v>
      </c>
      <c r="L20" s="37"/>
      <c r="M20" s="37"/>
      <c r="N20" s="35">
        <f t="shared" si="2"/>
        <v>3.2804338355002178</v>
      </c>
      <c r="O20" s="38">
        <f t="shared" si="3"/>
        <v>65.614092201272214</v>
      </c>
      <c r="P20" s="38"/>
      <c r="R20" s="38"/>
    </row>
    <row r="21" spans="1:18" s="8" customFormat="1" x14ac:dyDescent="0.25">
      <c r="A21" s="8">
        <v>20</v>
      </c>
      <c r="B21" s="79">
        <f>(DATA!H22-DATA!H21)/DATA!H21</f>
        <v>4.6527296887574628E-2</v>
      </c>
      <c r="C21" s="79"/>
      <c r="D21" s="80"/>
      <c r="E21" s="79">
        <f t="shared" si="0"/>
        <v>4.6527296887574628E-2</v>
      </c>
      <c r="F21" s="80"/>
      <c r="G21" s="27">
        <f>((DATA!H21-DATA!H2)/DATA!H2)/((DATA!I21-DATA!I2)/DATA!I2)</f>
        <v>3.8981957471747495</v>
      </c>
      <c r="H21" s="27">
        <f>((DATA!H21-DATA!H2)/DATA!H2)/((DATA!J21-DATA!J2)/DATA!J2)</f>
        <v>7.2021247813356659</v>
      </c>
      <c r="I21" s="38">
        <f>((DATA!H21-DATA!H2)/DATA!H2)/((DATA!K21-DATA!K2)/DATA!K2)</f>
        <v>3.1892536413033743</v>
      </c>
      <c r="J21" s="38">
        <f>DATA!D364+DATA!E364</f>
        <v>591659</v>
      </c>
      <c r="K21" s="38">
        <f t="shared" si="1"/>
        <v>29578.880578536755</v>
      </c>
      <c r="L21" s="37"/>
      <c r="M21" s="37"/>
      <c r="N21" s="35">
        <f t="shared" si="2"/>
        <v>2.1694772705358005</v>
      </c>
      <c r="O21" s="38">
        <f t="shared" si="3"/>
        <v>43.395514884337771</v>
      </c>
      <c r="P21" s="38"/>
      <c r="R21" s="38"/>
    </row>
    <row r="22" spans="1:18" x14ac:dyDescent="0.25">
      <c r="A22" s="8">
        <v>21</v>
      </c>
      <c r="B22" s="79">
        <f>(DATA!H23-DATA!H22)/DATA!H22</f>
        <v>3.7394710016631791E-2</v>
      </c>
      <c r="D22" s="79"/>
      <c r="E22" s="79">
        <f t="shared" si="0"/>
        <v>3.7394710016631791E-2</v>
      </c>
      <c r="G22" s="27">
        <f>((DATA!H22-DATA!H3)/DATA!H3)/((DATA!I22-DATA!I3)/DATA!I3)</f>
        <v>2.5059455958521495</v>
      </c>
      <c r="H22" s="27">
        <f>((DATA!H22-DATA!H3)/DATA!H3)/((DATA!J22-DATA!J3)/DATA!J3)</f>
        <v>3.6254656403893835</v>
      </c>
      <c r="I22" s="38">
        <f>((DATA!H22-DATA!H3)/DATA!H3)/((DATA!K22-DATA!K3)/DATA!K3)</f>
        <v>2.2592563449238137</v>
      </c>
      <c r="J22" s="38">
        <f>DATA!D355+DATA!E355</f>
        <v>8935000</v>
      </c>
      <c r="K22" s="38">
        <f t="shared" si="1"/>
        <v>415721.39769047929</v>
      </c>
      <c r="L22" s="27">
        <f>SUM(K3:K22)/SUM(J3:K22)</f>
        <v>3.1512074591559173E-3</v>
      </c>
      <c r="M22" s="38">
        <f>100*SQRT(((B2-L22)^2+(B3-L22)^2+(B4-L22)^2+(B5-L22)^2+(B6-L22)^2+(B7-L22)^2+(B8-L22)^2+(B9-L22)^2+(B10-L22)^2+(B11-L22)^2+(B12-L22)^2+(B13-L22)^2+(B14-L22)^2+(B15-L22)^2+(B16-L22)^2+(B17-L22)^2+(B18-L22)^2+(B19-L22)^2+(B20-L22)^2+(B21-L22)^2)/21)</f>
        <v>2.64290130572763</v>
      </c>
      <c r="N22" s="35">
        <f t="shared" si="2"/>
        <v>14.101604133462011</v>
      </c>
      <c r="O22" s="38">
        <f t="shared" si="3"/>
        <v>303.08238554103326</v>
      </c>
      <c r="P22" s="38">
        <f>AVERAGE(O3:O22)</f>
        <v>-15.802984099695035</v>
      </c>
      <c r="Q22" s="8">
        <f>STDEV(O3:O22)</f>
        <v>166.80374458435961</v>
      </c>
      <c r="R22" s="7">
        <f>(O22-(P22-2*Q22))/(4*Q22)</f>
        <v>0.9779349684794616</v>
      </c>
    </row>
    <row r="23" spans="1:18" x14ac:dyDescent="0.25">
      <c r="A23" s="8">
        <v>22</v>
      </c>
      <c r="B23" s="79">
        <f>(DATA!H24-DATA!H23)/DATA!H23</f>
        <v>3.4322852020410979E-2</v>
      </c>
      <c r="D23" s="79"/>
      <c r="E23" s="79">
        <f t="shared" si="0"/>
        <v>3.4322852020410979E-2</v>
      </c>
      <c r="G23" s="27">
        <f>((DATA!H23-DATA!H4)/DATA!H4)/((DATA!I23-DATA!I4)/DATA!I4)</f>
        <v>2.1961391308643821</v>
      </c>
      <c r="H23" s="27">
        <f>((DATA!H23-DATA!H4)/DATA!H4)/((DATA!J23-DATA!J4)/DATA!J4)</f>
        <v>3.1881136207773242</v>
      </c>
      <c r="I23" s="38">
        <f>((DATA!H23-DATA!H4)/DATA!H4)/((DATA!K23-DATA!K4)/DATA!K4)</f>
        <v>2.0382108782738744</v>
      </c>
      <c r="J23" s="38">
        <f>DATA!D346+DATA!E346</f>
        <v>7238000</v>
      </c>
      <c r="K23" s="38">
        <f t="shared" si="1"/>
        <v>270662.91110038088</v>
      </c>
      <c r="L23" s="27">
        <f t="shared" ref="L23:L61" si="4">SUM(K4:K23)/SUM(J4:K23)</f>
        <v>4.8507567871349869E-3</v>
      </c>
      <c r="M23" s="38">
        <f t="shared" ref="M23:M61" si="5">100*SQRT(((B3-L23)^2+(B4-L23)^2+(B5-L23)^2+(B6-L23)^2+(B7-L23)^2+(B8-L23)^2+(B9-L23)^2+(B10-L23)^2+(B11-L23)^2+(B12-L23)^2+(B13-L23)^2+(B14-L23)^2+(B15-L23)^2+(B16-L23)^2+(B17-L23)^2+(B18-L23)^2+(B19-L23)^2+(B20-L23)^2+(B21-L23)^2+(B22-L23)^2)/21)</f>
        <v>2.6903726465887781</v>
      </c>
      <c r="N23" s="35">
        <f t="shared" si="2"/>
        <v>-0.18992725237828764</v>
      </c>
      <c r="O23" s="38">
        <f t="shared" si="3"/>
        <v>-5.0789871694101913</v>
      </c>
      <c r="P23" s="38">
        <f t="shared" ref="P23:P61" si="6">AVERAGE(O4:O23)</f>
        <v>-15.153761137091797</v>
      </c>
      <c r="Q23" s="8">
        <f t="shared" ref="Q23:Q61" si="7">STDEV(O4:O23)</f>
        <v>166.81975137871513</v>
      </c>
      <c r="R23" s="7">
        <f t="shared" ref="R23:R61" si="8">(O23-(P23-2*Q23))/(4*Q23)</f>
        <v>0.51509829304446364</v>
      </c>
    </row>
    <row r="24" spans="1:18" x14ac:dyDescent="0.25">
      <c r="A24" s="8">
        <v>23</v>
      </c>
      <c r="B24" s="79">
        <f>(DATA!H25-DATA!H24)/DATA!H24</f>
        <v>-3.6167269454490908E-3</v>
      </c>
      <c r="D24" s="79"/>
      <c r="E24" s="79">
        <f t="shared" si="0"/>
        <v>3.6167269454490908E-3</v>
      </c>
      <c r="G24" s="27">
        <f>((DATA!H24-DATA!H5)/DATA!H5)/((DATA!I24-DATA!I5)/DATA!I5)</f>
        <v>2.1153293239993096</v>
      </c>
      <c r="H24" s="27">
        <f>((DATA!H24-DATA!H5)/DATA!H5)/((DATA!J24-DATA!J5)/DATA!J5)</f>
        <v>3.1868102806285372</v>
      </c>
      <c r="I24" s="38">
        <f>((DATA!H24-DATA!H5)/DATA!H5)/((DATA!K24-DATA!K5)/DATA!K5)</f>
        <v>2.003351141570056</v>
      </c>
      <c r="J24" s="38">
        <f>DATA!D337+DATA!E337</f>
        <v>8660000</v>
      </c>
      <c r="K24" s="38">
        <f t="shared" si="1"/>
        <v>297235.89849675907</v>
      </c>
      <c r="L24" s="27">
        <f t="shared" si="4"/>
        <v>8.1710193481780158E-3</v>
      </c>
      <c r="M24" s="38">
        <f t="shared" si="5"/>
        <v>2.6020811492982259</v>
      </c>
      <c r="N24" s="35">
        <f t="shared" si="2"/>
        <v>0.19646311135672836</v>
      </c>
      <c r="O24" s="38">
        <f t="shared" si="3"/>
        <v>5.7239739646313907</v>
      </c>
      <c r="P24" s="38">
        <f t="shared" si="6"/>
        <v>-14.122771516357556</v>
      </c>
      <c r="Q24" s="8">
        <f t="shared" si="7"/>
        <v>166.88513447210156</v>
      </c>
      <c r="R24" s="7">
        <f t="shared" si="8"/>
        <v>0.52973114643159958</v>
      </c>
    </row>
    <row r="25" spans="1:18" x14ac:dyDescent="0.25">
      <c r="A25" s="8">
        <v>24</v>
      </c>
      <c r="B25" s="79">
        <f>(DATA!H26-DATA!H25)/DATA!H25</f>
        <v>-2.8603927603626511E-3</v>
      </c>
      <c r="D25" s="79"/>
      <c r="E25" s="79">
        <f t="shared" si="0"/>
        <v>2.8603927603626511E-3</v>
      </c>
      <c r="G25" s="27">
        <f>((DATA!H25-DATA!H6)/DATA!H6)/((DATA!I25-DATA!I6)/DATA!I6)</f>
        <v>1.8046825243077158</v>
      </c>
      <c r="H25" s="27">
        <f>((DATA!H25-DATA!H6)/DATA!H6)/((DATA!J25-DATA!J6)/DATA!J6)</f>
        <v>2.5261310096299199</v>
      </c>
      <c r="I25" s="38">
        <f>((DATA!H25-DATA!H6)/DATA!H6)/((DATA!K25-DATA!K6)/DATA!K6)</f>
        <v>1.7148891638593031</v>
      </c>
      <c r="J25" s="38">
        <f>DATA!D328+DATA!E328</f>
        <v>5229000</v>
      </c>
      <c r="K25" s="38">
        <f t="shared" si="1"/>
        <v>-18911.865197753297</v>
      </c>
      <c r="L25" s="27">
        <f t="shared" si="4"/>
        <v>6.3861842366466194E-3</v>
      </c>
      <c r="M25" s="38">
        <f t="shared" si="5"/>
        <v>2.5749900228632603</v>
      </c>
      <c r="N25" s="35">
        <f t="shared" si="2"/>
        <v>-0.39618937644341801</v>
      </c>
      <c r="O25" s="38">
        <f t="shared" si="3"/>
        <v>109.54362395036239</v>
      </c>
      <c r="P25" s="38">
        <f t="shared" si="6"/>
        <v>-8.477225497482733</v>
      </c>
      <c r="Q25" s="8">
        <f t="shared" si="7"/>
        <v>169.16242076368476</v>
      </c>
      <c r="R25" s="7">
        <f t="shared" si="8"/>
        <v>0.67441942618673711</v>
      </c>
    </row>
    <row r="26" spans="1:18" x14ac:dyDescent="0.25">
      <c r="A26" s="8">
        <v>25</v>
      </c>
      <c r="B26" s="79">
        <f>(DATA!H27-DATA!H26)/DATA!H26</f>
        <v>-9.1258324805824423E-3</v>
      </c>
      <c r="D26" s="79"/>
      <c r="E26" s="79">
        <f t="shared" si="0"/>
        <v>9.1258324805824423E-3</v>
      </c>
      <c r="G26" s="27">
        <f>((DATA!H26-DATA!H7)/DATA!H7)/((DATA!I26-DATA!I7)/DATA!I7)</f>
        <v>1.526121722234095</v>
      </c>
      <c r="H26" s="27">
        <f>((DATA!H26-DATA!H7)/DATA!H7)/((DATA!J26-DATA!J7)/DATA!J7)</f>
        <v>1.9115289192124181</v>
      </c>
      <c r="I26" s="38">
        <f>((DATA!H26-DATA!H7)/DATA!H7)/((DATA!K26-DATA!K7)/DATA!K7)</f>
        <v>1.4632314798516428</v>
      </c>
      <c r="J26" s="38">
        <f>DATA!D319+DATA!E319</f>
        <v>10235000</v>
      </c>
      <c r="K26" s="38">
        <f t="shared" si="1"/>
        <v>-29276.119902311733</v>
      </c>
      <c r="L26" s="27">
        <f t="shared" si="4"/>
        <v>5.1934847058645005E-3</v>
      </c>
      <c r="M26" s="38">
        <f t="shared" si="5"/>
        <v>2.5425716626897281</v>
      </c>
      <c r="N26" s="35">
        <f t="shared" si="2"/>
        <v>0.95735322241346332</v>
      </c>
      <c r="O26" s="38">
        <f t="shared" si="3"/>
        <v>-334.69292597848926</v>
      </c>
      <c r="P26" s="38">
        <f t="shared" si="6"/>
        <v>-24.359483532993988</v>
      </c>
      <c r="Q26" s="8">
        <f t="shared" si="7"/>
        <v>184.24824130506627</v>
      </c>
      <c r="R26" s="7">
        <f t="shared" si="8"/>
        <v>7.8919396669212549E-2</v>
      </c>
    </row>
    <row r="27" spans="1:18" x14ac:dyDescent="0.25">
      <c r="A27" s="8">
        <v>26</v>
      </c>
      <c r="B27" s="79">
        <f>(DATA!H28-DATA!H27)/DATA!H27</f>
        <v>-1.3611661333739651E-2</v>
      </c>
      <c r="D27" s="79"/>
      <c r="E27" s="79">
        <f t="shared" si="0"/>
        <v>1.3611661333739651E-2</v>
      </c>
      <c r="G27" s="27">
        <f>((DATA!H27-DATA!H8)/DATA!H8)/((DATA!I27-DATA!I8)/DATA!I8)</f>
        <v>1.5086132189174455</v>
      </c>
      <c r="H27" s="27">
        <f>((DATA!H27-DATA!H8)/DATA!H8)/((DATA!J27-DATA!J8)/DATA!J8)</f>
        <v>1.8491461952239163</v>
      </c>
      <c r="I27" s="38">
        <f>((DATA!H27-DATA!H8)/DATA!H8)/((DATA!K27-DATA!K8)/DATA!K8)</f>
        <v>1.4603259561831829</v>
      </c>
      <c r="J27" s="38">
        <f>DATA!D310+DATA!E310</f>
        <v>12161000</v>
      </c>
      <c r="K27" s="38">
        <f t="shared" si="1"/>
        <v>-110979.24879636308</v>
      </c>
      <c r="L27" s="27">
        <f t="shared" si="4"/>
        <v>3.9046125465157073E-3</v>
      </c>
      <c r="M27" s="38">
        <f t="shared" si="5"/>
        <v>2.5909549599692565</v>
      </c>
      <c r="N27" s="35">
        <f t="shared" si="2"/>
        <v>0.18817782120175866</v>
      </c>
      <c r="O27" s="38">
        <f t="shared" si="3"/>
        <v>-20.620345771430213</v>
      </c>
      <c r="P27" s="38">
        <f t="shared" si="6"/>
        <v>-34.012406000040059</v>
      </c>
      <c r="Q27" s="8">
        <f t="shared" si="7"/>
        <v>178.35830092599267</v>
      </c>
      <c r="R27" s="7">
        <f t="shared" si="8"/>
        <v>0.51877128813052376</v>
      </c>
    </row>
    <row r="28" spans="1:18" x14ac:dyDescent="0.25">
      <c r="A28" s="8">
        <v>27</v>
      </c>
      <c r="B28" s="79">
        <f>(DATA!H29-DATA!H28)/DATA!H28</f>
        <v>-2.0184336542917462E-2</v>
      </c>
      <c r="D28" s="79"/>
      <c r="E28" s="79">
        <f t="shared" si="0"/>
        <v>2.0184336542917462E-2</v>
      </c>
      <c r="G28" s="27">
        <f>((DATA!H28-DATA!H9)/DATA!H9)/((DATA!I28-DATA!I9)/DATA!I9)</f>
        <v>1.671135002585765</v>
      </c>
      <c r="H28" s="27">
        <f>((DATA!H28-DATA!H9)/DATA!H9)/((DATA!J28-DATA!J9)/DATA!J9)</f>
        <v>1.7056291051379584</v>
      </c>
      <c r="I28" s="38">
        <f>((DATA!H28-DATA!H9)/DATA!H9)/((DATA!K28-DATA!K9)/DATA!K9)</f>
        <v>1.6595874906199031</v>
      </c>
      <c r="J28" s="38">
        <f>DATA!D301+DATA!E301</f>
        <v>4073000</v>
      </c>
      <c r="K28" s="38">
        <f t="shared" si="1"/>
        <v>-55440.296612321596</v>
      </c>
      <c r="L28" s="27">
        <f t="shared" si="4"/>
        <v>3.4485406442397505E-3</v>
      </c>
      <c r="M28" s="38">
        <f t="shared" si="5"/>
        <v>2.6288490016874237</v>
      </c>
      <c r="N28" s="35">
        <f t="shared" si="2"/>
        <v>-0.66507688512457852</v>
      </c>
      <c r="O28" s="38">
        <f t="shared" si="3"/>
        <v>48.860816385141142</v>
      </c>
      <c r="P28" s="38">
        <f t="shared" si="6"/>
        <v>-12.935770218784423</v>
      </c>
      <c r="Q28" s="8">
        <f t="shared" si="7"/>
        <v>160.21617202438426</v>
      </c>
      <c r="R28" s="7">
        <f t="shared" si="8"/>
        <v>0.59642688659812748</v>
      </c>
    </row>
    <row r="29" spans="1:18" x14ac:dyDescent="0.25">
      <c r="A29" s="8">
        <v>28</v>
      </c>
      <c r="B29" s="79">
        <f>(DATA!H30-DATA!H29)/DATA!H29</f>
        <v>1.8270359276192479E-2</v>
      </c>
      <c r="D29" s="79"/>
      <c r="E29" s="79">
        <f t="shared" si="0"/>
        <v>1.8270359276192479E-2</v>
      </c>
      <c r="G29" s="27">
        <f>((DATA!H29-DATA!H10)/DATA!H10)/((DATA!I29-DATA!I10)/DATA!I10)</f>
        <v>1.5403507205358911</v>
      </c>
      <c r="H29" s="27">
        <f>((DATA!H29-DATA!H10)/DATA!H10)/((DATA!J29-DATA!J10)/DATA!J10)</f>
        <v>1.3339885082580369</v>
      </c>
      <c r="I29" s="38">
        <f>((DATA!H29-DATA!H10)/DATA!H10)/((DATA!K29-DATA!K10)/DATA!K10)</f>
        <v>1.55266993349507</v>
      </c>
      <c r="J29" s="38">
        <f>DATA!D292+DATA!E292</f>
        <v>3555321</v>
      </c>
      <c r="K29" s="38">
        <f t="shared" si="1"/>
        <v>-71761.795582101855</v>
      </c>
      <c r="L29" s="27">
        <f t="shared" si="4"/>
        <v>3.247114106149405E-3</v>
      </c>
      <c r="M29" s="38">
        <f t="shared" si="5"/>
        <v>2.6399530617281703</v>
      </c>
      <c r="N29" s="35">
        <f t="shared" si="2"/>
        <v>-0.12710017186349129</v>
      </c>
      <c r="O29" s="38">
        <f t="shared" si="3"/>
        <v>6.2969705044920001</v>
      </c>
      <c r="P29" s="38">
        <f t="shared" si="6"/>
        <v>-12.688716168279539</v>
      </c>
      <c r="Q29" s="8">
        <f t="shared" si="7"/>
        <v>160.24317702021196</v>
      </c>
      <c r="R29" s="7">
        <f t="shared" si="8"/>
        <v>0.52962011710236001</v>
      </c>
    </row>
    <row r="30" spans="1:18" x14ac:dyDescent="0.25">
      <c r="A30" s="8">
        <v>29</v>
      </c>
      <c r="B30" s="79">
        <f>(DATA!H31-DATA!H30)/DATA!H30</f>
        <v>-1.0442112506451058E-2</v>
      </c>
      <c r="D30" s="79"/>
      <c r="E30" s="79">
        <f t="shared" si="0"/>
        <v>1.0442112506451058E-2</v>
      </c>
      <c r="G30" s="27">
        <f>((DATA!H30-DATA!H11)/DATA!H11)/((DATA!I30-DATA!I11)/DATA!I11)</f>
        <v>1.5884929167830482</v>
      </c>
      <c r="H30" s="27">
        <f>((DATA!H30-DATA!H11)/DATA!H11)/((DATA!J30-DATA!J11)/DATA!J11)</f>
        <v>1.4358917157576199</v>
      </c>
      <c r="I30" s="38">
        <f>((DATA!H30-DATA!H11)/DATA!H11)/((DATA!K30-DATA!K11)/DATA!K11)</f>
        <v>1.5947596634829615</v>
      </c>
      <c r="J30" s="38">
        <f>DATA!D283+DATA!E283</f>
        <v>2471398</v>
      </c>
      <c r="K30" s="38">
        <f t="shared" si="1"/>
        <v>45153.329374463538</v>
      </c>
      <c r="L30" s="27">
        <f t="shared" si="4"/>
        <v>3.2660100492946905E-3</v>
      </c>
      <c r="M30" s="38">
        <f t="shared" si="5"/>
        <v>2.6347902868219646</v>
      </c>
      <c r="N30" s="35">
        <f t="shared" si="2"/>
        <v>-0.30487345587079195</v>
      </c>
      <c r="O30" s="38">
        <f t="shared" si="3"/>
        <v>-16.686779458577085</v>
      </c>
      <c r="P30" s="38">
        <f t="shared" si="6"/>
        <v>-13.087964976292881</v>
      </c>
      <c r="Q30" s="8">
        <f t="shared" si="7"/>
        <v>160.24266809612215</v>
      </c>
      <c r="R30" s="7">
        <f t="shared" si="8"/>
        <v>0.49438536794687321</v>
      </c>
    </row>
    <row r="31" spans="1:18" x14ac:dyDescent="0.25">
      <c r="A31" s="8">
        <v>30</v>
      </c>
      <c r="B31" s="79">
        <f>(DATA!H32-DATA!H31)/DATA!H31</f>
        <v>5.0066929749839192E-3</v>
      </c>
      <c r="D31" s="79"/>
      <c r="E31" s="79">
        <f t="shared" si="0"/>
        <v>5.0066929749839192E-3</v>
      </c>
      <c r="G31" s="27">
        <f>((DATA!H31-DATA!H12)/DATA!H12)/((DATA!I31-DATA!I12)/DATA!I12)</f>
        <v>1.1567055549434095</v>
      </c>
      <c r="H31" s="27">
        <f>((DATA!H31-DATA!H12)/DATA!H12)/((DATA!J31-DATA!J12)/DATA!J12)</f>
        <v>0.99047842466637781</v>
      </c>
      <c r="I31" s="38">
        <f>((DATA!H31-DATA!H12)/DATA!H12)/((DATA!K31-DATA!K12)/DATA!K12)</f>
        <v>1.1477228035259366</v>
      </c>
      <c r="J31" s="38">
        <f>DATA!D274+DATA!E274</f>
        <v>2754445</v>
      </c>
      <c r="K31" s="38">
        <f t="shared" si="1"/>
        <v>-28762.224582831586</v>
      </c>
      <c r="L31" s="27">
        <f t="shared" si="4"/>
        <v>3.4080200111701038E-3</v>
      </c>
      <c r="M31" s="38">
        <f t="shared" si="5"/>
        <v>2.6313360621591073</v>
      </c>
      <c r="N31" s="35">
        <f t="shared" si="2"/>
        <v>0.11452910457967515</v>
      </c>
      <c r="O31" s="38">
        <f t="shared" si="3"/>
        <v>-10.968001399038743</v>
      </c>
      <c r="P31" s="38">
        <f t="shared" si="6"/>
        <v>-8.6793718634953265</v>
      </c>
      <c r="Q31" s="8">
        <f t="shared" si="7"/>
        <v>158.95835138196804</v>
      </c>
      <c r="R31" s="7">
        <f t="shared" si="8"/>
        <v>0.49640058305265761</v>
      </c>
    </row>
    <row r="32" spans="1:18" x14ac:dyDescent="0.25">
      <c r="A32" s="8">
        <v>31</v>
      </c>
      <c r="B32" s="79">
        <f>(DATA!H33-DATA!H32)/DATA!H32</f>
        <v>-2.7555309543166526E-2</v>
      </c>
      <c r="D32" s="79"/>
      <c r="E32" s="79">
        <f t="shared" si="0"/>
        <v>2.7555309543166526E-2</v>
      </c>
      <c r="G32" s="27">
        <f>((DATA!H32-DATA!H13)/DATA!H13)/((DATA!I32-DATA!I13)/DATA!I13)</f>
        <v>1.1282409360141268</v>
      </c>
      <c r="H32" s="27">
        <f>((DATA!H32-DATA!H13)/DATA!H13)/((DATA!J32-DATA!J13)/DATA!J13)</f>
        <v>0.91420116224534642</v>
      </c>
      <c r="I32" s="38">
        <f>((DATA!H32-DATA!H13)/DATA!H13)/((DATA!K32-DATA!K13)/DATA!K13)</f>
        <v>1.1199288973922656</v>
      </c>
      <c r="J32" s="38">
        <f>DATA!D265+DATA!E265</f>
        <v>1717738</v>
      </c>
      <c r="K32" s="38">
        <f t="shared" si="1"/>
        <v>8600.1867774629281</v>
      </c>
      <c r="L32" s="27">
        <f t="shared" si="4"/>
        <v>7.0849350897104319E-4</v>
      </c>
      <c r="M32" s="38">
        <f t="shared" si="5"/>
        <v>2.5262592857631274</v>
      </c>
      <c r="N32" s="35">
        <f t="shared" si="2"/>
        <v>-0.37637600315127001</v>
      </c>
      <c r="O32" s="38">
        <f t="shared" si="3"/>
        <v>-75.174572323855926</v>
      </c>
      <c r="P32" s="38">
        <f t="shared" si="6"/>
        <v>-13.622523638838853</v>
      </c>
      <c r="Q32" s="8">
        <f t="shared" si="7"/>
        <v>159.43529160208161</v>
      </c>
      <c r="R32" s="7">
        <f t="shared" si="8"/>
        <v>0.40348427868994247</v>
      </c>
    </row>
    <row r="33" spans="1:18" x14ac:dyDescent="0.25">
      <c r="A33" s="8">
        <v>32</v>
      </c>
      <c r="B33" s="79">
        <f>(DATA!H34-DATA!H33)/DATA!H33</f>
        <v>-4.3936105873563624E-3</v>
      </c>
      <c r="D33" s="79"/>
      <c r="E33" s="79">
        <f t="shared" si="0"/>
        <v>4.3936105873563624E-3</v>
      </c>
      <c r="G33" s="27">
        <f>((DATA!H33-DATA!H14)/DATA!H14)/((DATA!I33-DATA!I14)/DATA!I14)</f>
        <v>0.84582993489641056</v>
      </c>
      <c r="H33" s="27">
        <f>((DATA!H33-DATA!H14)/DATA!H14)/((DATA!J33-DATA!J14)/DATA!J14)</f>
        <v>0.68422375505875577</v>
      </c>
      <c r="I33" s="38">
        <f>((DATA!H33-DATA!H14)/DATA!H14)/((DATA!K33-DATA!K14)/DATA!K14)</f>
        <v>0.84857493951460239</v>
      </c>
      <c r="J33" s="38">
        <f>DATA!D256+DATA!E256</f>
        <v>2836083</v>
      </c>
      <c r="K33" s="38">
        <f t="shared" si="1"/>
        <v>-78149.144955112351</v>
      </c>
      <c r="L33" s="27">
        <f t="shared" si="4"/>
        <v>-1.5266248878663258E-4</v>
      </c>
      <c r="M33" s="38">
        <f t="shared" si="5"/>
        <v>2.6079781664461992</v>
      </c>
      <c r="N33" s="35">
        <f t="shared" si="2"/>
        <v>0.65105679678740291</v>
      </c>
      <c r="O33" s="38">
        <f t="shared" si="3"/>
        <v>-23.627272114925642</v>
      </c>
      <c r="P33" s="38">
        <f t="shared" si="6"/>
        <v>-12.047406013586741</v>
      </c>
      <c r="Q33" s="8">
        <f t="shared" si="7"/>
        <v>159.1590180665269</v>
      </c>
      <c r="R33" s="7">
        <f t="shared" si="8"/>
        <v>0.48181085457485884</v>
      </c>
    </row>
    <row r="34" spans="1:18" x14ac:dyDescent="0.25">
      <c r="A34" s="8">
        <v>33</v>
      </c>
      <c r="B34" s="79">
        <f>(DATA!H35-DATA!H34)/DATA!H34</f>
        <v>3.4750138464562007E-2</v>
      </c>
      <c r="D34" s="79"/>
      <c r="E34" s="79">
        <f t="shared" si="0"/>
        <v>3.4750138464562007E-2</v>
      </c>
      <c r="G34" s="27">
        <f>((DATA!H34-DATA!H15)/DATA!H15)/((DATA!I34-DATA!I15)/DATA!I15)</f>
        <v>0.8297018940882398</v>
      </c>
      <c r="H34" s="27">
        <f>((DATA!H34-DATA!H15)/DATA!H15)/((DATA!J34-DATA!J15)/DATA!J15)</f>
        <v>0.6620249197439384</v>
      </c>
      <c r="I34" s="38">
        <f>((DATA!H34-DATA!H15)/DATA!H15)/((DATA!K34-DATA!K15)/DATA!K15)</f>
        <v>0.85763682005876163</v>
      </c>
      <c r="J34" s="38">
        <f>DATA!D247+DATA!E247</f>
        <v>1501055</v>
      </c>
      <c r="K34" s="38">
        <f t="shared" si="1"/>
        <v>-6595.0511402042048</v>
      </c>
      <c r="L34" s="27">
        <f t="shared" si="4"/>
        <v>-5.7734183534951633E-4</v>
      </c>
      <c r="M34" s="38">
        <f t="shared" si="5"/>
        <v>2.6005952111344879</v>
      </c>
      <c r="N34" s="35">
        <f t="shared" si="2"/>
        <v>-0.47072952378333072</v>
      </c>
      <c r="O34" s="38">
        <f t="shared" si="3"/>
        <v>107.13956424312262</v>
      </c>
      <c r="P34" s="38">
        <f t="shared" si="6"/>
        <v>-6.9746125340171599</v>
      </c>
      <c r="Q34" s="8">
        <f t="shared" si="7"/>
        <v>161.35556436518868</v>
      </c>
      <c r="R34" s="7">
        <f t="shared" si="8"/>
        <v>0.67680545636292777</v>
      </c>
    </row>
    <row r="35" spans="1:18" x14ac:dyDescent="0.25">
      <c r="A35" s="8">
        <v>34</v>
      </c>
      <c r="B35" s="79">
        <f>(DATA!H36-DATA!H35)/DATA!H35</f>
        <v>-1.4106637198701567E-2</v>
      </c>
      <c r="D35" s="79"/>
      <c r="E35" s="79">
        <f t="shared" si="0"/>
        <v>1.4106637198701567E-2</v>
      </c>
      <c r="G35" s="27">
        <f>((DATA!H35-DATA!H16)/DATA!H16)/((DATA!I35-DATA!I16)/DATA!I16)</f>
        <v>1.3710339913243095</v>
      </c>
      <c r="H35" s="27">
        <f>((DATA!H35-DATA!H16)/DATA!H16)/((DATA!J35-DATA!J16)/DATA!J16)</f>
        <v>0.9752697627098853</v>
      </c>
      <c r="I35" s="38">
        <f>((DATA!H35-DATA!H16)/DATA!H16)/((DATA!K35-DATA!K16)/DATA!K16)</f>
        <v>1.4555325595292319</v>
      </c>
      <c r="J35" s="38">
        <f>DATA!D238+DATA!E238</f>
        <v>1709500</v>
      </c>
      <c r="K35" s="38">
        <f t="shared" si="1"/>
        <v>59405.361705168747</v>
      </c>
      <c r="L35" s="27">
        <f t="shared" si="4"/>
        <v>2.4549755430777241E-3</v>
      </c>
      <c r="M35" s="38">
        <f t="shared" si="5"/>
        <v>2.6315531977628783</v>
      </c>
      <c r="N35" s="35">
        <f t="shared" si="2"/>
        <v>0.1388656644826472</v>
      </c>
      <c r="O35" s="38">
        <f t="shared" si="3"/>
        <v>3.9961183068165789</v>
      </c>
      <c r="P35" s="38">
        <f t="shared" si="6"/>
        <v>15.954650851687948</v>
      </c>
      <c r="Q35" s="8">
        <f t="shared" si="7"/>
        <v>122.24292161345079</v>
      </c>
      <c r="R35" s="7">
        <f t="shared" si="8"/>
        <v>0.47554350716787119</v>
      </c>
    </row>
    <row r="36" spans="1:18" x14ac:dyDescent="0.25">
      <c r="A36" s="8">
        <v>35</v>
      </c>
      <c r="B36" s="79">
        <f>(DATA!H37-DATA!H36)/DATA!H36</f>
        <v>8.8618014325995195E-3</v>
      </c>
      <c r="D36" s="79"/>
      <c r="E36" s="79">
        <f t="shared" si="0"/>
        <v>8.8618014325995195E-3</v>
      </c>
      <c r="G36" s="27">
        <f>((DATA!H36-DATA!H17)/DATA!H17)/((DATA!I36-DATA!I17)/DATA!I17)</f>
        <v>1.0861682127110044</v>
      </c>
      <c r="H36" s="27">
        <f>((DATA!H36-DATA!H17)/DATA!H17)/((DATA!J36-DATA!J17)/DATA!J17)</f>
        <v>0.83453827252695878</v>
      </c>
      <c r="I36" s="38">
        <f>((DATA!H36-DATA!H17)/DATA!H17)/((DATA!K36-DATA!K17)/DATA!K17)</f>
        <v>1.1345797475862922</v>
      </c>
      <c r="J36" s="38">
        <f>DATA!D229+DATA!E229</f>
        <v>2379280</v>
      </c>
      <c r="K36" s="38">
        <f t="shared" si="1"/>
        <v>-33563.639754126663</v>
      </c>
      <c r="L36" s="27">
        <f t="shared" si="4"/>
        <v>2.7296736603115825E-3</v>
      </c>
      <c r="M36" s="38">
        <f t="shared" si="5"/>
        <v>2.6510728810694917</v>
      </c>
      <c r="N36" s="35">
        <f t="shared" si="2"/>
        <v>0.3917987715706347</v>
      </c>
      <c r="O36" s="38">
        <f t="shared" si="3"/>
        <v>-27.774073016260562</v>
      </c>
      <c r="P36" s="38">
        <f t="shared" si="6"/>
        <v>4.5546249196514408</v>
      </c>
      <c r="Q36" s="8">
        <f t="shared" si="7"/>
        <v>114.54261466797969</v>
      </c>
      <c r="R36" s="7">
        <f t="shared" si="8"/>
        <v>0.42943958449520736</v>
      </c>
    </row>
    <row r="37" spans="1:18" x14ac:dyDescent="0.25">
      <c r="A37" s="8">
        <v>36</v>
      </c>
      <c r="B37" s="79">
        <f>(DATA!H38-DATA!H37)/DATA!H37</f>
        <v>1.7307525388421143E-2</v>
      </c>
      <c r="D37" s="79"/>
      <c r="E37" s="79">
        <f t="shared" si="0"/>
        <v>1.7307525388421143E-2</v>
      </c>
      <c r="G37" s="27">
        <f>((DATA!H37-DATA!H18)/DATA!H18)/((DATA!I37-DATA!I18)/DATA!I18)</f>
        <v>1.0633276581818709</v>
      </c>
      <c r="H37" s="27">
        <f>((DATA!H37-DATA!H18)/DATA!H18)/((DATA!J37-DATA!J18)/DATA!J18)</f>
        <v>0.7419021902745353</v>
      </c>
      <c r="I37" s="38">
        <f>((DATA!H37-DATA!H18)/DATA!H18)/((DATA!K37-DATA!K18)/DATA!K18)</f>
        <v>1.134701208765359</v>
      </c>
      <c r="J37" s="38">
        <f>DATA!D220+DATA!E220</f>
        <v>1602673</v>
      </c>
      <c r="K37" s="38">
        <f t="shared" si="1"/>
        <v>14202.56988738857</v>
      </c>
      <c r="L37" s="27">
        <f t="shared" si="4"/>
        <v>5.5744679379765311E-3</v>
      </c>
      <c r="M37" s="38">
        <f t="shared" si="5"/>
        <v>2.4394317274360779</v>
      </c>
      <c r="N37" s="35">
        <f t="shared" si="2"/>
        <v>-0.32640420631451533</v>
      </c>
      <c r="O37" s="38">
        <f t="shared" si="3"/>
        <v>-36.832714973028679</v>
      </c>
      <c r="P37" s="38">
        <f t="shared" si="6"/>
        <v>1.8510676695203958</v>
      </c>
      <c r="Q37" s="8">
        <f t="shared" si="7"/>
        <v>114.86514965036147</v>
      </c>
      <c r="R37" s="7">
        <f t="shared" si="8"/>
        <v>0.41580609357951731</v>
      </c>
    </row>
    <row r="38" spans="1:18" x14ac:dyDescent="0.25">
      <c r="A38" s="8">
        <v>37</v>
      </c>
      <c r="B38" s="79">
        <f>(DATA!H39-DATA!H38)/DATA!H38</f>
        <v>-1.238865567728064E-2</v>
      </c>
      <c r="D38" s="79"/>
      <c r="E38" s="79">
        <f t="shared" si="0"/>
        <v>1.238865567728064E-2</v>
      </c>
      <c r="G38" s="27">
        <f>((DATA!H38-DATA!H19)/DATA!H19)/((DATA!I38-DATA!I19)/DATA!I19)</f>
        <v>0.92267488193891134</v>
      </c>
      <c r="H38" s="27">
        <f>((DATA!H38-DATA!H19)/DATA!H19)/((DATA!J38-DATA!J19)/DATA!J19)</f>
        <v>0.64675470470920793</v>
      </c>
      <c r="I38" s="38">
        <f>((DATA!H38-DATA!H19)/DATA!H19)/((DATA!K38-DATA!K19)/DATA!K19)</f>
        <v>1.00083944429438</v>
      </c>
      <c r="J38" s="38">
        <f>DATA!D211+DATA!E211</f>
        <v>2591782</v>
      </c>
      <c r="K38" s="38">
        <f t="shared" si="1"/>
        <v>44857.332766252926</v>
      </c>
      <c r="L38" s="27">
        <f t="shared" si="4"/>
        <v>9.3825196248623274E-3</v>
      </c>
      <c r="M38" s="38">
        <f t="shared" si="5"/>
        <v>2.3468057869230825</v>
      </c>
      <c r="N38" s="35">
        <f t="shared" si="2"/>
        <v>0.61716207860243477</v>
      </c>
      <c r="O38" s="38">
        <f t="shared" si="3"/>
        <v>35.658597329882909</v>
      </c>
      <c r="P38" s="38">
        <f t="shared" si="6"/>
        <v>6.4012564474609777</v>
      </c>
      <c r="Q38" s="8">
        <f t="shared" si="7"/>
        <v>114.281163811098</v>
      </c>
      <c r="R38" s="7">
        <f t="shared" si="8"/>
        <v>0.564002981564799</v>
      </c>
    </row>
    <row r="39" spans="1:18" x14ac:dyDescent="0.25">
      <c r="A39" s="8">
        <v>38</v>
      </c>
      <c r="B39" s="79">
        <f>(DATA!H40-DATA!H39)/DATA!H39</f>
        <v>2.7126961089225239E-3</v>
      </c>
      <c r="D39" s="79"/>
      <c r="E39" s="79">
        <f t="shared" si="0"/>
        <v>2.7126961089225239E-3</v>
      </c>
      <c r="G39" s="27">
        <f>((DATA!H39-DATA!H20)/DATA!H20)/((DATA!I39-DATA!I20)/DATA!I20)</f>
        <v>0.52769135280967727</v>
      </c>
      <c r="H39" s="27">
        <f>((DATA!H39-DATA!H20)/DATA!H20)/((DATA!J39-DATA!J20)/DATA!J20)</f>
        <v>0.3869175796115184</v>
      </c>
      <c r="I39" s="38">
        <f>((DATA!H39-DATA!H20)/DATA!H20)/((DATA!K39-DATA!K20)/DATA!K20)</f>
        <v>0.57398507298702828</v>
      </c>
      <c r="J39" s="38">
        <f>DATA!D202+DATA!E202</f>
        <v>3172000</v>
      </c>
      <c r="K39" s="38">
        <f t="shared" si="1"/>
        <v>-39296.815808334191</v>
      </c>
      <c r="L39" s="27">
        <f t="shared" si="4"/>
        <v>8.5625253752589468E-3</v>
      </c>
      <c r="M39" s="38">
        <f t="shared" si="5"/>
        <v>2.3839564949183849</v>
      </c>
      <c r="N39" s="35">
        <f t="shared" si="2"/>
        <v>0.22386836547209604</v>
      </c>
      <c r="O39" s="38">
        <f t="shared" si="3"/>
        <v>-18.0704324426939</v>
      </c>
      <c r="P39" s="38">
        <f t="shared" si="6"/>
        <v>7.9892776331691007</v>
      </c>
      <c r="Q39" s="8">
        <f t="shared" si="7"/>
        <v>113.67772556009935</v>
      </c>
      <c r="R39" s="7">
        <f t="shared" si="8"/>
        <v>0.44268949799209845</v>
      </c>
    </row>
    <row r="40" spans="1:18" x14ac:dyDescent="0.25">
      <c r="A40" s="8">
        <v>39</v>
      </c>
      <c r="B40" s="79">
        <f>(DATA!H41-DATA!H40)/DATA!H40</f>
        <v>4.1166233005359022E-2</v>
      </c>
      <c r="D40" s="79"/>
      <c r="E40" s="79">
        <f t="shared" si="0"/>
        <v>4.1166233005359022E-2</v>
      </c>
      <c r="G40" s="27">
        <f>((DATA!H40-DATA!H21)/DATA!H21)/((DATA!I40-DATA!I21)/DATA!I21)</f>
        <v>0.33310220520787576</v>
      </c>
      <c r="H40" s="27">
        <f>((DATA!H40-DATA!H21)/DATA!H21)/((DATA!J40-DATA!J21)/DATA!J21)</f>
        <v>0.25502223518745881</v>
      </c>
      <c r="I40" s="38">
        <f>((DATA!H40-DATA!H21)/DATA!H21)/((DATA!K40-DATA!K21)/DATA!K21)</f>
        <v>0.36200781336923193</v>
      </c>
      <c r="J40" s="38">
        <f>DATA!D193+DATA!E193</f>
        <v>2810000</v>
      </c>
      <c r="K40" s="38">
        <f t="shared" si="1"/>
        <v>7622.6760660722921</v>
      </c>
      <c r="L40" s="27">
        <f t="shared" si="4"/>
        <v>8.2846702190572299E-3</v>
      </c>
      <c r="M40" s="38">
        <f t="shared" si="5"/>
        <v>2.2076440967003492</v>
      </c>
      <c r="N40" s="35">
        <f t="shared" si="2"/>
        <v>-0.11412358133669609</v>
      </c>
      <c r="O40" s="38">
        <f t="shared" si="3"/>
        <v>-42.070168111099512</v>
      </c>
      <c r="P40" s="38">
        <f t="shared" si="6"/>
        <v>2.6050646175505197</v>
      </c>
      <c r="Q40" s="8">
        <f t="shared" si="7"/>
        <v>113.35445440603142</v>
      </c>
      <c r="R40" s="7">
        <f t="shared" si="8"/>
        <v>0.4014700547879993</v>
      </c>
    </row>
    <row r="41" spans="1:18" x14ac:dyDescent="0.25">
      <c r="A41" s="8">
        <v>40</v>
      </c>
      <c r="B41" s="79">
        <f>(DATA!H42-DATA!H41)/DATA!H41</f>
        <v>4.9965244447386717E-2</v>
      </c>
      <c r="D41" s="79"/>
      <c r="E41" s="79">
        <f t="shared" si="0"/>
        <v>4.9965244447386717E-2</v>
      </c>
      <c r="G41" s="27">
        <f>((DATA!H41-DATA!H22)/DATA!H22)/((DATA!I41-DATA!I22)/DATA!I22)</f>
        <v>0.38324965085277563</v>
      </c>
      <c r="H41" s="27">
        <f>((DATA!H41-DATA!H22)/DATA!H22)/((DATA!J41-DATA!J22)/DATA!J22)</f>
        <v>0.28037851708772882</v>
      </c>
      <c r="I41" s="38">
        <f>((DATA!H41-DATA!H22)/DATA!H22)/((DATA!K41-DATA!K22)/DATA!K22)</f>
        <v>0.42009073986212309</v>
      </c>
      <c r="J41" s="38">
        <f>DATA!D184+DATA!E184</f>
        <v>3112020</v>
      </c>
      <c r="K41" s="38">
        <f t="shared" si="1"/>
        <v>128110.14043733738</v>
      </c>
      <c r="L41" s="27">
        <f t="shared" si="4"/>
        <v>9.1425522585773921E-3</v>
      </c>
      <c r="M41" s="38">
        <f t="shared" si="5"/>
        <v>2.144282375138554</v>
      </c>
      <c r="N41" s="35">
        <f t="shared" si="2"/>
        <v>0.10748042704626334</v>
      </c>
      <c r="O41" s="38">
        <f t="shared" si="3"/>
        <v>2.6108880798559233</v>
      </c>
      <c r="P41" s="38">
        <f t="shared" si="6"/>
        <v>0.5658332773264273</v>
      </c>
      <c r="Q41" s="8">
        <f t="shared" si="7"/>
        <v>112.94814465796576</v>
      </c>
      <c r="R41" s="7">
        <f t="shared" si="8"/>
        <v>0.50452653474017306</v>
      </c>
    </row>
    <row r="42" spans="1:18" x14ac:dyDescent="0.25">
      <c r="A42" s="8">
        <v>41</v>
      </c>
      <c r="B42" s="79">
        <f>(DATA!H43-DATA!H42)/DATA!H42</f>
        <v>4.9967686511877177E-2</v>
      </c>
      <c r="D42" s="79"/>
      <c r="E42" s="79">
        <f t="shared" si="0"/>
        <v>4.9967686511877177E-2</v>
      </c>
      <c r="G42" s="27">
        <f>((DATA!H42-DATA!H23)/DATA!H23)/((DATA!I42-DATA!I23)/DATA!I23)</f>
        <v>0.66622730654912576</v>
      </c>
      <c r="H42" s="27">
        <f>((DATA!H42-DATA!H23)/DATA!H23)/((DATA!J42-DATA!J23)/DATA!J23)</f>
        <v>0.42187568412104531</v>
      </c>
      <c r="I42" s="38">
        <f>((DATA!H42-DATA!H23)/DATA!H23)/((DATA!K42-DATA!K23)/DATA!K23)</f>
        <v>0.75919559529071845</v>
      </c>
      <c r="J42" s="38">
        <f>DATA!D175+DATA!E175</f>
        <v>4618000</v>
      </c>
      <c r="K42" s="38">
        <f t="shared" si="1"/>
        <v>230739.49885803185</v>
      </c>
      <c r="L42" s="27">
        <f t="shared" si="4"/>
        <v>7.4517416329515805E-3</v>
      </c>
      <c r="M42" s="38">
        <f t="shared" si="5"/>
        <v>2.1611281458456246</v>
      </c>
      <c r="N42" s="35">
        <f t="shared" si="2"/>
        <v>0.48392362516950405</v>
      </c>
      <c r="O42" s="38">
        <f t="shared" si="3"/>
        <v>9.6852047962874366</v>
      </c>
      <c r="P42" s="38">
        <f t="shared" si="6"/>
        <v>-14.104025759910865</v>
      </c>
      <c r="Q42" s="8">
        <f t="shared" si="7"/>
        <v>87.854900564807167</v>
      </c>
      <c r="R42" s="7">
        <f t="shared" si="8"/>
        <v>0.56769466018190384</v>
      </c>
    </row>
    <row r="43" spans="1:18" x14ac:dyDescent="0.25">
      <c r="A43" s="8">
        <v>42</v>
      </c>
      <c r="B43" s="79">
        <f>(DATA!H44-DATA!H43)/DATA!H43</f>
        <v>4.183993634684962E-2</v>
      </c>
      <c r="D43" s="79"/>
      <c r="E43" s="79">
        <f t="shared" si="0"/>
        <v>4.183993634684962E-2</v>
      </c>
      <c r="G43" s="27">
        <f>((DATA!H43-DATA!H24)/DATA!H24)/((DATA!I43-DATA!I24)/DATA!I24)</f>
        <v>0.69071343726304646</v>
      </c>
      <c r="H43" s="27">
        <f>((DATA!H43-DATA!H24)/DATA!H24)/((DATA!J43-DATA!J24)/DATA!J24)</f>
        <v>0.46890121327716355</v>
      </c>
      <c r="I43" s="38">
        <f>((DATA!H43-DATA!H24)/DATA!H24)/((DATA!K43-DATA!K24)/DATA!K24)</f>
        <v>0.76248345482905711</v>
      </c>
      <c r="J43" s="38">
        <f>DATA!D166+DATA!E166</f>
        <v>6273000</v>
      </c>
      <c r="K43" s="38">
        <f t="shared" si="1"/>
        <v>313447.29748900555</v>
      </c>
      <c r="L43" s="27">
        <f t="shared" si="4"/>
        <v>8.0419143038873309E-3</v>
      </c>
      <c r="M43" s="38">
        <f t="shared" si="5"/>
        <v>2.2606231863489539</v>
      </c>
      <c r="N43" s="35">
        <f t="shared" si="2"/>
        <v>0.35838025119099176</v>
      </c>
      <c r="O43" s="38">
        <f t="shared" si="3"/>
        <v>7.1722402258068483</v>
      </c>
      <c r="P43" s="38">
        <f t="shared" si="6"/>
        <v>-13.491464390150014</v>
      </c>
      <c r="Q43" s="8">
        <f t="shared" si="7"/>
        <v>87.963781738159128</v>
      </c>
      <c r="R43" s="7">
        <f t="shared" si="8"/>
        <v>0.55872787699563187</v>
      </c>
    </row>
    <row r="44" spans="1:18" x14ac:dyDescent="0.25">
      <c r="A44" s="8">
        <v>43</v>
      </c>
      <c r="B44" s="79">
        <f>(DATA!H45-DATA!H44)/DATA!H44</f>
        <v>-5.4756621228277472E-3</v>
      </c>
      <c r="D44" s="79"/>
      <c r="E44" s="79">
        <f t="shared" si="0"/>
        <v>5.4756621228277472E-3</v>
      </c>
      <c r="G44" s="27">
        <f>((DATA!H44-DATA!H25)/DATA!H25)/((DATA!I44-DATA!I25)/DATA!I25)</f>
        <v>1.0273109714726694</v>
      </c>
      <c r="H44" s="27">
        <f>((DATA!H44-DATA!H25)/DATA!H25)/((DATA!J44-DATA!J25)/DATA!J25)</f>
        <v>0.70054279263008923</v>
      </c>
      <c r="I44" s="38">
        <f>((DATA!H44-DATA!H25)/DATA!H25)/((DATA!K44-DATA!K25)/DATA!K25)</f>
        <v>1.0923936317224754</v>
      </c>
      <c r="J44" s="38">
        <f>DATA!D157+DATA!E157</f>
        <v>8113000</v>
      </c>
      <c r="K44" s="38">
        <f t="shared" si="1"/>
        <v>339447.40358199098</v>
      </c>
      <c r="L44" s="27">
        <f t="shared" si="4"/>
        <v>8.5951688523400929E-3</v>
      </c>
      <c r="M44" s="38">
        <f t="shared" si="5"/>
        <v>2.3093886703957391</v>
      </c>
      <c r="N44" s="35">
        <f t="shared" si="2"/>
        <v>0.29332058026462615</v>
      </c>
      <c r="O44" s="38">
        <f t="shared" si="3"/>
        <v>7.0105407865113065</v>
      </c>
      <c r="P44" s="38">
        <f t="shared" si="6"/>
        <v>-13.427136049056021</v>
      </c>
      <c r="Q44" s="8">
        <f t="shared" si="7"/>
        <v>87.979042791086144</v>
      </c>
      <c r="R44" s="7">
        <f t="shared" si="8"/>
        <v>0.55807541258461513</v>
      </c>
    </row>
    <row r="45" spans="1:18" x14ac:dyDescent="0.25">
      <c r="A45" s="8">
        <v>44</v>
      </c>
      <c r="B45" s="79">
        <f>(DATA!H46-DATA!H45)/DATA!H45</f>
        <v>1.096815323538787E-2</v>
      </c>
      <c r="D45" s="79"/>
      <c r="E45" s="79">
        <f t="shared" si="0"/>
        <v>1.096815323538787E-2</v>
      </c>
      <c r="G45" s="27">
        <f>((DATA!H45-DATA!H26)/DATA!H26)/((DATA!I45-DATA!I26)/DATA!I26)</f>
        <v>1.0303775081811901</v>
      </c>
      <c r="H45" s="27">
        <f>((DATA!H45-DATA!H26)/DATA!H26)/((DATA!J45-DATA!J26)/DATA!J26)</f>
        <v>0.75199748053431903</v>
      </c>
      <c r="I45" s="38">
        <f>((DATA!H45-DATA!H26)/DATA!H26)/((DATA!K45-DATA!K26)/DATA!K26)</f>
        <v>1.0615960035095329</v>
      </c>
      <c r="J45" s="38">
        <f>DATA!D148+DATA!E148</f>
        <v>4630000</v>
      </c>
      <c r="K45" s="38">
        <f t="shared" si="1"/>
        <v>-25352.315628692468</v>
      </c>
      <c r="L45" s="27">
        <f t="shared" si="4"/>
        <v>8.5802753580697111E-3</v>
      </c>
      <c r="M45" s="38">
        <f t="shared" si="5"/>
        <v>2.3143528085533216</v>
      </c>
      <c r="N45" s="35">
        <f t="shared" si="2"/>
        <v>-0.4293109823739677</v>
      </c>
      <c r="O45" s="38">
        <f t="shared" si="3"/>
        <v>78.4034830389174</v>
      </c>
      <c r="P45" s="38">
        <f t="shared" si="6"/>
        <v>-14.984143094628269</v>
      </c>
      <c r="Q45" s="8">
        <f t="shared" si="7"/>
        <v>85.940155679686484</v>
      </c>
      <c r="R45" s="7">
        <f t="shared" si="8"/>
        <v>0.77166469910066593</v>
      </c>
    </row>
    <row r="46" spans="1:18" x14ac:dyDescent="0.25">
      <c r="A46" s="8">
        <v>45</v>
      </c>
      <c r="B46" s="79">
        <f>(DATA!H47-DATA!H46)/DATA!H46</f>
        <v>1.9333572196345395E-2</v>
      </c>
      <c r="D46" s="79"/>
      <c r="E46" s="79">
        <f t="shared" si="0"/>
        <v>1.9333572196345395E-2</v>
      </c>
      <c r="G46" s="27">
        <f>((DATA!H46-DATA!H27)/DATA!H27)/((DATA!I46-DATA!I27)/DATA!I27)</f>
        <v>1.1260594350731132</v>
      </c>
      <c r="H46" s="27">
        <f>((DATA!H46-DATA!H27)/DATA!H27)/((DATA!J46-DATA!J27)/DATA!J27)</f>
        <v>0.88713052624086974</v>
      </c>
      <c r="I46" s="38">
        <f>((DATA!H46-DATA!H27)/DATA!H27)/((DATA!K46-DATA!K27)/DATA!K27)</f>
        <v>1.1467256365482286</v>
      </c>
      <c r="J46" s="38">
        <f>DATA!D139+DATA!E139</f>
        <v>3255000</v>
      </c>
      <c r="K46" s="38">
        <f t="shared" si="1"/>
        <v>35701.338781187515</v>
      </c>
      <c r="L46" s="27">
        <f t="shared" si="4"/>
        <v>1.0213493638639338E-2</v>
      </c>
      <c r="M46" s="38">
        <f t="shared" si="5"/>
        <v>2.3096702844843793</v>
      </c>
      <c r="N46" s="35">
        <f t="shared" si="2"/>
        <v>-0.29697624190064797</v>
      </c>
      <c r="O46" s="38">
        <f t="shared" si="3"/>
        <v>-27.076230202772685</v>
      </c>
      <c r="P46" s="38">
        <f t="shared" si="6"/>
        <v>0.39669169415756045</v>
      </c>
      <c r="Q46" s="8">
        <f t="shared" si="7"/>
        <v>42.008525418111887</v>
      </c>
      <c r="R46" s="7">
        <f t="shared" si="8"/>
        <v>0.33650389043955015</v>
      </c>
    </row>
    <row r="47" spans="1:18" x14ac:dyDescent="0.25">
      <c r="A47" s="8">
        <v>46</v>
      </c>
      <c r="B47" s="79">
        <f>(DATA!H48-DATA!H47)/DATA!H47</f>
        <v>4.4612226533940723E-2</v>
      </c>
      <c r="D47" s="79"/>
      <c r="E47" s="79">
        <f t="shared" si="0"/>
        <v>4.4612226533940723E-2</v>
      </c>
      <c r="G47" s="27">
        <f>((DATA!H47-DATA!H28)/DATA!H28)/((DATA!I47-DATA!I28)/DATA!I28)</f>
        <v>1.4517313077733802</v>
      </c>
      <c r="H47" s="27">
        <f>((DATA!H47-DATA!H28)/DATA!H28)/((DATA!J47-DATA!J28)/DATA!J28)</f>
        <v>1.1733677386149675</v>
      </c>
      <c r="I47" s="38">
        <f>((DATA!H47-DATA!H28)/DATA!H28)/((DATA!K47-DATA!K28)/DATA!K28)</f>
        <v>1.4493232486427989</v>
      </c>
      <c r="J47" s="38">
        <f>DATA!D130+DATA!E130</f>
        <v>3500000</v>
      </c>
      <c r="K47" s="38">
        <f t="shared" si="1"/>
        <v>67667.502687208878</v>
      </c>
      <c r="L47" s="27">
        <f t="shared" si="4"/>
        <v>1.4135954114915521E-2</v>
      </c>
      <c r="M47" s="38">
        <f t="shared" si="5"/>
        <v>2.3213101872071911</v>
      </c>
      <c r="N47" s="35">
        <f t="shared" si="2"/>
        <v>7.5268817204301078E-2</v>
      </c>
      <c r="O47" s="38">
        <f t="shared" si="3"/>
        <v>3.8931665829726523</v>
      </c>
      <c r="P47" s="38">
        <f t="shared" si="6"/>
        <v>1.6223673118777047</v>
      </c>
      <c r="Q47" s="8">
        <f t="shared" si="7"/>
        <v>41.719660773901964</v>
      </c>
      <c r="R47" s="7">
        <f t="shared" si="8"/>
        <v>0.51360748882524143</v>
      </c>
    </row>
    <row r="48" spans="1:18" x14ac:dyDescent="0.25">
      <c r="A48" s="8">
        <v>47</v>
      </c>
      <c r="B48" s="79">
        <f>(DATA!H49-DATA!H48)/DATA!H48</f>
        <v>2.1589027820773384E-2</v>
      </c>
      <c r="D48" s="79"/>
      <c r="E48" s="79">
        <f t="shared" si="0"/>
        <v>2.1589027820773384E-2</v>
      </c>
      <c r="G48" s="27">
        <f>((DATA!H48-DATA!H29)/DATA!H29)/((DATA!I48-DATA!I29)/DATA!I29)</f>
        <v>1.6825396560039871</v>
      </c>
      <c r="H48" s="27">
        <f>((DATA!H48-DATA!H29)/DATA!H29)/((DATA!J48-DATA!J29)/DATA!J29)</f>
        <v>1.4854828418879971</v>
      </c>
      <c r="I48" s="38">
        <f>((DATA!H48-DATA!H29)/DATA!H29)/((DATA!K48-DATA!K29)/DATA!K29)</f>
        <v>1.6744258574678001</v>
      </c>
      <c r="J48" s="38">
        <f>DATA!D121+DATA!E121</f>
        <v>3084000</v>
      </c>
      <c r="K48" s="38">
        <f t="shared" si="1"/>
        <v>137584.1066306732</v>
      </c>
      <c r="L48" s="27">
        <f t="shared" si="4"/>
        <v>1.7192364672008655E-2</v>
      </c>
      <c r="M48" s="38">
        <f t="shared" si="5"/>
        <v>2.3764922009215828</v>
      </c>
      <c r="N48" s="35">
        <f t="shared" si="2"/>
        <v>-0.11885714285714286</v>
      </c>
      <c r="O48" s="38">
        <f t="shared" si="3"/>
        <v>-2.6642279951375443</v>
      </c>
      <c r="P48" s="38">
        <f t="shared" si="6"/>
        <v>-0.95388490713622998</v>
      </c>
      <c r="Q48" s="8">
        <f t="shared" si="7"/>
        <v>40.212746162889673</v>
      </c>
      <c r="R48" s="7">
        <f t="shared" si="8"/>
        <v>0.48936690943045008</v>
      </c>
    </row>
    <row r="49" spans="1:18" x14ac:dyDescent="0.25">
      <c r="A49" s="8">
        <v>48</v>
      </c>
      <c r="B49" s="79">
        <f>(DATA!H50-DATA!H49)/DATA!H49</f>
        <v>3.9261669806721911E-3</v>
      </c>
      <c r="D49" s="79"/>
      <c r="E49" s="79">
        <f t="shared" si="0"/>
        <v>3.9261669806721911E-3</v>
      </c>
      <c r="G49" s="27">
        <f>((DATA!H49-DATA!H30)/DATA!H30)/((DATA!I49-DATA!I30)/DATA!I30)</f>
        <v>1.7809640273230662</v>
      </c>
      <c r="H49" s="27">
        <f>((DATA!H49-DATA!H30)/DATA!H30)/((DATA!J49-DATA!J30)/DATA!J30)</f>
        <v>1.5888698702557105</v>
      </c>
      <c r="I49" s="38">
        <f>((DATA!H49-DATA!H30)/DATA!H30)/((DATA!K49-DATA!K30)/DATA!K30)</f>
        <v>1.7330880295546407</v>
      </c>
      <c r="J49" s="38">
        <f>DATA!D112+DATA!E112</f>
        <v>4318000</v>
      </c>
      <c r="K49" s="38">
        <f t="shared" si="1"/>
        <v>93221.422130099469</v>
      </c>
      <c r="L49" s="27">
        <f t="shared" si="4"/>
        <v>1.9391713544356887E-2</v>
      </c>
      <c r="M49" s="38">
        <f t="shared" si="5"/>
        <v>2.2685599643081211</v>
      </c>
      <c r="N49" s="35">
        <f t="shared" si="2"/>
        <v>0.40012970168612194</v>
      </c>
      <c r="O49" s="38">
        <f t="shared" si="3"/>
        <v>18.533937934023566</v>
      </c>
      <c r="P49" s="38">
        <f t="shared" si="6"/>
        <v>-0.34203653565965214</v>
      </c>
      <c r="Q49" s="8">
        <f t="shared" si="7"/>
        <v>40.421429498637742</v>
      </c>
      <c r="R49" s="7">
        <f t="shared" si="8"/>
        <v>0.61674484737309554</v>
      </c>
    </row>
    <row r="50" spans="1:18" x14ac:dyDescent="0.25">
      <c r="A50" s="8">
        <v>49</v>
      </c>
      <c r="B50" s="79">
        <f>(DATA!H51-DATA!H50)/DATA!H50</f>
        <v>-2.5735245869368366E-2</v>
      </c>
      <c r="D50" s="79"/>
      <c r="E50" s="79">
        <f t="shared" si="0"/>
        <v>2.5735245869368366E-2</v>
      </c>
      <c r="G50" s="27">
        <f>((DATA!H50-DATA!H31)/DATA!H31)/((DATA!I50-DATA!I31)/DATA!I31)</f>
        <v>1.6530374114526516</v>
      </c>
      <c r="H50" s="27">
        <f>((DATA!H50-DATA!H31)/DATA!H31)/((DATA!J50-DATA!J31)/DATA!J31)</f>
        <v>1.5840363685345487</v>
      </c>
      <c r="I50" s="38">
        <f>((DATA!H50-DATA!H31)/DATA!H31)/((DATA!K50-DATA!K31)/DATA!K31)</f>
        <v>1.6136395037371525</v>
      </c>
      <c r="J50" s="38">
        <f>DATA!D103+DATA!E103</f>
        <v>3311410</v>
      </c>
      <c r="K50" s="38">
        <f t="shared" si="1"/>
        <v>13001.148601467699</v>
      </c>
      <c r="L50" s="27">
        <f t="shared" si="4"/>
        <v>1.8694362560944078E-2</v>
      </c>
      <c r="M50" s="38">
        <f t="shared" si="5"/>
        <v>2.2784012443351243</v>
      </c>
      <c r="N50" s="35">
        <f t="shared" si="2"/>
        <v>-0.23311486799444187</v>
      </c>
      <c r="O50" s="38">
        <f t="shared" si="3"/>
        <v>-59.374669784047427</v>
      </c>
      <c r="P50" s="38">
        <f t="shared" si="6"/>
        <v>-2.4764310519331696</v>
      </c>
      <c r="Q50" s="8">
        <f t="shared" si="7"/>
        <v>42.408127113086238</v>
      </c>
      <c r="R50" s="7">
        <f t="shared" si="8"/>
        <v>0.16457939429635485</v>
      </c>
    </row>
    <row r="51" spans="1:18" x14ac:dyDescent="0.25">
      <c r="A51" s="8">
        <v>50</v>
      </c>
      <c r="B51" s="79">
        <f>(DATA!H52-DATA!H51)/DATA!H51</f>
        <v>-4.9678062447803012E-2</v>
      </c>
      <c r="D51" s="79"/>
      <c r="E51" s="79">
        <f t="shared" si="0"/>
        <v>4.9678062447803012E-2</v>
      </c>
      <c r="G51" s="27">
        <f>((DATA!H51-DATA!H32)/DATA!H32)/((DATA!I51-DATA!I32)/DATA!I32)</f>
        <v>1.3914649557088741</v>
      </c>
      <c r="H51" s="27">
        <f>((DATA!H51-DATA!H32)/DATA!H32)/((DATA!J51-DATA!J32)/DATA!J32)</f>
        <v>1.3502831240016762</v>
      </c>
      <c r="I51" s="38">
        <f>((DATA!H51-DATA!H32)/DATA!H32)/((DATA!K51-DATA!K32)/DATA!K32)</f>
        <v>1.3574334419361345</v>
      </c>
      <c r="J51" s="38">
        <f>DATA!D94+DATA!E94</f>
        <v>4488000</v>
      </c>
      <c r="K51" s="38">
        <f t="shared" si="1"/>
        <v>-115499.78346172522</v>
      </c>
      <c r="L51" s="27">
        <f t="shared" si="4"/>
        <v>1.7020656726230984E-2</v>
      </c>
      <c r="M51" s="38">
        <f t="shared" si="5"/>
        <v>2.3613013932806339</v>
      </c>
      <c r="N51" s="35">
        <f t="shared" si="2"/>
        <v>0.35531389951712411</v>
      </c>
      <c r="O51" s="38">
        <f t="shared" si="3"/>
        <v>-13.806508836973656</v>
      </c>
      <c r="P51" s="38">
        <f t="shared" si="6"/>
        <v>-2.6183564238299151</v>
      </c>
      <c r="Q51" s="8">
        <f t="shared" si="7"/>
        <v>42.442776769982885</v>
      </c>
      <c r="R51" s="7">
        <f t="shared" si="8"/>
        <v>0.43409860720366195</v>
      </c>
    </row>
    <row r="52" spans="1:18" x14ac:dyDescent="0.25">
      <c r="A52" s="8">
        <v>51</v>
      </c>
      <c r="B52" s="79">
        <f>(DATA!H53-DATA!H52)/DATA!H52</f>
        <v>2.1899362154500356E-2</v>
      </c>
      <c r="D52" s="79"/>
      <c r="E52" s="79">
        <f t="shared" si="0"/>
        <v>2.1899362154500356E-2</v>
      </c>
      <c r="G52" s="27">
        <f>((DATA!H52-DATA!H33)/DATA!H33)/((DATA!I52-DATA!I33)/DATA!I33)</f>
        <v>1.0960569877113395</v>
      </c>
      <c r="H52" s="27">
        <f>((DATA!H52-DATA!H33)/DATA!H33)/((DATA!J52-DATA!J33)/DATA!J33)</f>
        <v>1.0774128684231246</v>
      </c>
      <c r="I52" s="38">
        <f>((DATA!H52-DATA!H33)/DATA!H33)/((DATA!K52-DATA!K33)/DATA!K33)</f>
        <v>1.0752371433638173</v>
      </c>
      <c r="J52" s="38">
        <f>DATA!D85+DATA!E85</f>
        <v>4896000</v>
      </c>
      <c r="K52" s="38">
        <f t="shared" si="1"/>
        <v>-243223.79374444354</v>
      </c>
      <c r="L52" s="27">
        <f t="shared" si="4"/>
        <v>1.2896827836203512E-2</v>
      </c>
      <c r="M52" s="38">
        <f t="shared" si="5"/>
        <v>2.6955627773816984</v>
      </c>
      <c r="N52" s="35">
        <f t="shared" si="2"/>
        <v>9.0909090909090912E-2</v>
      </c>
      <c r="O52" s="38">
        <f t="shared" si="3"/>
        <v>-1.8299645040425951</v>
      </c>
      <c r="P52" s="38">
        <f t="shared" si="6"/>
        <v>1.0488739671607528</v>
      </c>
      <c r="Q52" s="8">
        <f t="shared" si="7"/>
        <v>38.861184951095161</v>
      </c>
      <c r="R52" s="7">
        <f t="shared" si="8"/>
        <v>0.48147998784116963</v>
      </c>
    </row>
    <row r="53" spans="1:18" x14ac:dyDescent="0.25">
      <c r="A53" s="8">
        <v>52</v>
      </c>
      <c r="B53" s="79">
        <f>(DATA!H54-DATA!H53)/DATA!H53</f>
        <v>3.2998127470698385E-2</v>
      </c>
      <c r="D53" s="79"/>
      <c r="E53" s="79">
        <f t="shared" si="0"/>
        <v>3.2998127470698385E-2</v>
      </c>
      <c r="G53" s="27">
        <f>((DATA!H53-DATA!H34)/DATA!H34)/((DATA!I53-DATA!I34)/DATA!I34)</f>
        <v>1.2723329903802616</v>
      </c>
      <c r="H53" s="27">
        <f>((DATA!H53-DATA!H34)/DATA!H34)/((DATA!J53-DATA!J34)/DATA!J34)</f>
        <v>1.2094564779307519</v>
      </c>
      <c r="I53" s="38">
        <f>((DATA!H53-DATA!H34)/DATA!H34)/((DATA!K53-DATA!K34)/DATA!K34)</f>
        <v>1.2326192462510805</v>
      </c>
      <c r="J53" s="38">
        <f>DATA!D76+DATA!E76</f>
        <v>1289500</v>
      </c>
      <c r="K53" s="38">
        <f t="shared" si="1"/>
        <v>28239.227498228207</v>
      </c>
      <c r="L53" s="27">
        <f t="shared" si="4"/>
        <v>1.4639581752313044E-2</v>
      </c>
      <c r="M53" s="38">
        <f t="shared" si="5"/>
        <v>2.5604107534996507</v>
      </c>
      <c r="N53" s="35">
        <f t="shared" si="2"/>
        <v>-0.73662173202614378</v>
      </c>
      <c r="O53" s="38">
        <f t="shared" si="3"/>
        <v>-33.63667520676016</v>
      </c>
      <c r="P53" s="38">
        <f t="shared" si="6"/>
        <v>0.54840381256902648</v>
      </c>
      <c r="Q53" s="8">
        <f t="shared" si="7"/>
        <v>39.258125507426747</v>
      </c>
      <c r="R53" s="7">
        <f t="shared" si="8"/>
        <v>0.28230571010794864</v>
      </c>
    </row>
    <row r="54" spans="1:18" x14ac:dyDescent="0.25">
      <c r="A54" s="8">
        <v>53</v>
      </c>
      <c r="B54" s="79">
        <f>(DATA!H55-DATA!H54)/DATA!H54</f>
        <v>2.3968096248355129E-2</v>
      </c>
      <c r="D54" s="79"/>
      <c r="E54" s="79">
        <f t="shared" si="0"/>
        <v>2.3968096248355129E-2</v>
      </c>
      <c r="G54" s="27">
        <f>((DATA!H54-DATA!H35)/DATA!H35)/((DATA!I54-DATA!I35)/DATA!I35)</f>
        <v>1.5304053573425005</v>
      </c>
      <c r="H54" s="27">
        <f>((DATA!H54-DATA!H35)/DATA!H35)/((DATA!J54-DATA!J35)/DATA!J35)</f>
        <v>1.3641103835766388</v>
      </c>
      <c r="I54" s="38">
        <f>((DATA!H54-DATA!H35)/DATA!H35)/((DATA!K54-DATA!K35)/DATA!K35)</f>
        <v>1.4717742472096182</v>
      </c>
      <c r="J54" s="38">
        <f>DATA!D67+DATA!E67</f>
        <v>2837000</v>
      </c>
      <c r="K54" s="38">
        <f t="shared" si="1"/>
        <v>93615.687634371323</v>
      </c>
      <c r="L54" s="27">
        <f t="shared" si="4"/>
        <v>1.5722244050765614E-2</v>
      </c>
      <c r="M54" s="38">
        <f t="shared" si="5"/>
        <v>2.5598981593263979</v>
      </c>
      <c r="N54" s="35">
        <f t="shared" si="2"/>
        <v>1.2000775494377667</v>
      </c>
      <c r="O54" s="38">
        <f t="shared" si="3"/>
        <v>36.368049990212604</v>
      </c>
      <c r="P54" s="38">
        <f t="shared" si="6"/>
        <v>-2.9901719000764753</v>
      </c>
      <c r="Q54" s="8">
        <f t="shared" si="7"/>
        <v>31.584264201337255</v>
      </c>
      <c r="R54" s="7">
        <f t="shared" si="8"/>
        <v>0.81153347153661626</v>
      </c>
    </row>
    <row r="55" spans="1:18" x14ac:dyDescent="0.25">
      <c r="A55" s="8">
        <v>54</v>
      </c>
      <c r="B55" s="79">
        <f>(DATA!H56-DATA!H55)/DATA!H55</f>
        <v>-7.4220747715023801E-3</v>
      </c>
      <c r="D55" s="79"/>
      <c r="E55" s="79">
        <f t="shared" si="0"/>
        <v>7.4220747715023801E-3</v>
      </c>
      <c r="G55" s="27">
        <f>((DATA!H55-DATA!H36)/DATA!H36)/((DATA!I55-DATA!I36)/DATA!I36)</f>
        <v>1.6446991438667433</v>
      </c>
      <c r="H55" s="27">
        <f>((DATA!H55-DATA!H36)/DATA!H36)/((DATA!J55-DATA!J36)/DATA!J36)</f>
        <v>1.4598522999866579</v>
      </c>
      <c r="I55" s="38">
        <f>((DATA!H55-DATA!H36)/DATA!H36)/((DATA!K55-DATA!K36)/DATA!K36)</f>
        <v>1.5846816356434572</v>
      </c>
      <c r="J55" s="38">
        <f>DATA!D58+DATA!E58</f>
        <v>1770292</v>
      </c>
      <c r="K55" s="38">
        <f t="shared" si="1"/>
        <v>42430.529043693095</v>
      </c>
      <c r="L55" s="27">
        <f t="shared" si="4"/>
        <v>1.5480883112085331E-2</v>
      </c>
      <c r="M55" s="38">
        <f t="shared" si="5"/>
        <v>2.5311147054301357</v>
      </c>
      <c r="N55" s="35">
        <f t="shared" si="2"/>
        <v>-0.37599859005992248</v>
      </c>
      <c r="O55" s="38">
        <f t="shared" si="3"/>
        <v>-15.687461622477684</v>
      </c>
      <c r="P55" s="38">
        <f t="shared" si="6"/>
        <v>-3.9743508965411891</v>
      </c>
      <c r="Q55" s="8">
        <f t="shared" si="7"/>
        <v>31.661690205868691</v>
      </c>
      <c r="R55" s="7">
        <f t="shared" si="8"/>
        <v>0.40751353884002856</v>
      </c>
    </row>
    <row r="56" spans="1:18" x14ac:dyDescent="0.25">
      <c r="A56" s="8">
        <v>55</v>
      </c>
      <c r="B56" s="79">
        <f>(DATA!H57-DATA!H56)/DATA!H56</f>
        <v>-4.7217047811554572E-2</v>
      </c>
      <c r="D56" s="79"/>
      <c r="E56" s="79">
        <f t="shared" si="0"/>
        <v>4.7217047811554572E-2</v>
      </c>
      <c r="G56" s="27">
        <f>((DATA!H56-DATA!H37)/DATA!H37)/((DATA!I56-DATA!I37)/DATA!I37)</f>
        <v>1.5236090624043319</v>
      </c>
      <c r="H56" s="27">
        <f>((DATA!H56-DATA!H37)/DATA!H37)/((DATA!J56-DATA!J37)/DATA!J37)</f>
        <v>1.3683942808199969</v>
      </c>
      <c r="I56" s="38">
        <f>((DATA!H56-DATA!H37)/DATA!H37)/((DATA!K56-DATA!K37)/DATA!K37)</f>
        <v>1.4571568090549691</v>
      </c>
      <c r="J56" s="38">
        <f>DATA!D49+DATA!E49</f>
        <v>1242517</v>
      </c>
      <c r="K56" s="38">
        <f t="shared" si="1"/>
        <v>-9222.0540788628223</v>
      </c>
      <c r="L56" s="27">
        <f t="shared" si="4"/>
        <v>1.6057572358041443E-2</v>
      </c>
      <c r="M56" s="38">
        <f t="shared" si="5"/>
        <v>2.5006341677729735</v>
      </c>
      <c r="N56" s="35">
        <f t="shared" si="2"/>
        <v>-0.29812878327417169</v>
      </c>
      <c r="O56" s="38">
        <f t="shared" si="3"/>
        <v>40.167849617853463</v>
      </c>
      <c r="P56" s="38">
        <f t="shared" si="6"/>
        <v>-0.57725476483548621</v>
      </c>
      <c r="Q56" s="8">
        <f t="shared" si="7"/>
        <v>32.604561965170163</v>
      </c>
      <c r="R56" s="7">
        <f t="shared" si="8"/>
        <v>0.81241873779975116</v>
      </c>
    </row>
    <row r="57" spans="1:18" x14ac:dyDescent="0.25">
      <c r="A57" s="8">
        <v>56</v>
      </c>
      <c r="B57" s="79">
        <f>(DATA!H58-DATA!H57)/DATA!H57</f>
        <v>-3.0851786630430263E-2</v>
      </c>
      <c r="D57" s="79"/>
      <c r="E57" s="79">
        <f t="shared" si="0"/>
        <v>3.0851786630430263E-2</v>
      </c>
      <c r="G57" s="27">
        <f>((DATA!H57-DATA!H38)/DATA!H38)/((DATA!I57-DATA!I38)/DATA!I38)</f>
        <v>0.9759386699068674</v>
      </c>
      <c r="H57" s="27">
        <f>((DATA!H57-DATA!H38)/DATA!H38)/((DATA!J57-DATA!J38)/DATA!J38)</f>
        <v>0.881668180667601</v>
      </c>
      <c r="I57" s="38">
        <f>((DATA!H57-DATA!H38)/DATA!H38)/((DATA!K57-DATA!K38)/DATA!K38)</f>
        <v>0.92399681712014414</v>
      </c>
      <c r="J57" s="38">
        <f>DATA!D40+DATA!E40</f>
        <v>4622000</v>
      </c>
      <c r="K57" s="38">
        <f t="shared" si="1"/>
        <v>-218237.19498500522</v>
      </c>
      <c r="L57" s="27">
        <f t="shared" si="4"/>
        <v>1.2354707973203248E-2</v>
      </c>
      <c r="M57" s="38">
        <f t="shared" si="5"/>
        <v>2.8212510018943466</v>
      </c>
      <c r="N57" s="35">
        <f t="shared" si="2"/>
        <v>2.7198686215158423</v>
      </c>
      <c r="O57" s="38">
        <f t="shared" si="3"/>
        <v>-57.60352981768289</v>
      </c>
      <c r="P57" s="38">
        <f t="shared" si="6"/>
        <v>-1.6157955070681969</v>
      </c>
      <c r="Q57" s="8">
        <f t="shared" si="7"/>
        <v>34.115946319250284</v>
      </c>
      <c r="R57" s="7">
        <f t="shared" si="8"/>
        <v>8.9724598383608231E-2</v>
      </c>
    </row>
    <row r="58" spans="1:18" x14ac:dyDescent="0.25">
      <c r="A58" s="8">
        <v>57</v>
      </c>
      <c r="B58" s="79">
        <f>(DATA!H59-DATA!H58)/DATA!H58</f>
        <v>-4.9989984834177471E-2</v>
      </c>
      <c r="D58" s="79"/>
      <c r="E58" s="79">
        <f t="shared" si="0"/>
        <v>4.9989984834177471E-2</v>
      </c>
      <c r="G58" s="27">
        <f>((DATA!H58-DATA!H39)/DATA!H39)/((DATA!I58-DATA!I39)/DATA!I39)</f>
        <v>0.84732528528398354</v>
      </c>
      <c r="H58" s="27">
        <f>((DATA!H58-DATA!H39)/DATA!H39)/((DATA!J58-DATA!J39)/DATA!J39)</f>
        <v>0.76673614383487076</v>
      </c>
      <c r="I58" s="38">
        <f>((DATA!H58-DATA!H39)/DATA!H39)/((DATA!K58-DATA!K39)/DATA!K39)</f>
        <v>0.79692508945534979</v>
      </c>
      <c r="J58" s="38">
        <f>DATA!D31+DATA!E31</f>
        <v>1040541</v>
      </c>
      <c r="K58" s="38">
        <f t="shared" si="1"/>
        <v>-32102.548912214537</v>
      </c>
      <c r="L58" s="27">
        <f t="shared" si="4"/>
        <v>1.1578471449815575E-2</v>
      </c>
      <c r="M58" s="38">
        <f t="shared" si="5"/>
        <v>2.9660468388817014</v>
      </c>
      <c r="N58" s="35">
        <f t="shared" si="2"/>
        <v>-0.7748721332756382</v>
      </c>
      <c r="O58" s="38">
        <f t="shared" si="3"/>
        <v>25.115956575148651</v>
      </c>
      <c r="P58" s="38">
        <f t="shared" si="6"/>
        <v>-2.1429275448049099</v>
      </c>
      <c r="Q58" s="8">
        <f t="shared" si="7"/>
        <v>33.58704866009716</v>
      </c>
      <c r="R58" s="7">
        <f t="shared" si="8"/>
        <v>0.70289728636039894</v>
      </c>
    </row>
    <row r="59" spans="1:18" x14ac:dyDescent="0.25">
      <c r="A59" s="8">
        <v>58</v>
      </c>
      <c r="B59" s="79">
        <f>(DATA!H60-DATA!H59)/DATA!H59</f>
        <v>-4.0060240963855423E-2</v>
      </c>
      <c r="D59" s="79"/>
      <c r="E59" s="79">
        <f t="shared" si="0"/>
        <v>4.0060240963855423E-2</v>
      </c>
      <c r="G59" s="27">
        <f>((DATA!H59-DATA!H40)/DATA!H40)/((DATA!I59-DATA!I40)/DATA!I40)</f>
        <v>0.67767657003263093</v>
      </c>
      <c r="H59" s="27">
        <f>((DATA!H59-DATA!H40)/DATA!H40)/((DATA!J59-DATA!J40)/DATA!J40)</f>
        <v>0.56735811405915815</v>
      </c>
      <c r="I59" s="38">
        <f>((DATA!H59-DATA!H40)/DATA!H40)/((DATA!K59-DATA!K40)/DATA!K40)</f>
        <v>0.63977706332392936</v>
      </c>
      <c r="J59" s="38">
        <f>DATA!D22+DATA!E22</f>
        <v>2458000</v>
      </c>
      <c r="K59" s="38">
        <f t="shared" si="1"/>
        <v>-122875.38272240822</v>
      </c>
      <c r="L59" s="27">
        <f t="shared" si="4"/>
        <v>1.0552085106144594E-2</v>
      </c>
      <c r="M59" s="38">
        <f t="shared" si="5"/>
        <v>3.2027939299236383</v>
      </c>
      <c r="N59" s="35">
        <f t="shared" si="2"/>
        <v>1.3622327231699665</v>
      </c>
      <c r="O59" s="38">
        <f t="shared" si="3"/>
        <v>-27.250112751357079</v>
      </c>
      <c r="P59" s="38">
        <f t="shared" si="6"/>
        <v>-2.6019115602380691</v>
      </c>
      <c r="Q59" s="8">
        <f t="shared" si="7"/>
        <v>33.877627244333638</v>
      </c>
      <c r="R59" s="7">
        <f t="shared" si="8"/>
        <v>0.31810856311342123</v>
      </c>
    </row>
    <row r="60" spans="1:18" x14ac:dyDescent="0.25">
      <c r="A60" s="8">
        <v>59</v>
      </c>
      <c r="B60" s="79">
        <f>(DATA!H61-DATA!H60)/DATA!H60</f>
        <v>-0.05</v>
      </c>
      <c r="D60" s="79"/>
      <c r="E60" s="79">
        <f t="shared" si="0"/>
        <v>0.05</v>
      </c>
      <c r="G60" s="27">
        <f>((DATA!H60-DATA!H41)/DATA!H41)/((DATA!I60-DATA!I41)/DATA!I41)</f>
        <v>0.31299960467908039</v>
      </c>
      <c r="H60" s="27">
        <f>((DATA!H60-DATA!H41)/DATA!H41)/((DATA!J60-DATA!J41)/DATA!J41)</f>
        <v>0.24175305841778072</v>
      </c>
      <c r="I60" s="38">
        <f>((DATA!H60-DATA!H41)/DATA!H41)/((DATA!K60-DATA!K41)/DATA!K41)</f>
        <v>0.29288310274081319</v>
      </c>
      <c r="J60" s="38">
        <f>DATA!D13+DATA!E13</f>
        <v>5736000</v>
      </c>
      <c r="K60" s="38">
        <f t="shared" si="1"/>
        <v>-229785.5421686747</v>
      </c>
      <c r="L60" s="27">
        <f t="shared" si="4"/>
        <v>7.0140889794775216E-3</v>
      </c>
      <c r="M60" s="38">
        <f t="shared" si="5"/>
        <v>3.3485891542200079</v>
      </c>
      <c r="N60" s="35">
        <f t="shared" si="2"/>
        <v>1.3336045565500407</v>
      </c>
      <c r="O60" s="38">
        <f t="shared" si="3"/>
        <v>-33.289978404106279</v>
      </c>
      <c r="P60" s="38">
        <f t="shared" si="6"/>
        <v>-2.1629020748884074</v>
      </c>
      <c r="Q60" s="8">
        <f t="shared" si="7"/>
        <v>33.392670572493891</v>
      </c>
      <c r="R60" s="7">
        <f t="shared" si="8"/>
        <v>0.26696176289911827</v>
      </c>
    </row>
    <row r="61" spans="1:18" x14ac:dyDescent="0.25">
      <c r="A61" s="8">
        <v>60</v>
      </c>
      <c r="D61" s="79"/>
      <c r="E61" s="79"/>
      <c r="F61" s="79"/>
      <c r="J61" s="38">
        <f>DATA!D4+DATA!E4</f>
        <v>1384184</v>
      </c>
      <c r="K61" s="38">
        <f t="shared" si="1"/>
        <v>-69209.2</v>
      </c>
      <c r="L61" s="27">
        <f t="shared" si="4"/>
        <v>4.5028035149939334E-3</v>
      </c>
      <c r="M61" s="38">
        <f t="shared" si="5"/>
        <v>3.4590608924050108</v>
      </c>
      <c r="N61" s="35">
        <f t="shared" si="2"/>
        <v>-0.75868479776847975</v>
      </c>
      <c r="O61" s="38">
        <f t="shared" si="3"/>
        <v>15.173695955369594</v>
      </c>
      <c r="P61" s="38">
        <f t="shared" si="6"/>
        <v>-1.5347616811127238</v>
      </c>
      <c r="Q61" s="8">
        <f t="shared" si="7"/>
        <v>33.604680017924082</v>
      </c>
      <c r="R61" s="7">
        <f t="shared" si="8"/>
        <v>0.62430156772487011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9</vt:i4>
      </vt:variant>
      <vt:variant>
        <vt:lpstr>Charts</vt:lpstr>
      </vt:variant>
      <vt:variant>
        <vt:i4>44</vt:i4>
      </vt:variant>
      <vt:variant>
        <vt:lpstr>Named Ranges</vt:lpstr>
      </vt:variant>
      <vt:variant>
        <vt:i4>6</vt:i4>
      </vt:variant>
    </vt:vector>
  </HeadingPairs>
  <TitlesOfParts>
    <vt:vector size="59" baseType="lpstr">
      <vt:lpstr>DATA</vt:lpstr>
      <vt:lpstr>همبستگی و بتا</vt:lpstr>
      <vt:lpstr>حجم</vt:lpstr>
      <vt:lpstr>تعداد</vt:lpstr>
      <vt:lpstr>حجم هر نفر</vt:lpstr>
      <vt:lpstr>اندیکاتور ها</vt:lpstr>
      <vt:lpstr>حجم براساس قیمت</vt:lpstr>
      <vt:lpstr>تعداد براساس قیمت</vt:lpstr>
      <vt:lpstr>بازدهی قیمت و ریسک</vt:lpstr>
      <vt:lpstr>نمودار همبستگی</vt:lpstr>
      <vt:lpstr>نمودار بتا</vt:lpstr>
      <vt:lpstr>نمودار آلفا</vt:lpstr>
      <vt:lpstr>نسبت بین شاخص ها</vt:lpstr>
      <vt:lpstr>بازدهی تجمعی نماد و شاخص ها</vt:lpstr>
      <vt:lpstr>یکه کردن نماد و شاخص ها</vt:lpstr>
      <vt:lpstr>نمودار حجم براساس قیمت</vt:lpstr>
      <vt:lpstr>نمودار تعداد براساس قیمت حقوقی</vt:lpstr>
      <vt:lpstr>نسبت بازدهی سهام با شاخص ها</vt:lpstr>
      <vt:lpstr>بازدهی روزانه</vt:lpstr>
      <vt:lpstr>بازدهی هفتگی</vt:lpstr>
      <vt:lpstr>نسبت بازدهی</vt:lpstr>
      <vt:lpstr>بازدهی ماهانه</vt:lpstr>
      <vt:lpstr>ریسک</vt:lpstr>
      <vt:lpstr>کشش قیمتی تقاضا</vt:lpstr>
      <vt:lpstr>نرخ رشد قیمت</vt:lpstr>
      <vt:lpstr>نمودار تعداد براساس قیمت حقیقی</vt:lpstr>
      <vt:lpstr>حجم قیمت</vt:lpstr>
      <vt:lpstr>ارزش معاملات روزانه</vt:lpstr>
      <vt:lpstr>حجم حقیقی و حقوقی</vt:lpstr>
      <vt:lpstr>حجم حقیقی</vt:lpstr>
      <vt:lpstr>حجم حقوقی</vt:lpstr>
      <vt:lpstr>حجم هر نفر حقیقی</vt:lpstr>
      <vt:lpstr>حجم هر نفر حقوقی</vt:lpstr>
      <vt:lpstr>نسبت قدرت خریدار</vt:lpstr>
      <vt:lpstr>حجم تجمعی</vt:lpstr>
      <vt:lpstr>تعداد تجمعی</vt:lpstr>
      <vt:lpstr>حجم هر نفر تجمعی </vt:lpstr>
      <vt:lpstr>MOVING AVERAGE</vt:lpstr>
      <vt:lpstr>PRICE CHANNEL</vt:lpstr>
      <vt:lpstr>BOLLINGER BANDS</vt:lpstr>
      <vt:lpstr>ICHIMOKU CLOUDS</vt:lpstr>
      <vt:lpstr>RSI</vt:lpstr>
      <vt:lpstr>RVI</vt:lpstr>
      <vt:lpstr>TSI</vt:lpstr>
      <vt:lpstr>MFI</vt:lpstr>
      <vt:lpstr>CCI</vt:lpstr>
      <vt:lpstr>EFI</vt:lpstr>
      <vt:lpstr>MACD</vt:lpstr>
      <vt:lpstr>STOCHASTIC</vt:lpstr>
      <vt:lpstr>STOCH RSI</vt:lpstr>
      <vt:lpstr>PPO-PVO-PVAO</vt:lpstr>
      <vt:lpstr>CMO</vt:lpstr>
      <vt:lpstr>LRC</vt:lpstr>
      <vt:lpstr>'تعداد براساس قیمت'!HAGH</vt:lpstr>
      <vt:lpstr>HAGH</vt:lpstr>
      <vt:lpstr>'تعداد براساس قیمت'!HOGH</vt:lpstr>
      <vt:lpstr>HOGH</vt:lpstr>
      <vt:lpstr>'تعداد براساس قیمت'!PRICE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CHART ANALYSIS</dc:title>
  <dc:creator/>
  <dc:description>EMAIL: SALAR.D.GHASHGHAEI@GMAIL.COM</dc:description>
  <cp:lastModifiedBy/>
  <dcterms:created xsi:type="dcterms:W3CDTF">2006-09-16T00:00:00Z</dcterms:created>
  <dcterms:modified xsi:type="dcterms:W3CDTF">2023-01-14T10:41:55Z</dcterms:modified>
</cp:coreProperties>
</file>